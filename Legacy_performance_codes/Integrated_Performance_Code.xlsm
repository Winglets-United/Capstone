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ilip Thomas\Google Drive\School\ASU_year3\Spring\AEE 344\Project_3\"/>
    </mc:Choice>
  </mc:AlternateContent>
  <xr:revisionPtr revIDLastSave="0" documentId="13_ncr:1_{1A3F8E03-0E80-4A36-88D6-943D3AAC1CAF}" xr6:coauthVersionLast="32" xr6:coauthVersionMax="32" xr10:uidLastSave="{00000000-0000-0000-0000-000000000000}"/>
  <bookViews>
    <workbookView xWindow="0" yWindow="0" windowWidth="16860" windowHeight="8550" xr2:uid="{00000000-000D-0000-FFFF-FFFF00000000}"/>
  </bookViews>
  <sheets>
    <sheet name="Primary Config" sheetId="2" r:id="rId1"/>
    <sheet name="Skymaps" sheetId="1" r:id="rId2"/>
    <sheet name="TO_Landing" sheetId="4" r:id="rId3"/>
    <sheet name="Weights" sheetId="3" r:id="rId4"/>
  </sheets>
  <functionGroups builtInGroupCount="19"/>
  <definedNames>
    <definedName name="AR_wing">'Primary Config'!$I$2</definedName>
    <definedName name="CBAR_H">'Primary Config'!$I$20</definedName>
    <definedName name="CBAR_V">'Primary Config'!$I$19</definedName>
    <definedName name="CBar_W">'Primary Config'!$I$17</definedName>
    <definedName name="CLimax">TO_Landing!$F$2</definedName>
    <definedName name="Clmax">Weights!$B$10</definedName>
    <definedName name="deltaCL_f">TO_Landing!$B$6</definedName>
    <definedName name="deltaCL_L">TO_Landing!$B$5</definedName>
    <definedName name="enScaleFactor">'Primary Config'!$F$13</definedName>
    <definedName name="HT_Span">'Primary Config'!$B$14</definedName>
    <definedName name="LD">'Primary Config'!$B$7</definedName>
    <definedName name="LD_Fuse">'Primary Config'!$I$15</definedName>
    <definedName name="LE_Sweep">'Primary Config'!$B$9</definedName>
    <definedName name="LEN_Cabin">'Primary Config'!$I$11</definedName>
    <definedName name="LEN_Fuse">'Primary Config'!$I$12</definedName>
    <definedName name="LEN_FuseCrud">'Primary Config'!$F$3</definedName>
    <definedName name="MTOW">'Primary Config'!$F$14</definedName>
    <definedName name="nEngine">'Primary Config'!$F$12</definedName>
    <definedName name="OTOW">TO_Landing!$B$2</definedName>
    <definedName name="Range">'Primary Config'!$B$5</definedName>
    <definedName name="Span">'Primary Config'!$B$8</definedName>
    <definedName name="SREF">'Primary Config'!$F$2</definedName>
    <definedName name="SREF_H">'Primary Config'!$I$18</definedName>
    <definedName name="SREF_V">'Primary Config'!$I$16</definedName>
    <definedName name="StaticThrust">'Primary Config'!$B$27</definedName>
    <definedName name="TC">'Primary Config'!$B$10</definedName>
    <definedName name="Thrust">Weights!$B$11</definedName>
    <definedName name="TO_Cert">Weights!$K$3</definedName>
    <definedName name="TOD">'Primary Config'!$B$6</definedName>
    <definedName name="TR">'Primary Config'!$B$15</definedName>
    <definedName name="V_s">TO_Landing!$I$2</definedName>
    <definedName name="V_s_L">TO_Landing!$J$4</definedName>
    <definedName name="Vh">'Primary Config'!$B$12</definedName>
    <definedName name="Vref">TO_Landing!$E$4</definedName>
    <definedName name="Vref_LE">TO_Landing!$F$4</definedName>
    <definedName name="Vs">TO_Landing!$I$2</definedName>
    <definedName name="Vs_LE">TO_Landing!$J$2</definedName>
    <definedName name="VT_Span">'Primary Config'!$B$13</definedName>
    <definedName name="Vv">'Primary Config'!$B$11</definedName>
    <definedName name="W_f">Weights!$E$3</definedName>
    <definedName name="WIDTH_Fuse">'Primary Config'!$I$13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0" i="2" l="1"/>
  <c r="F13" i="3"/>
  <c r="B13" i="3"/>
  <c r="B16" i="3" s="1"/>
  <c r="A16" i="3" l="1"/>
  <c r="I13" i="2"/>
  <c r="N3" i="2" l="1"/>
  <c r="N4" i="2"/>
  <c r="N5" i="2"/>
  <c r="N6" i="2"/>
  <c r="N8" i="2"/>
  <c r="N9" i="2"/>
  <c r="N7" i="2"/>
  <c r="I2" i="4" l="1"/>
  <c r="I4" i="2"/>
  <c r="I2" i="2"/>
  <c r="I27" i="2"/>
  <c r="E4" i="3"/>
  <c r="B3" i="4"/>
  <c r="I3" i="2" l="1"/>
  <c r="B5" i="1"/>
  <c r="B11" i="3" l="1"/>
  <c r="I28" i="2" s="1"/>
  <c r="B7" i="1"/>
  <c r="B6" i="1"/>
  <c r="I17" i="2"/>
  <c r="G6" i="3" s="1"/>
  <c r="G7" i="3" s="1"/>
  <c r="N2" i="4"/>
  <c r="N3" i="4" l="1"/>
  <c r="I12" i="4" s="1"/>
  <c r="H2" i="4"/>
  <c r="H13" i="4" s="1"/>
  <c r="G2" i="4"/>
  <c r="H12" i="4" s="1"/>
  <c r="N8" i="4"/>
  <c r="I21" i="2"/>
  <c r="I22" i="2" s="1"/>
  <c r="B10" i="3"/>
  <c r="B14" i="2"/>
  <c r="K13" i="2"/>
  <c r="B13" i="2"/>
  <c r="Q3" i="2" s="1"/>
  <c r="I10" i="2"/>
  <c r="I9" i="2"/>
  <c r="S3" i="2"/>
  <c r="S2" i="2"/>
  <c r="Q2" i="2" l="1"/>
  <c r="N9" i="4"/>
  <c r="I13" i="4" s="1"/>
  <c r="N10" i="2"/>
  <c r="I11" i="2" s="1"/>
  <c r="I12" i="2" s="1"/>
  <c r="I15" i="2" s="1"/>
  <c r="E2" i="4"/>
  <c r="B4" i="4" l="1"/>
  <c r="B7" i="3"/>
  <c r="B6" i="3"/>
  <c r="B3" i="3"/>
  <c r="B2" i="3"/>
  <c r="E2" i="3" s="1"/>
  <c r="E3" i="3" s="1"/>
  <c r="B8" i="3"/>
  <c r="B5" i="3"/>
  <c r="J2" i="4" l="1"/>
  <c r="F4" i="4" s="1"/>
  <c r="J4" i="4"/>
  <c r="E4" i="4" s="1"/>
  <c r="G4" i="4" s="1"/>
  <c r="N4" i="4"/>
  <c r="N5" i="4" s="1"/>
  <c r="N6" i="4" s="1"/>
  <c r="N10" i="4"/>
  <c r="N11" i="4" s="1"/>
  <c r="O1" i="4"/>
  <c r="O2" i="4" s="1"/>
  <c r="O4" i="4" s="1"/>
  <c r="O3" i="4" l="1"/>
  <c r="J12" i="4" s="1"/>
  <c r="O8" i="4"/>
  <c r="O10" i="4" s="1"/>
  <c r="I4" i="4"/>
  <c r="B19" i="1"/>
  <c r="P1" i="4"/>
  <c r="P2" i="4" s="1"/>
  <c r="P4" i="4" s="1"/>
  <c r="B15" i="4" l="1"/>
  <c r="H15" i="4"/>
  <c r="G3" i="3"/>
  <c r="F10" i="3" s="1"/>
  <c r="M19" i="2" s="1"/>
  <c r="O9" i="4"/>
  <c r="J13" i="4" s="1"/>
  <c r="P3" i="4"/>
  <c r="K12" i="4" s="1"/>
  <c r="P8" i="4"/>
  <c r="P10" i="4" s="1"/>
  <c r="Q1" i="4"/>
  <c r="Q2" i="4" s="1"/>
  <c r="Q4" i="4" s="1"/>
  <c r="B4" i="3"/>
  <c r="Q8" i="4" l="1"/>
  <c r="Q10" i="4" s="1"/>
  <c r="Q3" i="4"/>
  <c r="P9" i="4"/>
  <c r="C13" i="4"/>
  <c r="D13" i="4"/>
  <c r="B12" i="4"/>
  <c r="B18" i="4" s="1"/>
  <c r="M15" i="2" s="1"/>
  <c r="D12" i="4"/>
  <c r="C12" i="4"/>
  <c r="P5" i="4"/>
  <c r="B13" i="4"/>
  <c r="E12" i="4"/>
  <c r="F12" i="4" l="1"/>
  <c r="L12" i="4"/>
  <c r="E13" i="4"/>
  <c r="K13" i="4"/>
  <c r="Q13" i="4"/>
  <c r="Q9" i="4"/>
  <c r="B20" i="1"/>
  <c r="M18" i="2" s="1"/>
  <c r="O13" i="4"/>
  <c r="O11" i="4"/>
  <c r="O12" i="4" s="1"/>
  <c r="P13" i="4"/>
  <c r="P11" i="4"/>
  <c r="P12" i="4" s="1"/>
  <c r="N13" i="4"/>
  <c r="N12" i="4"/>
  <c r="O5" i="4"/>
  <c r="O6" i="4" s="1"/>
  <c r="O7" i="4"/>
  <c r="H4" i="4"/>
  <c r="H16" i="4" s="1"/>
  <c r="N7" i="4"/>
  <c r="P6" i="4"/>
  <c r="P7" i="4"/>
  <c r="Q5" i="4"/>
  <c r="Q6" i="4" s="1"/>
  <c r="Q7" i="4"/>
  <c r="E15" i="4" l="1"/>
  <c r="E18" i="4" s="1"/>
  <c r="P15" i="2" s="1"/>
  <c r="K15" i="4"/>
  <c r="E16" i="4"/>
  <c r="E19" i="4" s="1"/>
  <c r="P16" i="2" s="1"/>
  <c r="K16" i="4"/>
  <c r="F15" i="4"/>
  <c r="F18" i="4" s="1"/>
  <c r="Q15" i="2" s="1"/>
  <c r="L15" i="4"/>
  <c r="C15" i="4"/>
  <c r="C18" i="4" s="1"/>
  <c r="N15" i="2" s="1"/>
  <c r="I15" i="4"/>
  <c r="D15" i="4"/>
  <c r="D18" i="4" s="1"/>
  <c r="O15" i="2" s="1"/>
  <c r="J15" i="4"/>
  <c r="C16" i="4"/>
  <c r="C19" i="4" s="1"/>
  <c r="N16" i="2" s="1"/>
  <c r="I16" i="4"/>
  <c r="D16" i="4"/>
  <c r="D19" i="4" s="1"/>
  <c r="O16" i="2" s="1"/>
  <c r="J16" i="4"/>
  <c r="F13" i="4"/>
  <c r="L13" i="4"/>
  <c r="Q11" i="4"/>
  <c r="Q12" i="4" s="1"/>
  <c r="B16" i="4"/>
  <c r="B19" i="4" s="1"/>
  <c r="M16" i="2" s="1"/>
  <c r="R2" i="2"/>
  <c r="T2" i="2" s="1"/>
  <c r="I18" i="2" s="1"/>
  <c r="R3" i="2"/>
  <c r="T3" i="2" s="1"/>
  <c r="I19" i="2" s="1"/>
  <c r="I5" i="2" s="1"/>
  <c r="F16" i="4" l="1"/>
  <c r="F19" i="4" s="1"/>
  <c r="Q16" i="2" s="1"/>
  <c r="L16" i="4"/>
  <c r="I16" i="2"/>
  <c r="I8" i="2"/>
  <c r="I20" i="2"/>
  <c r="I7" i="2" s="1"/>
  <c r="I25" i="2" l="1"/>
  <c r="I26" i="2"/>
  <c r="I24" i="2"/>
  <c r="I23" i="2"/>
  <c r="I14" i="2" s="1"/>
  <c r="I6" i="2"/>
</calcChain>
</file>

<file path=xl/sharedStrings.xml><?xml version="1.0" encoding="utf-8"?>
<sst xmlns="http://schemas.openxmlformats.org/spreadsheetml/2006/main" count="282" uniqueCount="203">
  <si>
    <t>CONFIG</t>
  </si>
  <si>
    <t>EDET File</t>
  </si>
  <si>
    <t>5-Column Data File</t>
  </si>
  <si>
    <t>Input Weight (lbm)</t>
  </si>
  <si>
    <t>nEngines</t>
  </si>
  <si>
    <t>Engine Scale Factor</t>
  </si>
  <si>
    <t>Directory</t>
  </si>
  <si>
    <t>Mach End</t>
  </si>
  <si>
    <t>Mach Start</t>
  </si>
  <si>
    <t>Alt Start</t>
  </si>
  <si>
    <t>Alt End</t>
  </si>
  <si>
    <t>deltaAlt</t>
  </si>
  <si>
    <t>deltaMach</t>
  </si>
  <si>
    <t>Design Payload</t>
  </si>
  <si>
    <t>First Class</t>
  </si>
  <si>
    <t>Coach</t>
  </si>
  <si>
    <t>Type:</t>
  </si>
  <si>
    <t>Domestic</t>
  </si>
  <si>
    <t>Range:</t>
  </si>
  <si>
    <t>nM</t>
  </si>
  <si>
    <t>TO Distance</t>
  </si>
  <si>
    <t>ft</t>
  </si>
  <si>
    <t>Landing Distance</t>
  </si>
  <si>
    <t>Span</t>
  </si>
  <si>
    <t>deg</t>
  </si>
  <si>
    <t>Average T/C</t>
  </si>
  <si>
    <t>%</t>
  </si>
  <si>
    <t>Vert Vol Coef</t>
  </si>
  <si>
    <t>Horz Vol Coef</t>
  </si>
  <si>
    <t>VT Span</t>
  </si>
  <si>
    <t>HT Span</t>
  </si>
  <si>
    <t>TR Aero</t>
  </si>
  <si>
    <t>Base Area</t>
  </si>
  <si>
    <t>ft^2</t>
  </si>
  <si>
    <t>Sref</t>
  </si>
  <si>
    <t>Constants</t>
  </si>
  <si>
    <t>Variables</t>
  </si>
  <si>
    <t>Init Calcs</t>
  </si>
  <si>
    <t>LE Sweep</t>
  </si>
  <si>
    <t>1/4 Sweep</t>
  </si>
  <si>
    <t>Wing Swet</t>
  </si>
  <si>
    <t>Perc Camber</t>
  </si>
  <si>
    <t>AITEK</t>
  </si>
  <si>
    <t>TRU</t>
  </si>
  <si>
    <t>TRL</t>
  </si>
  <si>
    <t>Wing AR</t>
  </si>
  <si>
    <t>Vert AR</t>
  </si>
  <si>
    <t>Vert Swet</t>
  </si>
  <si>
    <t>Horz AR</t>
  </si>
  <si>
    <t>Horz Swet</t>
  </si>
  <si>
    <t>Fuse Crud Len</t>
  </si>
  <si>
    <t>Fuse Crud Width</t>
  </si>
  <si>
    <t>Fuse Tot Len</t>
  </si>
  <si>
    <t>Fuse Tot Width</t>
  </si>
  <si>
    <t>in</t>
  </si>
  <si>
    <t>Economy Seat Width</t>
  </si>
  <si>
    <t>Economy Seats/Aisle</t>
  </si>
  <si>
    <t>First Seats/Aisle</t>
  </si>
  <si>
    <t>First Seat Width</t>
  </si>
  <si>
    <t>in, narrow body</t>
  </si>
  <si>
    <t>Exits</t>
  </si>
  <si>
    <t>Type</t>
  </si>
  <si>
    <t>Number</t>
  </si>
  <si>
    <t>Type I</t>
  </si>
  <si>
    <t>Type II</t>
  </si>
  <si>
    <t>Len (in)</t>
  </si>
  <si>
    <t>Type III</t>
  </si>
  <si>
    <t>Type IV</t>
  </si>
  <si>
    <t>A</t>
  </si>
  <si>
    <t>B</t>
  </si>
  <si>
    <t>C</t>
  </si>
  <si>
    <t>SubTotal</t>
  </si>
  <si>
    <t>MTOW</t>
  </si>
  <si>
    <t>SREF</t>
  </si>
  <si>
    <t>Deflection</t>
  </si>
  <si>
    <t>Takeoff Dis</t>
  </si>
  <si>
    <t>Takeoff w/ Fat Flaps</t>
  </si>
  <si>
    <t>Stall Speed</t>
  </si>
  <si>
    <t>Stall Speed w/ Flaps</t>
  </si>
  <si>
    <t>Vref</t>
  </si>
  <si>
    <t>Vref w/ Flaps</t>
  </si>
  <si>
    <t>Landing Distance w/ Flaps</t>
  </si>
  <si>
    <t>V2</t>
  </si>
  <si>
    <t>Parameters</t>
  </si>
  <si>
    <t>Npass</t>
  </si>
  <si>
    <t>Payload</t>
  </si>
  <si>
    <t>Wfuel</t>
  </si>
  <si>
    <t>AR</t>
  </si>
  <si>
    <t>OEWreq</t>
  </si>
  <si>
    <t>ULF</t>
  </si>
  <si>
    <t>TCE</t>
  </si>
  <si>
    <t>TR</t>
  </si>
  <si>
    <t>TS</t>
  </si>
  <si>
    <t>lbf/in2</t>
  </si>
  <si>
    <t>Vs</t>
  </si>
  <si>
    <t>Clmax</t>
  </si>
  <si>
    <t>Thrust</t>
  </si>
  <si>
    <t>interpolateCLmax</t>
  </si>
  <si>
    <t>Tail Calcs</t>
  </si>
  <si>
    <t>a</t>
  </si>
  <si>
    <t>b</t>
  </si>
  <si>
    <t>c</t>
  </si>
  <si>
    <t>S</t>
  </si>
  <si>
    <t>HT</t>
  </si>
  <si>
    <t>ft based on B737-100, 47.44</t>
  </si>
  <si>
    <t>VT</t>
  </si>
  <si>
    <t>Assumes l_vt and l_ht are 3/4 chord ahead of rear fuse</t>
  </si>
  <si>
    <t>Economy Seat Len</t>
  </si>
  <si>
    <t>Economy numAisle</t>
  </si>
  <si>
    <t>First Seat Len</t>
  </si>
  <si>
    <t>First numAisle</t>
  </si>
  <si>
    <t>Total (ft)</t>
  </si>
  <si>
    <t>CG Loc (rel to fuse)</t>
  </si>
  <si>
    <t>Cabin Len</t>
  </si>
  <si>
    <t>Fuse Swet</t>
  </si>
  <si>
    <t>Fuse L/D</t>
  </si>
  <si>
    <t>CP_Base</t>
  </si>
  <si>
    <t>V_Sref</t>
  </si>
  <si>
    <t>Wing Chord</t>
  </si>
  <si>
    <t>H_Sref</t>
  </si>
  <si>
    <t>V_chord</t>
  </si>
  <si>
    <t>H_chord</t>
  </si>
  <si>
    <t>Ref Alt</t>
  </si>
  <si>
    <t>Ref Mach</t>
  </si>
  <si>
    <t>M</t>
  </si>
  <si>
    <t>Delta_CD0</t>
  </si>
  <si>
    <t>Crud Factor</t>
  </si>
  <si>
    <t>Sbase</t>
  </si>
  <si>
    <t>Assumes Same T/C for all Aero Surfaces, Assumes Same LE Sweep for all Aero Surfaces</t>
  </si>
  <si>
    <t>Edet_1.out</t>
  </si>
  <si>
    <t>Static thrust</t>
  </si>
  <si>
    <t>bpr7p0-engine.dat</t>
  </si>
  <si>
    <t>Q</t>
  </si>
  <si>
    <t>Alt/Mach</t>
  </si>
  <si>
    <t>KTAS</t>
  </si>
  <si>
    <t>KIAS</t>
  </si>
  <si>
    <t>CL</t>
  </si>
  <si>
    <t>CD</t>
  </si>
  <si>
    <t>D</t>
  </si>
  <si>
    <t>L/D</t>
  </si>
  <si>
    <t>M(L/D)</t>
  </si>
  <si>
    <t>CDi/CD</t>
  </si>
  <si>
    <t>FF</t>
  </si>
  <si>
    <t>FFmax</t>
  </si>
  <si>
    <t>SR</t>
  </si>
  <si>
    <t>Max Thrust</t>
  </si>
  <si>
    <t>Min Thrust</t>
  </si>
  <si>
    <t>SET</t>
  </si>
  <si>
    <t>ROC_KIAS</t>
  </si>
  <si>
    <t>ROC_M</t>
  </si>
  <si>
    <t>NZ_max</t>
  </si>
  <si>
    <t>delta CL_Le</t>
  </si>
  <si>
    <t>H_rootChord</t>
  </si>
  <si>
    <t>H_tipChord</t>
  </si>
  <si>
    <t>V_rootChord</t>
  </si>
  <si>
    <t>V_tipChord</t>
  </si>
  <si>
    <t>Wf (Landing Weight)</t>
  </si>
  <si>
    <t>lbm</t>
  </si>
  <si>
    <t>OTOW</t>
  </si>
  <si>
    <t>Stall Speed Flaps</t>
  </si>
  <si>
    <t>Vref Flaps</t>
  </si>
  <si>
    <t>Landing distance</t>
  </si>
  <si>
    <t>V2 Flaps</t>
  </si>
  <si>
    <t>TO Distance Flaps</t>
  </si>
  <si>
    <t>TO Distance Flaps+LE</t>
  </si>
  <si>
    <t>delta CL_f</t>
  </si>
  <si>
    <t>CLmax Flaps</t>
  </si>
  <si>
    <t>Clmax Flaps + LE</t>
  </si>
  <si>
    <t>Stall Speed Flaps+LE</t>
  </si>
  <si>
    <t>Vref Flaps+LE</t>
  </si>
  <si>
    <t>Landing distance Flaps+LE</t>
  </si>
  <si>
    <t>V2 Flaps + LE</t>
  </si>
  <si>
    <t>lbf</t>
  </si>
  <si>
    <t>Wing Root Chord</t>
  </si>
  <si>
    <t>Wing Tip Chord</t>
  </si>
  <si>
    <t>Best SR</t>
  </si>
  <si>
    <t>Best KTAS</t>
  </si>
  <si>
    <t>Best TSFC</t>
  </si>
  <si>
    <t>Best L/D</t>
  </si>
  <si>
    <t>Range</t>
  </si>
  <si>
    <t>Range Certification</t>
  </si>
  <si>
    <t>TO Distance Chart</t>
  </si>
  <si>
    <t>No Flaps</t>
  </si>
  <si>
    <t>W/O LE</t>
  </si>
  <si>
    <t>With LE</t>
  </si>
  <si>
    <t>LD Distance Chart</t>
  </si>
  <si>
    <t>TO + LD Cert Chart</t>
  </si>
  <si>
    <t>W/S</t>
  </si>
  <si>
    <t>lbm/ft^2</t>
  </si>
  <si>
    <t>T/W</t>
  </si>
  <si>
    <t>lbf/lbm</t>
  </si>
  <si>
    <t>CLmax</t>
  </si>
  <si>
    <t>Landing Vs</t>
  </si>
  <si>
    <t>C:\Users\Philip Thomas\Google Drive\School\ASU_year3\Spring\AEE 344\Project_3\Trades\</t>
  </si>
  <si>
    <t>Jet Fuel Density</t>
  </si>
  <si>
    <t>lbm/ft^3</t>
  </si>
  <si>
    <t>Fuel Vol</t>
  </si>
  <si>
    <t>ft^3</t>
  </si>
  <si>
    <t>Fuel Volume Certification</t>
  </si>
  <si>
    <t>Cargo Volume Certification</t>
  </si>
  <si>
    <t>Cargo Volume</t>
  </si>
  <si>
    <t>Extra Large</t>
  </si>
  <si>
    <t>Large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</si>
</sst>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3" fillId="0" borderId="11" applyNumberFormat="0" applyFill="0" applyAlignment="0" applyProtection="0"/>
  </cellStyleXfs>
  <cellXfs count="56">
    <xf numFmtId="0" fontId="0" fillId="0" borderId="0" xfId="0"/>
    <xf numFmtId="49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8" xfId="0" applyFill="1" applyBorder="1"/>
    <xf numFmtId="2" fontId="0" fillId="0" borderId="0" xfId="1" applyNumberFormat="1" applyFont="1" applyBorder="1"/>
    <xf numFmtId="0" fontId="0" fillId="0" borderId="5" xfId="0" applyFill="1" applyBorder="1"/>
    <xf numFmtId="0" fontId="4" fillId="0" borderId="0" xfId="0" applyFont="1"/>
    <xf numFmtId="0" fontId="3" fillId="0" borderId="11" xfId="2"/>
    <xf numFmtId="0" fontId="0" fillId="0" borderId="13" xfId="0" applyBorder="1"/>
    <xf numFmtId="0" fontId="0" fillId="0" borderId="0" xfId="0" applyFill="1" applyBorder="1"/>
    <xf numFmtId="0" fontId="0" fillId="0" borderId="12" xfId="0" applyBorder="1"/>
    <xf numFmtId="0" fontId="0" fillId="0" borderId="12" xfId="0" applyFill="1" applyBorder="1"/>
    <xf numFmtId="0" fontId="0" fillId="0" borderId="7" xfId="0" applyFill="1" applyBorder="1"/>
    <xf numFmtId="0" fontId="0" fillId="0" borderId="3" xfId="0" applyFill="1" applyBorder="1"/>
    <xf numFmtId="0" fontId="0" fillId="0" borderId="15" xfId="0" applyBorder="1"/>
    <xf numFmtId="0" fontId="0" fillId="0" borderId="14" xfId="0" applyBorder="1"/>
    <xf numFmtId="0" fontId="4" fillId="0" borderId="15" xfId="0" applyFont="1" applyBorder="1"/>
    <xf numFmtId="0" fontId="4" fillId="0" borderId="1" xfId="0" applyFont="1" applyBorder="1"/>
    <xf numFmtId="0" fontId="4" fillId="0" borderId="2" xfId="0" applyFont="1" applyBorder="1"/>
    <xf numFmtId="0" fontId="4" fillId="0" borderId="13" xfId="0" applyFont="1" applyBorder="1"/>
    <xf numFmtId="0" fontId="4" fillId="0" borderId="14" xfId="0" applyFont="1" applyBorder="1"/>
    <xf numFmtId="0" fontId="4" fillId="0" borderId="12" xfId="0" applyFont="1" applyBorder="1"/>
    <xf numFmtId="0" fontId="4" fillId="0" borderId="3" xfId="0" applyFont="1" applyBorder="1"/>
    <xf numFmtId="0" fontId="4" fillId="0" borderId="16" xfId="0" applyFont="1" applyBorder="1"/>
    <xf numFmtId="0" fontId="4" fillId="0" borderId="15" xfId="0" applyFont="1" applyFill="1" applyBorder="1"/>
    <xf numFmtId="0" fontId="4" fillId="0" borderId="10" xfId="0" applyFont="1" applyBorder="1"/>
    <xf numFmtId="0" fontId="0" fillId="0" borderId="0" xfId="0" applyFill="1"/>
    <xf numFmtId="0" fontId="4" fillId="0" borderId="0" xfId="0" applyFont="1" applyBorder="1"/>
    <xf numFmtId="0" fontId="0" fillId="0" borderId="14" xfId="0" applyFill="1" applyBorder="1"/>
    <xf numFmtId="0" fontId="0" fillId="0" borderId="4" xfId="0" applyFill="1" applyBorder="1"/>
    <xf numFmtId="0" fontId="0" fillId="0" borderId="6" xfId="0" applyFill="1" applyBorder="1"/>
    <xf numFmtId="0" fontId="0" fillId="2" borderId="6" xfId="0" applyFill="1" applyBorder="1"/>
    <xf numFmtId="0" fontId="0" fillId="3" borderId="8" xfId="0" applyFill="1" applyBorder="1"/>
    <xf numFmtId="0" fontId="0" fillId="2" borderId="8" xfId="0" applyFill="1" applyBorder="1"/>
    <xf numFmtId="0" fontId="0" fillId="2" borderId="7" xfId="0" applyFill="1" applyBorder="1"/>
    <xf numFmtId="0" fontId="0" fillId="0" borderId="7" xfId="0" applyBorder="1"/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Linked Cell" xfId="2" builtinId="24"/>
    <cellStyle name="Normal" xfId="0" builtinId="0"/>
    <cellStyle name="Percent" xfId="1" builtinId="5"/>
  </cellStyles>
  <dxfs count="2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Skymaps!$D$2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Skymaps!$E$2:$BC$2</c:f>
              <c:numCache>
                <c:formatCode>General</c:formatCode>
                <c:ptCount val="51"/>
                <c:pt idx="0">
                  <c:v>0</c:v>
                </c:pt>
                <c:pt idx="1">
                  <c:v>0.59254157543182373</c:v>
                </c:pt>
                <c:pt idx="2">
                  <c:v>2.3701663017272949</c:v>
                </c:pt>
                <c:pt idx="3">
                  <c:v>5.3328742980957031</c:v>
                </c:pt>
                <c:pt idx="4">
                  <c:v>9.4806652069091797</c:v>
                </c:pt>
                <c:pt idx="5">
                  <c:v>14.813540458679199</c:v>
                </c:pt>
                <c:pt idx="6">
                  <c:v>21.331497192382813</c:v>
                </c:pt>
                <c:pt idx="7">
                  <c:v>29.034538269042969</c:v>
                </c:pt>
                <c:pt idx="8">
                  <c:v>37.922660827636719</c:v>
                </c:pt>
                <c:pt idx="9">
                  <c:v>47.995868682861328</c:v>
                </c:pt>
                <c:pt idx="10">
                  <c:v>59.254161834716797</c:v>
                </c:pt>
                <c:pt idx="11">
                  <c:v>71.697532653808594</c:v>
                </c:pt>
                <c:pt idx="12">
                  <c:v>85.32598876953125</c:v>
                </c:pt>
                <c:pt idx="13">
                  <c:v>100.13953399658203</c:v>
                </c:pt>
                <c:pt idx="14">
                  <c:v>116.13815307617188</c:v>
                </c:pt>
                <c:pt idx="15">
                  <c:v>133.32185363769531</c:v>
                </c:pt>
                <c:pt idx="16">
                  <c:v>151.69064331054688</c:v>
                </c:pt>
                <c:pt idx="17">
                  <c:v>171.24452209472656</c:v>
                </c:pt>
                <c:pt idx="18">
                  <c:v>191.98347473144531</c:v>
                </c:pt>
                <c:pt idx="19">
                  <c:v>213.90751647949219</c:v>
                </c:pt>
                <c:pt idx="20">
                  <c:v>237.01664733886719</c:v>
                </c:pt>
                <c:pt idx="21">
                  <c:v>261.31085205078125</c:v>
                </c:pt>
                <c:pt idx="22">
                  <c:v>286.79013061523438</c:v>
                </c:pt>
                <c:pt idx="23">
                  <c:v>313.45449829101563</c:v>
                </c:pt>
                <c:pt idx="24">
                  <c:v>341.303955078125</c:v>
                </c:pt>
                <c:pt idx="25">
                  <c:v>370.3385009765625</c:v>
                </c:pt>
                <c:pt idx="26">
                  <c:v>400.55813598632813</c:v>
                </c:pt>
                <c:pt idx="27">
                  <c:v>431.96282958984375</c:v>
                </c:pt>
                <c:pt idx="28">
                  <c:v>464.5526123046875</c:v>
                </c:pt>
                <c:pt idx="29">
                  <c:v>498.32748413085938</c:v>
                </c:pt>
                <c:pt idx="30">
                  <c:v>533.28741455078125</c:v>
                </c:pt>
                <c:pt idx="31">
                  <c:v>569.4324951171875</c:v>
                </c:pt>
                <c:pt idx="32">
                  <c:v>606.7625732421875</c:v>
                </c:pt>
                <c:pt idx="33">
                  <c:v>645.27783203125</c:v>
                </c:pt>
                <c:pt idx="34">
                  <c:v>684.97808837890625</c:v>
                </c:pt>
                <c:pt idx="35">
                  <c:v>725.86346435546875</c:v>
                </c:pt>
                <c:pt idx="36">
                  <c:v>767.93389892578125</c:v>
                </c:pt>
                <c:pt idx="37">
                  <c:v>811.189453125</c:v>
                </c:pt>
                <c:pt idx="38">
                  <c:v>855.63006591796875</c:v>
                </c:pt>
                <c:pt idx="39">
                  <c:v>901.25579833984375</c:v>
                </c:pt>
                <c:pt idx="40">
                  <c:v>948.06658935546875</c:v>
                </c:pt>
                <c:pt idx="41">
                  <c:v>996.06243896484375</c:v>
                </c:pt>
                <c:pt idx="42">
                  <c:v>1045.243408203125</c:v>
                </c:pt>
                <c:pt idx="43">
                  <c:v>1095.609375</c:v>
                </c:pt>
                <c:pt idx="44">
                  <c:v>1147.1605224609375</c:v>
                </c:pt>
                <c:pt idx="45">
                  <c:v>1199.896728515625</c:v>
                </c:pt>
                <c:pt idx="46">
                  <c:v>1253.8179931640625</c:v>
                </c:pt>
                <c:pt idx="47">
                  <c:v>1308.9244384765625</c:v>
                </c:pt>
                <c:pt idx="48">
                  <c:v>1365.2158203125</c:v>
                </c:pt>
                <c:pt idx="49">
                  <c:v>1422.6923828125</c:v>
                </c:pt>
                <c:pt idx="50">
                  <c:v>1481.35400390625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67-433D-8E16-373543A05FBC}"/>
            </c:ext>
          </c:extLst>
        </c:ser>
        <c:ser>
          <c:idx val="1"/>
          <c:order val="1"/>
          <c:tx>
            <c:strRef>
              <c:f>Skymaps!$D$3</c:f>
              <c:strCache>
                <c:ptCount val="1"/>
                <c:pt idx="0">
                  <c:v>1000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Skymaps!$E$3:$BC$3</c:f>
              <c:numCache>
                <c:formatCode>General</c:formatCode>
                <c:ptCount val="51"/>
                <c:pt idx="0">
                  <c:v>0</c:v>
                </c:pt>
                <c:pt idx="1">
                  <c:v>0.57144069671630859</c:v>
                </c:pt>
                <c:pt idx="2">
                  <c:v>2.2857627868652344</c:v>
                </c:pt>
                <c:pt idx="3">
                  <c:v>5.1429662704467773</c:v>
                </c:pt>
                <c:pt idx="4">
                  <c:v>9.1430511474609375</c:v>
                </c:pt>
                <c:pt idx="5">
                  <c:v>14.286018371582031</c:v>
                </c:pt>
                <c:pt idx="6">
                  <c:v>20.571865081787109</c:v>
                </c:pt>
                <c:pt idx="7">
                  <c:v>28.000595092773438</c:v>
                </c:pt>
                <c:pt idx="8">
                  <c:v>36.57220458984375</c:v>
                </c:pt>
                <c:pt idx="9">
                  <c:v>46.286697387695313</c:v>
                </c:pt>
                <c:pt idx="10">
                  <c:v>57.144073486328125</c:v>
                </c:pt>
                <c:pt idx="11">
                  <c:v>69.144325256347656</c:v>
                </c:pt>
                <c:pt idx="12">
                  <c:v>82.287460327148438</c:v>
                </c:pt>
                <c:pt idx="13">
                  <c:v>96.573478698730469</c:v>
                </c:pt>
                <c:pt idx="14">
                  <c:v>112.00238037109375</c:v>
                </c:pt>
                <c:pt idx="15">
                  <c:v>128.57415771484375</c:v>
                </c:pt>
                <c:pt idx="16">
                  <c:v>146.288818359375</c:v>
                </c:pt>
                <c:pt idx="17">
                  <c:v>165.1463623046875</c:v>
                </c:pt>
                <c:pt idx="18">
                  <c:v>185.14678955078125</c:v>
                </c:pt>
                <c:pt idx="19">
                  <c:v>206.29010009765625</c:v>
                </c:pt>
                <c:pt idx="20">
                  <c:v>228.5762939453125</c:v>
                </c:pt>
                <c:pt idx="21">
                  <c:v>252.00535583496094</c:v>
                </c:pt>
                <c:pt idx="22">
                  <c:v>276.57730102539063</c:v>
                </c:pt>
                <c:pt idx="23">
                  <c:v>302.29214477539063</c:v>
                </c:pt>
                <c:pt idx="24">
                  <c:v>329.14984130859375</c:v>
                </c:pt>
                <c:pt idx="25">
                  <c:v>357.15045166015625</c:v>
                </c:pt>
                <c:pt idx="26">
                  <c:v>386.29391479492188</c:v>
                </c:pt>
                <c:pt idx="27">
                  <c:v>416.58029174804688</c:v>
                </c:pt>
                <c:pt idx="28">
                  <c:v>448.009521484375</c:v>
                </c:pt>
                <c:pt idx="29">
                  <c:v>480.58163452148438</c:v>
                </c:pt>
                <c:pt idx="30">
                  <c:v>514.296630859375</c:v>
                </c:pt>
                <c:pt idx="31">
                  <c:v>549.154541015625</c:v>
                </c:pt>
                <c:pt idx="32">
                  <c:v>585.1552734375</c:v>
                </c:pt>
                <c:pt idx="33">
                  <c:v>622.2989501953125</c:v>
                </c:pt>
                <c:pt idx="34">
                  <c:v>660.58544921875</c:v>
                </c:pt>
                <c:pt idx="35">
                  <c:v>700.014892578125</c:v>
                </c:pt>
                <c:pt idx="36">
                  <c:v>740.587158203125</c:v>
                </c:pt>
                <c:pt idx="37">
                  <c:v>782.3023681640625</c:v>
                </c:pt>
                <c:pt idx="38">
                  <c:v>825.160400390625</c:v>
                </c:pt>
                <c:pt idx="39">
                  <c:v>869.16131591796875</c:v>
                </c:pt>
                <c:pt idx="40">
                  <c:v>914.30517578125</c:v>
                </c:pt>
                <c:pt idx="41">
                  <c:v>960.59185791015625</c:v>
                </c:pt>
                <c:pt idx="42">
                  <c:v>1008.0214233398438</c:v>
                </c:pt>
                <c:pt idx="43">
                  <c:v>1056.5938720703125</c:v>
                </c:pt>
                <c:pt idx="44">
                  <c:v>1106.3092041015625</c:v>
                </c:pt>
                <c:pt idx="45">
                  <c:v>1157.16748046875</c:v>
                </c:pt>
                <c:pt idx="46">
                  <c:v>1209.1685791015625</c:v>
                </c:pt>
                <c:pt idx="47">
                  <c:v>1262.3125</c:v>
                </c:pt>
                <c:pt idx="48">
                  <c:v>1316.599365234375</c:v>
                </c:pt>
                <c:pt idx="49">
                  <c:v>1372.0291748046875</c:v>
                </c:pt>
                <c:pt idx="50">
                  <c:v>1428.601806640625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67-433D-8E16-373543A05FBC}"/>
            </c:ext>
          </c:extLst>
        </c:ser>
        <c:ser>
          <c:idx val="2"/>
          <c:order val="2"/>
          <c:tx>
            <c:strRef>
              <c:f>Skymaps!$D$4</c:f>
              <c:strCache>
                <c:ptCount val="1"/>
                <c:pt idx="0">
                  <c:v>2000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Skymaps!$E$4:$BC$4</c:f>
              <c:numCache>
                <c:formatCode>General</c:formatCode>
                <c:ptCount val="51"/>
                <c:pt idx="0">
                  <c:v>0</c:v>
                </c:pt>
                <c:pt idx="1">
                  <c:v>0.55095446109771729</c:v>
                </c:pt>
                <c:pt idx="2">
                  <c:v>2.2038178443908691</c:v>
                </c:pt>
                <c:pt idx="3">
                  <c:v>4.958590030670166</c:v>
                </c:pt>
                <c:pt idx="4">
                  <c:v>8.8152713775634766</c:v>
                </c:pt>
                <c:pt idx="5">
                  <c:v>13.773860931396484</c:v>
                </c:pt>
                <c:pt idx="6">
                  <c:v>19.834360122680664</c:v>
                </c:pt>
                <c:pt idx="7">
                  <c:v>26.996767044067383</c:v>
                </c:pt>
                <c:pt idx="8">
                  <c:v>35.261085510253906</c:v>
                </c:pt>
                <c:pt idx="9">
                  <c:v>44.627311706542969</c:v>
                </c:pt>
                <c:pt idx="10">
                  <c:v>55.095443725585938</c:v>
                </c:pt>
                <c:pt idx="11">
                  <c:v>66.665489196777344</c:v>
                </c:pt>
                <c:pt idx="12">
                  <c:v>79.337440490722656</c:v>
                </c:pt>
                <c:pt idx="13">
                  <c:v>93.111297607421875</c:v>
                </c:pt>
                <c:pt idx="14">
                  <c:v>107.98706817626953</c:v>
                </c:pt>
                <c:pt idx="15">
                  <c:v>123.96475219726563</c:v>
                </c:pt>
                <c:pt idx="16">
                  <c:v>141.04434204101563</c:v>
                </c:pt>
                <c:pt idx="17">
                  <c:v>159.225830078125</c:v>
                </c:pt>
                <c:pt idx="18">
                  <c:v>178.50924682617188</c:v>
                </c:pt>
                <c:pt idx="19">
                  <c:v>198.89454650878906</c:v>
                </c:pt>
                <c:pt idx="20">
                  <c:v>220.38177490234375</c:v>
                </c:pt>
                <c:pt idx="21">
                  <c:v>242.97091674804688</c:v>
                </c:pt>
                <c:pt idx="22">
                  <c:v>266.66195678710938</c:v>
                </c:pt>
                <c:pt idx="23">
                  <c:v>291.45489501953125</c:v>
                </c:pt>
                <c:pt idx="24">
                  <c:v>317.34976196289063</c:v>
                </c:pt>
                <c:pt idx="25">
                  <c:v>344.34652709960938</c:v>
                </c:pt>
                <c:pt idx="26">
                  <c:v>372.4451904296875</c:v>
                </c:pt>
                <c:pt idx="27">
                  <c:v>401.64578247070313</c:v>
                </c:pt>
                <c:pt idx="28">
                  <c:v>431.94827270507813</c:v>
                </c:pt>
                <c:pt idx="29">
                  <c:v>463.35269165039063</c:v>
                </c:pt>
                <c:pt idx="30">
                  <c:v>495.8590087890625</c:v>
                </c:pt>
                <c:pt idx="31">
                  <c:v>529.46722412109375</c:v>
                </c:pt>
                <c:pt idx="32">
                  <c:v>564.1773681640625</c:v>
                </c:pt>
                <c:pt idx="33">
                  <c:v>599.9893798828125</c:v>
                </c:pt>
                <c:pt idx="34">
                  <c:v>636.9033203125</c:v>
                </c:pt>
                <c:pt idx="35">
                  <c:v>674.919189453125</c:v>
                </c:pt>
                <c:pt idx="36">
                  <c:v>714.0369873046875</c:v>
                </c:pt>
                <c:pt idx="37">
                  <c:v>754.25665283203125</c:v>
                </c:pt>
                <c:pt idx="38">
                  <c:v>795.57818603515625</c:v>
                </c:pt>
                <c:pt idx="39">
                  <c:v>838.001708984375</c:v>
                </c:pt>
                <c:pt idx="40">
                  <c:v>881.527099609375</c:v>
                </c:pt>
                <c:pt idx="41">
                  <c:v>926.1544189453125</c:v>
                </c:pt>
                <c:pt idx="42">
                  <c:v>971.8836669921875</c:v>
                </c:pt>
                <c:pt idx="43">
                  <c:v>1018.7147827148438</c:v>
                </c:pt>
                <c:pt idx="44">
                  <c:v>1066.6478271484375</c:v>
                </c:pt>
                <c:pt idx="45">
                  <c:v>1115.6827392578125</c:v>
                </c:pt>
                <c:pt idx="46">
                  <c:v>1165.819580078125</c:v>
                </c:pt>
                <c:pt idx="47">
                  <c:v>1217.058349609375</c:v>
                </c:pt>
                <c:pt idx="48">
                  <c:v>1269.3990478515625</c:v>
                </c:pt>
                <c:pt idx="49">
                  <c:v>1322.8416748046875</c:v>
                </c:pt>
                <c:pt idx="50">
                  <c:v>1377.3861083984375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67-433D-8E16-373543A05FBC}"/>
            </c:ext>
          </c:extLst>
        </c:ser>
        <c:ser>
          <c:idx val="3"/>
          <c:order val="3"/>
          <c:tx>
            <c:strRef>
              <c:f>Skymaps!$D$5</c:f>
              <c:strCache>
                <c:ptCount val="1"/>
                <c:pt idx="0">
                  <c:v>3000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Skymaps!$E$5:$BC$5</c:f>
              <c:numCache>
                <c:formatCode>General</c:formatCode>
                <c:ptCount val="51"/>
                <c:pt idx="0">
                  <c:v>0</c:v>
                </c:pt>
                <c:pt idx="1">
                  <c:v>0.53106880187988281</c:v>
                </c:pt>
                <c:pt idx="2">
                  <c:v>2.1242752075195313</c:v>
                </c:pt>
                <c:pt idx="3">
                  <c:v>4.7796192169189453</c:v>
                </c:pt>
                <c:pt idx="4">
                  <c:v>8.497100830078125</c:v>
                </c:pt>
                <c:pt idx="5">
                  <c:v>13.27672004699707</c:v>
                </c:pt>
                <c:pt idx="6">
                  <c:v>19.118476867675781</c:v>
                </c:pt>
                <c:pt idx="7">
                  <c:v>26.022371292114258</c:v>
                </c:pt>
                <c:pt idx="8">
                  <c:v>33.9884033203125</c:v>
                </c:pt>
                <c:pt idx="9">
                  <c:v>43.016571044921875</c:v>
                </c:pt>
                <c:pt idx="10">
                  <c:v>53.106880187988281</c:v>
                </c:pt>
                <c:pt idx="11">
                  <c:v>64.259323120117188</c:v>
                </c:pt>
                <c:pt idx="12">
                  <c:v>76.473907470703125</c:v>
                </c:pt>
                <c:pt idx="13">
                  <c:v>89.750625610351563</c:v>
                </c:pt>
                <c:pt idx="14">
                  <c:v>104.08948516845703</c:v>
                </c:pt>
                <c:pt idx="15">
                  <c:v>119.490478515625</c:v>
                </c:pt>
                <c:pt idx="16">
                  <c:v>135.95361328125</c:v>
                </c:pt>
                <c:pt idx="17">
                  <c:v>153.4788818359375</c:v>
                </c:pt>
                <c:pt idx="18">
                  <c:v>172.0662841796875</c:v>
                </c:pt>
                <c:pt idx="19">
                  <c:v>191.71583557128906</c:v>
                </c:pt>
                <c:pt idx="20">
                  <c:v>212.42752075195313</c:v>
                </c:pt>
                <c:pt idx="21">
                  <c:v>234.20133972167969</c:v>
                </c:pt>
                <c:pt idx="22">
                  <c:v>257.03729248046875</c:v>
                </c:pt>
                <c:pt idx="23">
                  <c:v>280.93539428710938</c:v>
                </c:pt>
                <c:pt idx="24">
                  <c:v>305.8956298828125</c:v>
                </c:pt>
                <c:pt idx="25">
                  <c:v>331.91799926757813</c:v>
                </c:pt>
                <c:pt idx="26">
                  <c:v>359.00250244140625</c:v>
                </c:pt>
                <c:pt idx="27">
                  <c:v>387.14913940429688</c:v>
                </c:pt>
                <c:pt idx="28">
                  <c:v>416.35794067382813</c:v>
                </c:pt>
                <c:pt idx="29">
                  <c:v>446.62884521484375</c:v>
                </c:pt>
                <c:pt idx="30">
                  <c:v>477.9619140625</c:v>
                </c:pt>
                <c:pt idx="31">
                  <c:v>510.35711669921875</c:v>
                </c:pt>
                <c:pt idx="32">
                  <c:v>543.814453125</c:v>
                </c:pt>
                <c:pt idx="33">
                  <c:v>578.33392333984375</c:v>
                </c:pt>
                <c:pt idx="34">
                  <c:v>613.91552734375</c:v>
                </c:pt>
                <c:pt idx="35">
                  <c:v>650.55926513671875</c:v>
                </c:pt>
                <c:pt idx="36">
                  <c:v>688.26513671875</c:v>
                </c:pt>
                <c:pt idx="37">
                  <c:v>727.033203125</c:v>
                </c:pt>
                <c:pt idx="38">
                  <c:v>766.86334228515625</c:v>
                </c:pt>
                <c:pt idx="39">
                  <c:v>807.755615234375</c:v>
                </c:pt>
                <c:pt idx="40">
                  <c:v>849.7100830078125</c:v>
                </c:pt>
                <c:pt idx="41">
                  <c:v>892.72662353515625</c:v>
                </c:pt>
                <c:pt idx="42">
                  <c:v>936.80535888671875</c:v>
                </c:pt>
                <c:pt idx="43">
                  <c:v>981.94622802734375</c:v>
                </c:pt>
                <c:pt idx="44">
                  <c:v>1028.149169921875</c:v>
                </c:pt>
                <c:pt idx="45">
                  <c:v>1075.414306640625</c:v>
                </c:pt>
                <c:pt idx="46">
                  <c:v>1123.7415771484375</c:v>
                </c:pt>
                <c:pt idx="47">
                  <c:v>1173.1309814453125</c:v>
                </c:pt>
                <c:pt idx="48">
                  <c:v>1223.58251953125</c:v>
                </c:pt>
                <c:pt idx="49">
                  <c:v>1275.09619140625</c:v>
                </c:pt>
                <c:pt idx="50">
                  <c:v>1327.6719970703125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67-433D-8E16-373543A05FBC}"/>
            </c:ext>
          </c:extLst>
        </c:ser>
        <c:ser>
          <c:idx val="4"/>
          <c:order val="4"/>
          <c:tx>
            <c:strRef>
              <c:f>Skymaps!$D$6</c:f>
              <c:strCache>
                <c:ptCount val="1"/>
                <c:pt idx="0">
                  <c:v>4000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Skymaps!$E$6:$BC$6</c:f>
              <c:numCache>
                <c:formatCode>General</c:formatCode>
                <c:ptCount val="51"/>
                <c:pt idx="0">
                  <c:v>0</c:v>
                </c:pt>
                <c:pt idx="1">
                  <c:v>0.51177018880844116</c:v>
                </c:pt>
                <c:pt idx="2">
                  <c:v>2.0470807552337646</c:v>
                </c:pt>
                <c:pt idx="3">
                  <c:v>4.6059317588806152</c:v>
                </c:pt>
                <c:pt idx="4">
                  <c:v>8.1883230209350586</c:v>
                </c:pt>
                <c:pt idx="5">
                  <c:v>12.794255256652832</c:v>
                </c:pt>
                <c:pt idx="6">
                  <c:v>18.423727035522461</c:v>
                </c:pt>
                <c:pt idx="7">
                  <c:v>25.076740264892578</c:v>
                </c:pt>
                <c:pt idx="8">
                  <c:v>32.753292083740234</c:v>
                </c:pt>
                <c:pt idx="9">
                  <c:v>41.453388214111328</c:v>
                </c:pt>
                <c:pt idx="10">
                  <c:v>51.177021026611328</c:v>
                </c:pt>
                <c:pt idx="11">
                  <c:v>61.9241943359375</c:v>
                </c:pt>
                <c:pt idx="12">
                  <c:v>73.694908142089844</c:v>
                </c:pt>
                <c:pt idx="13">
                  <c:v>86.489166259765625</c:v>
                </c:pt>
                <c:pt idx="14">
                  <c:v>100.30696105957031</c:v>
                </c:pt>
                <c:pt idx="15">
                  <c:v>115.14830017089844</c:v>
                </c:pt>
                <c:pt idx="16">
                  <c:v>131.01316833496094</c:v>
                </c:pt>
                <c:pt idx="17">
                  <c:v>147.90159606933594</c:v>
                </c:pt>
                <c:pt idx="18">
                  <c:v>165.81355285644531</c:v>
                </c:pt>
                <c:pt idx="19">
                  <c:v>184.74905395507813</c:v>
                </c:pt>
                <c:pt idx="20">
                  <c:v>204.70808410644531</c:v>
                </c:pt>
                <c:pt idx="21">
                  <c:v>225.69065856933594</c:v>
                </c:pt>
                <c:pt idx="22">
                  <c:v>247.69677734375</c:v>
                </c:pt>
                <c:pt idx="23">
                  <c:v>270.7264404296875</c:v>
                </c:pt>
                <c:pt idx="24">
                  <c:v>294.77963256835938</c:v>
                </c:pt>
                <c:pt idx="25">
                  <c:v>319.85638427734375</c:v>
                </c:pt>
                <c:pt idx="26">
                  <c:v>345.9566650390625</c:v>
                </c:pt>
                <c:pt idx="27">
                  <c:v>373.08047485351563</c:v>
                </c:pt>
                <c:pt idx="28">
                  <c:v>401.22784423828125</c:v>
                </c:pt>
                <c:pt idx="29">
                  <c:v>430.39874267578125</c:v>
                </c:pt>
                <c:pt idx="30">
                  <c:v>460.59320068359375</c:v>
                </c:pt>
                <c:pt idx="31">
                  <c:v>491.81118774414063</c:v>
                </c:pt>
                <c:pt idx="32">
                  <c:v>524.05267333984375</c:v>
                </c:pt>
                <c:pt idx="33">
                  <c:v>557.3177490234375</c:v>
                </c:pt>
                <c:pt idx="34">
                  <c:v>591.60638427734375</c:v>
                </c:pt>
                <c:pt idx="35">
                  <c:v>626.91851806640625</c:v>
                </c:pt>
                <c:pt idx="36">
                  <c:v>663.25421142578125</c:v>
                </c:pt>
                <c:pt idx="37">
                  <c:v>700.6134033203125</c:v>
                </c:pt>
                <c:pt idx="38">
                  <c:v>738.9962158203125</c:v>
                </c:pt>
                <c:pt idx="39">
                  <c:v>778.40252685546875</c:v>
                </c:pt>
                <c:pt idx="40">
                  <c:v>818.83233642578125</c:v>
                </c:pt>
                <c:pt idx="41">
                  <c:v>860.28570556640625</c:v>
                </c:pt>
                <c:pt idx="42">
                  <c:v>902.76263427734375</c:v>
                </c:pt>
                <c:pt idx="43">
                  <c:v>946.26312255859375</c:v>
                </c:pt>
                <c:pt idx="44">
                  <c:v>990.787109375</c:v>
                </c:pt>
                <c:pt idx="45">
                  <c:v>1036.334716796875</c:v>
                </c:pt>
                <c:pt idx="46">
                  <c:v>1082.90576171875</c:v>
                </c:pt>
                <c:pt idx="47">
                  <c:v>1130.5003662109375</c:v>
                </c:pt>
                <c:pt idx="48">
                  <c:v>1179.1185302734375</c:v>
                </c:pt>
                <c:pt idx="49">
                  <c:v>1228.76025390625</c:v>
                </c:pt>
                <c:pt idx="50">
                  <c:v>1279.425537109375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33D-8E16-373543A05FBC}"/>
            </c:ext>
          </c:extLst>
        </c:ser>
        <c:ser>
          <c:idx val="5"/>
          <c:order val="5"/>
          <c:tx>
            <c:strRef>
              <c:f>Skymaps!$D$7</c:f>
              <c:strCache>
                <c:ptCount val="1"/>
                <c:pt idx="0">
                  <c:v>5000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Skymaps!$E$7:$BC$7</c:f>
              <c:numCache>
                <c:formatCode>General</c:formatCode>
                <c:ptCount val="51"/>
                <c:pt idx="0">
                  <c:v>0</c:v>
                </c:pt>
                <c:pt idx="1">
                  <c:v>0.49304521083831787</c:v>
                </c:pt>
                <c:pt idx="2">
                  <c:v>1.9721808433532715</c:v>
                </c:pt>
                <c:pt idx="3">
                  <c:v>4.4374070167541504</c:v>
                </c:pt>
                <c:pt idx="4">
                  <c:v>7.8887233734130859</c:v>
                </c:pt>
                <c:pt idx="5">
                  <c:v>12.326129913330078</c:v>
                </c:pt>
                <c:pt idx="6">
                  <c:v>17.749628067016602</c:v>
                </c:pt>
                <c:pt idx="7">
                  <c:v>24.159215927124023</c:v>
                </c:pt>
                <c:pt idx="8">
                  <c:v>31.554893493652344</c:v>
                </c:pt>
                <c:pt idx="9">
                  <c:v>39.936660766601563</c:v>
                </c:pt>
                <c:pt idx="10">
                  <c:v>49.304519653320313</c:v>
                </c:pt>
                <c:pt idx="11">
                  <c:v>59.658470153808594</c:v>
                </c:pt>
                <c:pt idx="12">
                  <c:v>70.998512268066406</c:v>
                </c:pt>
                <c:pt idx="13">
                  <c:v>83.324638366699219</c:v>
                </c:pt>
                <c:pt idx="14">
                  <c:v>96.636863708496094</c:v>
                </c:pt>
                <c:pt idx="15">
                  <c:v>110.93517303466797</c:v>
                </c:pt>
                <c:pt idx="16">
                  <c:v>126.21957397460938</c:v>
                </c:pt>
                <c:pt idx="17">
                  <c:v>142.49006652832031</c:v>
                </c:pt>
                <c:pt idx="18">
                  <c:v>159.74664306640625</c:v>
                </c:pt>
                <c:pt idx="19">
                  <c:v>177.98931884765625</c:v>
                </c:pt>
                <c:pt idx="20">
                  <c:v>197.21807861328125</c:v>
                </c:pt>
                <c:pt idx="21">
                  <c:v>217.43293762207031</c:v>
                </c:pt>
                <c:pt idx="22">
                  <c:v>238.63388061523438</c:v>
                </c:pt>
                <c:pt idx="23">
                  <c:v>260.8209228515625</c:v>
                </c:pt>
                <c:pt idx="24">
                  <c:v>283.99404907226563</c:v>
                </c:pt>
                <c:pt idx="25">
                  <c:v>308.15325927734375</c:v>
                </c:pt>
                <c:pt idx="26">
                  <c:v>333.29855346679688</c:v>
                </c:pt>
                <c:pt idx="27">
                  <c:v>359.42996215820313</c:v>
                </c:pt>
                <c:pt idx="28">
                  <c:v>386.54745483398438</c:v>
                </c:pt>
                <c:pt idx="29">
                  <c:v>414.65103149414063</c:v>
                </c:pt>
                <c:pt idx="30">
                  <c:v>443.74069213867188</c:v>
                </c:pt>
                <c:pt idx="31">
                  <c:v>473.81643676757813</c:v>
                </c:pt>
                <c:pt idx="32">
                  <c:v>504.8782958984375</c:v>
                </c:pt>
                <c:pt idx="33">
                  <c:v>536.92620849609375</c:v>
                </c:pt>
                <c:pt idx="34">
                  <c:v>569.96026611328125</c:v>
                </c:pt>
                <c:pt idx="35">
                  <c:v>603.98040771484375</c:v>
                </c:pt>
                <c:pt idx="36">
                  <c:v>638.986572265625</c:v>
                </c:pt>
                <c:pt idx="37">
                  <c:v>674.9788818359375</c:v>
                </c:pt>
                <c:pt idx="38">
                  <c:v>711.957275390625</c:v>
                </c:pt>
                <c:pt idx="39">
                  <c:v>749.9217529296875</c:v>
                </c:pt>
                <c:pt idx="40">
                  <c:v>788.872314453125</c:v>
                </c:pt>
                <c:pt idx="41">
                  <c:v>828.80902099609375</c:v>
                </c:pt>
                <c:pt idx="42">
                  <c:v>869.73175048828125</c:v>
                </c:pt>
                <c:pt idx="43">
                  <c:v>911.640625</c:v>
                </c:pt>
                <c:pt idx="44">
                  <c:v>954.5355224609375</c:v>
                </c:pt>
                <c:pt idx="45">
                  <c:v>998.41656494140625</c:v>
                </c:pt>
                <c:pt idx="46">
                  <c:v>1043.28369140625</c:v>
                </c:pt>
                <c:pt idx="47">
                  <c:v>1089.1368408203125</c:v>
                </c:pt>
                <c:pt idx="48">
                  <c:v>1135.9761962890625</c:v>
                </c:pt>
                <c:pt idx="49">
                  <c:v>1183.801513671875</c:v>
                </c:pt>
                <c:pt idx="50">
                  <c:v>1232.613037109375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7-433D-8E16-373543A05FBC}"/>
            </c:ext>
          </c:extLst>
        </c:ser>
        <c:ser>
          <c:idx val="6"/>
          <c:order val="6"/>
          <c:tx>
            <c:strRef>
              <c:f>Skymaps!$D$8</c:f>
              <c:strCache>
                <c:ptCount val="1"/>
                <c:pt idx="0">
                  <c:v>6000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Skymaps!$E$8:$BC$8</c:f>
              <c:numCache>
                <c:formatCode>General</c:formatCode>
                <c:ptCount val="51"/>
                <c:pt idx="0">
                  <c:v>0</c:v>
                </c:pt>
                <c:pt idx="1">
                  <c:v>0.47488060593605042</c:v>
                </c:pt>
                <c:pt idx="2">
                  <c:v>1.8995224237442017</c:v>
                </c:pt>
                <c:pt idx="3">
                  <c:v>4.2739253044128418</c:v>
                </c:pt>
                <c:pt idx="4">
                  <c:v>7.5980896949768066</c:v>
                </c:pt>
                <c:pt idx="5">
                  <c:v>11.872014999389648</c:v>
                </c:pt>
                <c:pt idx="6">
                  <c:v>17.095701217651367</c:v>
                </c:pt>
                <c:pt idx="7">
                  <c:v>23.269149780273438</c:v>
                </c:pt>
                <c:pt idx="8">
                  <c:v>30.392358779907227</c:v>
                </c:pt>
                <c:pt idx="9">
                  <c:v>38.465328216552734</c:v>
                </c:pt>
                <c:pt idx="10">
                  <c:v>47.488059997558594</c:v>
                </c:pt>
                <c:pt idx="11">
                  <c:v>57.460556030273438</c:v>
                </c:pt>
                <c:pt idx="12">
                  <c:v>68.382804870605469</c:v>
                </c:pt>
                <c:pt idx="13">
                  <c:v>80.25482177734375</c:v>
                </c:pt>
                <c:pt idx="14">
                  <c:v>93.07659912109375</c:v>
                </c:pt>
                <c:pt idx="15">
                  <c:v>106.84813690185547</c:v>
                </c:pt>
                <c:pt idx="16">
                  <c:v>121.56943511962891</c:v>
                </c:pt>
                <c:pt idx="17">
                  <c:v>137.24049377441406</c:v>
                </c:pt>
                <c:pt idx="18">
                  <c:v>153.86131286621094</c:v>
                </c:pt>
                <c:pt idx="19">
                  <c:v>171.43190002441406</c:v>
                </c:pt>
                <c:pt idx="20">
                  <c:v>189.95223999023438</c:v>
                </c:pt>
                <c:pt idx="21">
                  <c:v>209.42234802246094</c:v>
                </c:pt>
                <c:pt idx="22">
                  <c:v>229.84222412109375</c:v>
                </c:pt>
                <c:pt idx="23">
                  <c:v>251.21185302734375</c:v>
                </c:pt>
                <c:pt idx="24">
                  <c:v>273.53121948242188</c:v>
                </c:pt>
                <c:pt idx="25">
                  <c:v>296.80038452148438</c:v>
                </c:pt>
                <c:pt idx="26">
                  <c:v>321.019287109375</c:v>
                </c:pt>
                <c:pt idx="27">
                  <c:v>346.18795776367188</c:v>
                </c:pt>
                <c:pt idx="28">
                  <c:v>372.306396484375</c:v>
                </c:pt>
                <c:pt idx="29">
                  <c:v>399.37460327148438</c:v>
                </c:pt>
                <c:pt idx="30">
                  <c:v>427.39254760742188</c:v>
                </c:pt>
                <c:pt idx="31">
                  <c:v>456.36026000976563</c:v>
                </c:pt>
                <c:pt idx="32">
                  <c:v>486.27774047851563</c:v>
                </c:pt>
                <c:pt idx="33">
                  <c:v>517.14501953125</c:v>
                </c:pt>
                <c:pt idx="34">
                  <c:v>548.96197509765625</c:v>
                </c:pt>
                <c:pt idx="35">
                  <c:v>581.728759765625</c:v>
                </c:pt>
                <c:pt idx="36">
                  <c:v>615.44525146484375</c:v>
                </c:pt>
                <c:pt idx="37">
                  <c:v>650.111572265625</c:v>
                </c:pt>
                <c:pt idx="38">
                  <c:v>685.72760009765625</c:v>
                </c:pt>
                <c:pt idx="39">
                  <c:v>722.29339599609375</c:v>
                </c:pt>
                <c:pt idx="40">
                  <c:v>759.8089599609375</c:v>
                </c:pt>
                <c:pt idx="41">
                  <c:v>798.2742919921875</c:v>
                </c:pt>
                <c:pt idx="42">
                  <c:v>837.68939208984375</c:v>
                </c:pt>
                <c:pt idx="43">
                  <c:v>878.05426025390625</c:v>
                </c:pt>
                <c:pt idx="44">
                  <c:v>919.368896484375</c:v>
                </c:pt>
                <c:pt idx="45">
                  <c:v>961.63323974609375</c:v>
                </c:pt>
                <c:pt idx="46">
                  <c:v>1004.847412109375</c:v>
                </c:pt>
                <c:pt idx="47">
                  <c:v>1049.01123046875</c:v>
                </c:pt>
                <c:pt idx="48">
                  <c:v>1094.1248779296875</c:v>
                </c:pt>
                <c:pt idx="49">
                  <c:v>1140.1883544921875</c:v>
                </c:pt>
                <c:pt idx="50">
                  <c:v>1187.2015380859375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67-433D-8E16-373543A05FBC}"/>
            </c:ext>
          </c:extLst>
        </c:ser>
        <c:ser>
          <c:idx val="7"/>
          <c:order val="7"/>
          <c:tx>
            <c:strRef>
              <c:f>Skymaps!$D$9</c:f>
              <c:strCache>
                <c:ptCount val="1"/>
                <c:pt idx="0">
                  <c:v>7000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Skymaps!$E$9:$BC$9</c:f>
              <c:numCache>
                <c:formatCode>General</c:formatCode>
                <c:ptCount val="51"/>
                <c:pt idx="0">
                  <c:v>0</c:v>
                </c:pt>
                <c:pt idx="1">
                  <c:v>0.45726343989372253</c:v>
                </c:pt>
                <c:pt idx="2">
                  <c:v>1.8290537595748901</c:v>
                </c:pt>
                <c:pt idx="3">
                  <c:v>4.1153707504272461</c:v>
                </c:pt>
                <c:pt idx="4">
                  <c:v>7.3162150382995605</c:v>
                </c:pt>
                <c:pt idx="5">
                  <c:v>11.431585311889648</c:v>
                </c:pt>
                <c:pt idx="6">
                  <c:v>16.461483001708984</c:v>
                </c:pt>
                <c:pt idx="7">
                  <c:v>22.405908584594727</c:v>
                </c:pt>
                <c:pt idx="8">
                  <c:v>29.264860153198242</c:v>
                </c:pt>
                <c:pt idx="9">
                  <c:v>37.038337707519531</c:v>
                </c:pt>
                <c:pt idx="10">
                  <c:v>45.726341247558594</c:v>
                </c:pt>
                <c:pt idx="11">
                  <c:v>55.328876495361328</c:v>
                </c:pt>
                <c:pt idx="12">
                  <c:v>65.845932006835938</c:v>
                </c:pt>
                <c:pt idx="13">
                  <c:v>77.277519226074219</c:v>
                </c:pt>
                <c:pt idx="14">
                  <c:v>89.623634338378906</c:v>
                </c:pt>
                <c:pt idx="15">
                  <c:v>102.88426971435547</c:v>
                </c:pt>
                <c:pt idx="16">
                  <c:v>117.05944061279297</c:v>
                </c:pt>
                <c:pt idx="17">
                  <c:v>132.14912414550781</c:v>
                </c:pt>
                <c:pt idx="18">
                  <c:v>148.15335083007813</c:v>
                </c:pt>
                <c:pt idx="19">
                  <c:v>165.07209777832031</c:v>
                </c:pt>
                <c:pt idx="20">
                  <c:v>182.90536499023438</c:v>
                </c:pt>
                <c:pt idx="21">
                  <c:v>201.65316772460938</c:v>
                </c:pt>
                <c:pt idx="22">
                  <c:v>221.31550598144531</c:v>
                </c:pt>
                <c:pt idx="23">
                  <c:v>241.89234924316406</c:v>
                </c:pt>
                <c:pt idx="24">
                  <c:v>263.38372802734375</c:v>
                </c:pt>
                <c:pt idx="25">
                  <c:v>285.78964233398438</c:v>
                </c:pt>
                <c:pt idx="26">
                  <c:v>309.11007690429688</c:v>
                </c:pt>
                <c:pt idx="27">
                  <c:v>333.34503173828125</c:v>
                </c:pt>
                <c:pt idx="28">
                  <c:v>358.49453735351563</c:v>
                </c:pt>
                <c:pt idx="29">
                  <c:v>384.55853271484375</c:v>
                </c:pt>
                <c:pt idx="30">
                  <c:v>411.53707885742188</c:v>
                </c:pt>
                <c:pt idx="31">
                  <c:v>439.43014526367188</c:v>
                </c:pt>
                <c:pt idx="32">
                  <c:v>468.23776245117188</c:v>
                </c:pt>
                <c:pt idx="33">
                  <c:v>497.95986938476563</c:v>
                </c:pt>
                <c:pt idx="34">
                  <c:v>528.59649658203125</c:v>
                </c:pt>
                <c:pt idx="35">
                  <c:v>560.147705078125</c:v>
                </c:pt>
                <c:pt idx="36">
                  <c:v>592.6134033203125</c:v>
                </c:pt>
                <c:pt idx="37">
                  <c:v>625.99365234375</c:v>
                </c:pt>
                <c:pt idx="38">
                  <c:v>660.28839111328125</c:v>
                </c:pt>
                <c:pt idx="39">
                  <c:v>695.4976806640625</c:v>
                </c:pt>
                <c:pt idx="40">
                  <c:v>731.6214599609375</c:v>
                </c:pt>
                <c:pt idx="41">
                  <c:v>768.65985107421875</c:v>
                </c:pt>
                <c:pt idx="42">
                  <c:v>806.6126708984375</c:v>
                </c:pt>
                <c:pt idx="43">
                  <c:v>845.4801025390625</c:v>
                </c:pt>
                <c:pt idx="44">
                  <c:v>885.26202392578125</c:v>
                </c:pt>
                <c:pt idx="45">
                  <c:v>925.95843505859375</c:v>
                </c:pt>
                <c:pt idx="46">
                  <c:v>967.56939697265625</c:v>
                </c:pt>
                <c:pt idx="47">
                  <c:v>1010.0949096679688</c:v>
                </c:pt>
                <c:pt idx="48">
                  <c:v>1053.534912109375</c:v>
                </c:pt>
                <c:pt idx="49">
                  <c:v>1097.8895263671875</c:v>
                </c:pt>
                <c:pt idx="50">
                  <c:v>1143.1585693359375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67-433D-8E16-373543A05FBC}"/>
            </c:ext>
          </c:extLst>
        </c:ser>
        <c:ser>
          <c:idx val="8"/>
          <c:order val="8"/>
          <c:tx>
            <c:strRef>
              <c:f>Skymaps!$D$10</c:f>
              <c:strCache>
                <c:ptCount val="1"/>
                <c:pt idx="0">
                  <c:v>8000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Skymaps!$E$10:$BC$10</c:f>
              <c:numCache>
                <c:formatCode>General</c:formatCode>
                <c:ptCount val="51"/>
                <c:pt idx="0">
                  <c:v>0</c:v>
                </c:pt>
                <c:pt idx="1">
                  <c:v>0.44018080830574036</c:v>
                </c:pt>
                <c:pt idx="2">
                  <c:v>1.7607232332229614</c:v>
                </c:pt>
                <c:pt idx="3">
                  <c:v>3.9616272449493408</c:v>
                </c:pt>
                <c:pt idx="4">
                  <c:v>7.0428929328918457</c:v>
                </c:pt>
                <c:pt idx="5">
                  <c:v>11.004520416259766</c:v>
                </c:pt>
                <c:pt idx="6">
                  <c:v>15.846508979797363</c:v>
                </c:pt>
                <c:pt idx="7">
                  <c:v>21.568859100341797</c:v>
                </c:pt>
                <c:pt idx="8">
                  <c:v>28.171571731567383</c:v>
                </c:pt>
                <c:pt idx="9">
                  <c:v>35.654644012451172</c:v>
                </c:pt>
                <c:pt idx="10">
                  <c:v>44.018081665039063</c:v>
                </c:pt>
                <c:pt idx="11">
                  <c:v>53.261878967285156</c:v>
                </c:pt>
                <c:pt idx="12">
                  <c:v>63.386035919189453</c:v>
                </c:pt>
                <c:pt idx="13">
                  <c:v>74.390556335449219</c:v>
                </c:pt>
                <c:pt idx="14">
                  <c:v>86.275436401367188</c:v>
                </c:pt>
                <c:pt idx="15">
                  <c:v>99.040679931640625</c:v>
                </c:pt>
                <c:pt idx="16">
                  <c:v>112.68628692626953</c:v>
                </c:pt>
                <c:pt idx="17">
                  <c:v>127.21225738525391</c:v>
                </c:pt>
                <c:pt idx="18">
                  <c:v>142.61857604980469</c:v>
                </c:pt>
                <c:pt idx="19">
                  <c:v>158.9052734375</c:v>
                </c:pt>
                <c:pt idx="20">
                  <c:v>176.07232666015625</c:v>
                </c:pt>
                <c:pt idx="21">
                  <c:v>194.11973571777344</c:v>
                </c:pt>
                <c:pt idx="22">
                  <c:v>213.04751586914063</c:v>
                </c:pt>
                <c:pt idx="23">
                  <c:v>232.85565185546875</c:v>
                </c:pt>
                <c:pt idx="24">
                  <c:v>253.54414367675781</c:v>
                </c:pt>
                <c:pt idx="25">
                  <c:v>275.11300659179688</c:v>
                </c:pt>
                <c:pt idx="26">
                  <c:v>297.56222534179688</c:v>
                </c:pt>
                <c:pt idx="27">
                  <c:v>320.89181518554688</c:v>
                </c:pt>
                <c:pt idx="28">
                  <c:v>345.10174560546875</c:v>
                </c:pt>
                <c:pt idx="29">
                  <c:v>370.19204711914063</c:v>
                </c:pt>
                <c:pt idx="30">
                  <c:v>396.1627197265625</c:v>
                </c:pt>
                <c:pt idx="31">
                  <c:v>423.01376342773438</c:v>
                </c:pt>
                <c:pt idx="32">
                  <c:v>450.74514770507813</c:v>
                </c:pt>
                <c:pt idx="33">
                  <c:v>479.35690307617188</c:v>
                </c:pt>
                <c:pt idx="34">
                  <c:v>508.84902954101563</c:v>
                </c:pt>
                <c:pt idx="35">
                  <c:v>539.22149658203125</c:v>
                </c:pt>
                <c:pt idx="36">
                  <c:v>570.47430419921875</c:v>
                </c:pt>
                <c:pt idx="37">
                  <c:v>602.6075439453125</c:v>
                </c:pt>
                <c:pt idx="38">
                  <c:v>635.62109375</c:v>
                </c:pt>
                <c:pt idx="39">
                  <c:v>669.5150146484375</c:v>
                </c:pt>
                <c:pt idx="40">
                  <c:v>704.289306640625</c:v>
                </c:pt>
                <c:pt idx="41">
                  <c:v>739.9439697265625</c:v>
                </c:pt>
                <c:pt idx="42">
                  <c:v>776.47894287109375</c:v>
                </c:pt>
                <c:pt idx="43">
                  <c:v>813.89434814453125</c:v>
                </c:pt>
                <c:pt idx="44">
                  <c:v>852.1900634765625</c:v>
                </c:pt>
                <c:pt idx="45">
                  <c:v>891.36614990234375</c:v>
                </c:pt>
                <c:pt idx="46">
                  <c:v>931.422607421875</c:v>
                </c:pt>
                <c:pt idx="47">
                  <c:v>972.35943603515625</c:v>
                </c:pt>
                <c:pt idx="48">
                  <c:v>1014.1765747070313</c:v>
                </c:pt>
                <c:pt idx="49">
                  <c:v>1056.8741455078125</c:v>
                </c:pt>
                <c:pt idx="50">
                  <c:v>1100.4520263671875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67-433D-8E16-373543A05FBC}"/>
            </c:ext>
          </c:extLst>
        </c:ser>
        <c:ser>
          <c:idx val="9"/>
          <c:order val="9"/>
          <c:tx>
            <c:strRef>
              <c:f>Skymaps!$D$11</c:f>
              <c:strCache>
                <c:ptCount val="1"/>
                <c:pt idx="0">
                  <c:v>9000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Skymaps!$E$11:$BC$11</c:f>
              <c:numCache>
                <c:formatCode>General</c:formatCode>
                <c:ptCount val="51"/>
                <c:pt idx="0">
                  <c:v>0</c:v>
                </c:pt>
                <c:pt idx="1">
                  <c:v>0.42362022399902344</c:v>
                </c:pt>
                <c:pt idx="2">
                  <c:v>1.6944808959960938</c:v>
                </c:pt>
                <c:pt idx="3">
                  <c:v>3.8125820159912109</c:v>
                </c:pt>
                <c:pt idx="4">
                  <c:v>6.777923583984375</c:v>
                </c:pt>
                <c:pt idx="5">
                  <c:v>10.590505599975586</c:v>
                </c:pt>
                <c:pt idx="6">
                  <c:v>15.250328063964844</c:v>
                </c:pt>
                <c:pt idx="7">
                  <c:v>20.757390975952148</c:v>
                </c:pt>
                <c:pt idx="8">
                  <c:v>27.1116943359375</c:v>
                </c:pt>
                <c:pt idx="9">
                  <c:v>34.313236236572266</c:v>
                </c:pt>
                <c:pt idx="10">
                  <c:v>42.362022399902344</c:v>
                </c:pt>
                <c:pt idx="11">
                  <c:v>51.258045196533203</c:v>
                </c:pt>
                <c:pt idx="12">
                  <c:v>61.001312255859375</c:v>
                </c:pt>
                <c:pt idx="13">
                  <c:v>71.591819763183594</c:v>
                </c:pt>
                <c:pt idx="14">
                  <c:v>83.029563903808594</c:v>
                </c:pt>
                <c:pt idx="15">
                  <c:v>95.314544677734375</c:v>
                </c:pt>
                <c:pt idx="16">
                  <c:v>108.44677734375</c:v>
                </c:pt>
                <c:pt idx="17">
                  <c:v>122.42623901367188</c:v>
                </c:pt>
                <c:pt idx="18">
                  <c:v>137.25294494628906</c:v>
                </c:pt>
                <c:pt idx="19">
                  <c:v>152.92689514160156</c:v>
                </c:pt>
                <c:pt idx="20">
                  <c:v>169.44808959960938</c:v>
                </c:pt>
                <c:pt idx="21">
                  <c:v>186.81651306152344</c:v>
                </c:pt>
                <c:pt idx="22">
                  <c:v>205.03218078613281</c:v>
                </c:pt>
                <c:pt idx="23">
                  <c:v>224.0950927734375</c:v>
                </c:pt>
                <c:pt idx="24">
                  <c:v>244.0052490234375</c:v>
                </c:pt>
                <c:pt idx="25">
                  <c:v>264.76263427734375</c:v>
                </c:pt>
                <c:pt idx="26">
                  <c:v>286.36727905273438</c:v>
                </c:pt>
                <c:pt idx="27">
                  <c:v>308.81912231445313</c:v>
                </c:pt>
                <c:pt idx="28">
                  <c:v>332.11825561523438</c:v>
                </c:pt>
                <c:pt idx="29">
                  <c:v>356.26458740234375</c:v>
                </c:pt>
                <c:pt idx="30">
                  <c:v>381.2581787109375</c:v>
                </c:pt>
                <c:pt idx="31">
                  <c:v>407.09902954101563</c:v>
                </c:pt>
                <c:pt idx="32">
                  <c:v>433.787109375</c:v>
                </c:pt>
                <c:pt idx="33">
                  <c:v>461.32241821289063</c:v>
                </c:pt>
                <c:pt idx="34">
                  <c:v>489.7049560546875</c:v>
                </c:pt>
                <c:pt idx="35">
                  <c:v>518.93475341796875</c:v>
                </c:pt>
                <c:pt idx="36">
                  <c:v>549.01177978515625</c:v>
                </c:pt>
                <c:pt idx="37">
                  <c:v>579.93609619140625</c:v>
                </c:pt>
                <c:pt idx="38">
                  <c:v>611.70758056640625</c:v>
                </c:pt>
                <c:pt idx="39">
                  <c:v>644.32635498046875</c:v>
                </c:pt>
                <c:pt idx="40">
                  <c:v>677.7923583984375</c:v>
                </c:pt>
                <c:pt idx="41">
                  <c:v>712.1055908203125</c:v>
                </c:pt>
                <c:pt idx="42">
                  <c:v>747.26605224609375</c:v>
                </c:pt>
                <c:pt idx="43">
                  <c:v>783.2738037109375</c:v>
                </c:pt>
                <c:pt idx="44">
                  <c:v>820.12872314453125</c:v>
                </c:pt>
                <c:pt idx="45">
                  <c:v>857.8309326171875</c:v>
                </c:pt>
                <c:pt idx="46">
                  <c:v>896.38037109375</c:v>
                </c:pt>
                <c:pt idx="47">
                  <c:v>935.77703857421875</c:v>
                </c:pt>
                <c:pt idx="48">
                  <c:v>976.02099609375</c:v>
                </c:pt>
                <c:pt idx="49">
                  <c:v>1017.1121215820313</c:v>
                </c:pt>
                <c:pt idx="50">
                  <c:v>1059.050537109375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67-433D-8E16-373543A05FBC}"/>
            </c:ext>
          </c:extLst>
        </c:ser>
        <c:ser>
          <c:idx val="10"/>
          <c:order val="10"/>
          <c:tx>
            <c:strRef>
              <c:f>Skymaps!$D$12</c:f>
              <c:strCache>
                <c:ptCount val="1"/>
                <c:pt idx="0">
                  <c:v>10000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Skymaps!$E$12:$BC$12</c:f>
              <c:numCache>
                <c:formatCode>General</c:formatCode>
                <c:ptCount val="51"/>
                <c:pt idx="0">
                  <c:v>0</c:v>
                </c:pt>
                <c:pt idx="1">
                  <c:v>0.40756931900978088</c:v>
                </c:pt>
                <c:pt idx="2">
                  <c:v>1.6302772760391235</c:v>
                </c:pt>
                <c:pt idx="3">
                  <c:v>3.668123722076416</c:v>
                </c:pt>
                <c:pt idx="4">
                  <c:v>6.5211091041564941</c:v>
                </c:pt>
                <c:pt idx="5">
                  <c:v>10.18923282623291</c:v>
                </c:pt>
                <c:pt idx="6">
                  <c:v>14.672494888305664</c:v>
                </c:pt>
                <c:pt idx="7">
                  <c:v>19.970895767211914</c:v>
                </c:pt>
                <c:pt idx="8">
                  <c:v>26.084436416625977</c:v>
                </c:pt>
                <c:pt idx="9">
                  <c:v>33.013114929199219</c:v>
                </c:pt>
                <c:pt idx="10">
                  <c:v>40.756931304931641</c:v>
                </c:pt>
                <c:pt idx="11">
                  <c:v>49.315887451171875</c:v>
                </c:pt>
                <c:pt idx="12">
                  <c:v>58.689979553222656</c:v>
                </c:pt>
                <c:pt idx="13">
                  <c:v>68.87921142578125</c:v>
                </c:pt>
                <c:pt idx="14">
                  <c:v>79.883583068847656</c:v>
                </c:pt>
                <c:pt idx="15">
                  <c:v>91.703094482421875</c:v>
                </c:pt>
                <c:pt idx="16">
                  <c:v>104.33774566650391</c:v>
                </c:pt>
                <c:pt idx="17">
                  <c:v>117.78752899169922</c:v>
                </c:pt>
                <c:pt idx="18">
                  <c:v>132.05245971679688</c:v>
                </c:pt>
                <c:pt idx="19">
                  <c:v>147.13252258300781</c:v>
                </c:pt>
                <c:pt idx="20">
                  <c:v>163.02772521972656</c:v>
                </c:pt>
                <c:pt idx="21">
                  <c:v>179.73806762695313</c:v>
                </c:pt>
                <c:pt idx="22">
                  <c:v>197.2635498046875</c:v>
                </c:pt>
                <c:pt idx="23">
                  <c:v>215.60417175292969</c:v>
                </c:pt>
                <c:pt idx="24">
                  <c:v>234.75991821289063</c:v>
                </c:pt>
                <c:pt idx="25">
                  <c:v>254.73081970214844</c:v>
                </c:pt>
                <c:pt idx="26">
                  <c:v>275.516845703125</c:v>
                </c:pt>
                <c:pt idx="27">
                  <c:v>297.1180419921875</c:v>
                </c:pt>
                <c:pt idx="28">
                  <c:v>319.53433227539063</c:v>
                </c:pt>
                <c:pt idx="29">
                  <c:v>342.76577758789063</c:v>
                </c:pt>
                <c:pt idx="30">
                  <c:v>366.8123779296875</c:v>
                </c:pt>
                <c:pt idx="31">
                  <c:v>391.67410278320313</c:v>
                </c:pt>
                <c:pt idx="32">
                  <c:v>417.35098266601563</c:v>
                </c:pt>
                <c:pt idx="33">
                  <c:v>443.84298706054688</c:v>
                </c:pt>
                <c:pt idx="34">
                  <c:v>471.15011596679688</c:v>
                </c:pt>
                <c:pt idx="35">
                  <c:v>499.27239990234375</c:v>
                </c:pt>
                <c:pt idx="36">
                  <c:v>528.2098388671875</c:v>
                </c:pt>
                <c:pt idx="37">
                  <c:v>557.96240234375</c:v>
                </c:pt>
                <c:pt idx="38">
                  <c:v>588.53009033203125</c:v>
                </c:pt>
                <c:pt idx="39">
                  <c:v>619.91290283203125</c:v>
                </c:pt>
                <c:pt idx="40">
                  <c:v>652.11090087890625</c:v>
                </c:pt>
                <c:pt idx="41">
                  <c:v>685.1240234375</c:v>
                </c:pt>
                <c:pt idx="42">
                  <c:v>718.9522705078125</c:v>
                </c:pt>
                <c:pt idx="43">
                  <c:v>753.59564208984375</c:v>
                </c:pt>
                <c:pt idx="44">
                  <c:v>789.05419921875</c:v>
                </c:pt>
                <c:pt idx="45">
                  <c:v>825.327880859375</c:v>
                </c:pt>
                <c:pt idx="46">
                  <c:v>862.41668701171875</c:v>
                </c:pt>
                <c:pt idx="47">
                  <c:v>900.32061767578125</c:v>
                </c:pt>
                <c:pt idx="48">
                  <c:v>939.0396728515625</c:v>
                </c:pt>
                <c:pt idx="49">
                  <c:v>978.57391357421875</c:v>
                </c:pt>
                <c:pt idx="50">
                  <c:v>1018.9232788085938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67-433D-8E16-373543A05FBC}"/>
            </c:ext>
          </c:extLst>
        </c:ser>
        <c:ser>
          <c:idx val="11"/>
          <c:order val="11"/>
          <c:tx>
            <c:strRef>
              <c:f>Skymaps!$D$13</c:f>
              <c:strCache>
                <c:ptCount val="1"/>
                <c:pt idx="0">
                  <c:v>11000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Skymaps!$E$13:$BC$13</c:f>
              <c:numCache>
                <c:formatCode>General</c:formatCode>
                <c:ptCount val="51"/>
                <c:pt idx="0">
                  <c:v>0</c:v>
                </c:pt>
                <c:pt idx="1">
                  <c:v>0.39201590418815613</c:v>
                </c:pt>
                <c:pt idx="2">
                  <c:v>1.5680636167526245</c:v>
                </c:pt>
                <c:pt idx="3">
                  <c:v>3.5281431674957275</c:v>
                </c:pt>
                <c:pt idx="4">
                  <c:v>6.272254467010498</c:v>
                </c:pt>
                <c:pt idx="5">
                  <c:v>9.8003978729248047</c:v>
                </c:pt>
                <c:pt idx="6">
                  <c:v>14.11257266998291</c:v>
                </c:pt>
                <c:pt idx="7">
                  <c:v>19.208780288696289</c:v>
                </c:pt>
                <c:pt idx="8">
                  <c:v>25.089017868041992</c:v>
                </c:pt>
                <c:pt idx="9">
                  <c:v>31.753290176391602</c:v>
                </c:pt>
                <c:pt idx="10">
                  <c:v>39.201591491699219</c:v>
                </c:pt>
                <c:pt idx="11">
                  <c:v>47.433925628662109</c:v>
                </c:pt>
                <c:pt idx="12">
                  <c:v>56.450290679931641</c:v>
                </c:pt>
                <c:pt idx="13">
                  <c:v>66.250686645507813</c:v>
                </c:pt>
                <c:pt idx="14">
                  <c:v>76.835121154785156</c:v>
                </c:pt>
                <c:pt idx="15">
                  <c:v>88.203582763671875</c:v>
                </c:pt>
                <c:pt idx="16">
                  <c:v>100.35607147216797</c:v>
                </c:pt>
                <c:pt idx="17">
                  <c:v>113.2926025390625</c:v>
                </c:pt>
                <c:pt idx="18">
                  <c:v>127.01316070556641</c:v>
                </c:pt>
                <c:pt idx="19">
                  <c:v>141.51774597167969</c:v>
                </c:pt>
                <c:pt idx="20">
                  <c:v>156.80636596679688</c:v>
                </c:pt>
                <c:pt idx="21">
                  <c:v>172.87901306152344</c:v>
                </c:pt>
                <c:pt idx="22">
                  <c:v>189.73570251464844</c:v>
                </c:pt>
                <c:pt idx="23">
                  <c:v>207.37641906738281</c:v>
                </c:pt>
                <c:pt idx="24">
                  <c:v>225.80116271972656</c:v>
                </c:pt>
                <c:pt idx="25">
                  <c:v>245.00994873046875</c:v>
                </c:pt>
                <c:pt idx="26">
                  <c:v>265.00274658203125</c:v>
                </c:pt>
                <c:pt idx="27">
                  <c:v>285.77960205078125</c:v>
                </c:pt>
                <c:pt idx="28">
                  <c:v>307.34048461914063</c:v>
                </c:pt>
                <c:pt idx="29">
                  <c:v>329.68539428710938</c:v>
                </c:pt>
                <c:pt idx="30">
                  <c:v>352.8143310546875</c:v>
                </c:pt>
                <c:pt idx="31">
                  <c:v>376.727294921875</c:v>
                </c:pt>
                <c:pt idx="32">
                  <c:v>401.42428588867188</c:v>
                </c:pt>
                <c:pt idx="33">
                  <c:v>426.90533447265625</c:v>
                </c:pt>
                <c:pt idx="34">
                  <c:v>453.17041015625</c:v>
                </c:pt>
                <c:pt idx="35">
                  <c:v>480.21951293945313</c:v>
                </c:pt>
                <c:pt idx="36">
                  <c:v>508.05264282226563</c:v>
                </c:pt>
                <c:pt idx="37">
                  <c:v>536.6697998046875</c:v>
                </c:pt>
                <c:pt idx="38">
                  <c:v>566.07098388671875</c:v>
                </c:pt>
                <c:pt idx="39">
                  <c:v>596.2562255859375</c:v>
                </c:pt>
                <c:pt idx="40">
                  <c:v>627.2254638671875</c:v>
                </c:pt>
                <c:pt idx="41">
                  <c:v>658.978759765625</c:v>
                </c:pt>
                <c:pt idx="42">
                  <c:v>691.51605224609375</c:v>
                </c:pt>
                <c:pt idx="43">
                  <c:v>724.83740234375</c:v>
                </c:pt>
                <c:pt idx="44">
                  <c:v>758.94281005859375</c:v>
                </c:pt>
                <c:pt idx="45">
                  <c:v>793.83221435546875</c:v>
                </c:pt>
                <c:pt idx="46">
                  <c:v>829.50567626953125</c:v>
                </c:pt>
                <c:pt idx="47">
                  <c:v>865.963134765625</c:v>
                </c:pt>
                <c:pt idx="48">
                  <c:v>903.20465087890625</c:v>
                </c:pt>
                <c:pt idx="49">
                  <c:v>941.230224609375</c:v>
                </c:pt>
                <c:pt idx="50">
                  <c:v>980.039794921875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67-433D-8E16-373543A05FBC}"/>
            </c:ext>
          </c:extLst>
        </c:ser>
        <c:ser>
          <c:idx val="12"/>
          <c:order val="12"/>
          <c:tx>
            <c:strRef>
              <c:f>Skymaps!$D$14</c:f>
              <c:strCache>
                <c:ptCount val="1"/>
                <c:pt idx="0">
                  <c:v>12000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Skymaps!$E$14:$BC$14</c:f>
              <c:numCache>
                <c:formatCode>General</c:formatCode>
                <c:ptCount val="51"/>
                <c:pt idx="0">
                  <c:v>0</c:v>
                </c:pt>
                <c:pt idx="1">
                  <c:v>0.37694808840751648</c:v>
                </c:pt>
                <c:pt idx="2">
                  <c:v>1.5077923536300659</c:v>
                </c:pt>
                <c:pt idx="3">
                  <c:v>3.3925328254699707</c:v>
                </c:pt>
                <c:pt idx="4">
                  <c:v>6.0311694145202637</c:v>
                </c:pt>
                <c:pt idx="5">
                  <c:v>9.4237022399902344</c:v>
                </c:pt>
                <c:pt idx="6">
                  <c:v>13.570131301879883</c:v>
                </c:pt>
                <c:pt idx="7">
                  <c:v>18.470457077026367</c:v>
                </c:pt>
                <c:pt idx="8">
                  <c:v>24.124677658081055</c:v>
                </c:pt>
                <c:pt idx="9">
                  <c:v>30.532794952392578</c:v>
                </c:pt>
                <c:pt idx="10">
                  <c:v>37.694808959960938</c:v>
                </c:pt>
                <c:pt idx="11">
                  <c:v>45.6107177734375</c:v>
                </c:pt>
                <c:pt idx="12">
                  <c:v>54.280525207519531</c:v>
                </c:pt>
                <c:pt idx="13">
                  <c:v>63.704227447509766</c:v>
                </c:pt>
                <c:pt idx="14">
                  <c:v>73.881828308105469</c:v>
                </c:pt>
                <c:pt idx="15">
                  <c:v>84.813323974609375</c:v>
                </c:pt>
                <c:pt idx="16">
                  <c:v>96.498710632324219</c:v>
                </c:pt>
                <c:pt idx="17">
                  <c:v>108.93799591064453</c:v>
                </c:pt>
                <c:pt idx="18">
                  <c:v>122.13117980957031</c:v>
                </c:pt>
                <c:pt idx="19">
                  <c:v>136.07826232910156</c:v>
                </c:pt>
                <c:pt idx="20">
                  <c:v>150.77923583984375</c:v>
                </c:pt>
                <c:pt idx="21">
                  <c:v>166.23411560058594</c:v>
                </c:pt>
                <c:pt idx="22">
                  <c:v>182.44287109375</c:v>
                </c:pt>
                <c:pt idx="23">
                  <c:v>199.40554809570313</c:v>
                </c:pt>
                <c:pt idx="24">
                  <c:v>217.12210083007813</c:v>
                </c:pt>
                <c:pt idx="25">
                  <c:v>235.59255981445313</c:v>
                </c:pt>
                <c:pt idx="26">
                  <c:v>254.81690979003906</c:v>
                </c:pt>
                <c:pt idx="27">
                  <c:v>274.795166015625</c:v>
                </c:pt>
                <c:pt idx="28">
                  <c:v>295.52731323242188</c:v>
                </c:pt>
                <c:pt idx="29">
                  <c:v>317.01333618164063</c:v>
                </c:pt>
                <c:pt idx="30">
                  <c:v>339.2532958984375</c:v>
                </c:pt>
                <c:pt idx="31">
                  <c:v>362.24713134765625</c:v>
                </c:pt>
                <c:pt idx="32">
                  <c:v>385.99484252929688</c:v>
                </c:pt>
                <c:pt idx="33">
                  <c:v>410.49649047851563</c:v>
                </c:pt>
                <c:pt idx="34">
                  <c:v>435.75198364257813</c:v>
                </c:pt>
                <c:pt idx="35">
                  <c:v>461.76141357421875</c:v>
                </c:pt>
                <c:pt idx="36">
                  <c:v>488.52471923828125</c:v>
                </c:pt>
                <c:pt idx="37">
                  <c:v>516.04193115234375</c:v>
                </c:pt>
                <c:pt idx="38">
                  <c:v>544.31304931640625</c:v>
                </c:pt>
                <c:pt idx="39">
                  <c:v>573.33807373046875</c:v>
                </c:pt>
                <c:pt idx="40">
                  <c:v>603.116943359375</c:v>
                </c:pt>
                <c:pt idx="41">
                  <c:v>633.64971923828125</c:v>
                </c:pt>
                <c:pt idx="42">
                  <c:v>664.93646240234375</c:v>
                </c:pt>
                <c:pt idx="43">
                  <c:v>696.97705078125</c:v>
                </c:pt>
                <c:pt idx="44">
                  <c:v>729.771484375</c:v>
                </c:pt>
                <c:pt idx="45">
                  <c:v>763.31988525390625</c:v>
                </c:pt>
                <c:pt idx="46">
                  <c:v>797.6221923828125</c:v>
                </c:pt>
                <c:pt idx="47">
                  <c:v>832.6783447265625</c:v>
                </c:pt>
                <c:pt idx="48">
                  <c:v>868.4884033203125</c:v>
                </c:pt>
                <c:pt idx="49">
                  <c:v>905.0523681640625</c:v>
                </c:pt>
                <c:pt idx="50">
                  <c:v>942.3702392578125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167-433D-8E16-373543A05FBC}"/>
            </c:ext>
          </c:extLst>
        </c:ser>
        <c:ser>
          <c:idx val="13"/>
          <c:order val="13"/>
          <c:tx>
            <c:strRef>
              <c:f>Skymaps!$D$15</c:f>
              <c:strCache>
                <c:ptCount val="1"/>
                <c:pt idx="0">
                  <c:v>13000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Skymaps!$E$15:$BC$15</c:f>
              <c:numCache>
                <c:formatCode>General</c:formatCode>
                <c:ptCount val="51"/>
                <c:pt idx="0">
                  <c:v>0</c:v>
                </c:pt>
                <c:pt idx="1">
                  <c:v>0.36235406994819641</c:v>
                </c:pt>
                <c:pt idx="2">
                  <c:v>1.4494162797927856</c:v>
                </c:pt>
                <c:pt idx="3">
                  <c:v>3.2611865997314453</c:v>
                </c:pt>
                <c:pt idx="4">
                  <c:v>5.7976651191711426</c:v>
                </c:pt>
                <c:pt idx="5">
                  <c:v>9.0588521957397461</c:v>
                </c:pt>
                <c:pt idx="6">
                  <c:v>13.044746398925781</c:v>
                </c:pt>
                <c:pt idx="7">
                  <c:v>17.755350112915039</c:v>
                </c:pt>
                <c:pt idx="8">
                  <c:v>23.19066047668457</c:v>
                </c:pt>
                <c:pt idx="9">
                  <c:v>29.350679397583008</c:v>
                </c:pt>
                <c:pt idx="10">
                  <c:v>36.235408782958984</c:v>
                </c:pt>
                <c:pt idx="11">
                  <c:v>43.844844818115234</c:v>
                </c:pt>
                <c:pt idx="12">
                  <c:v>52.178985595703125</c:v>
                </c:pt>
                <c:pt idx="13">
                  <c:v>61.237838745117188</c:v>
                </c:pt>
                <c:pt idx="14">
                  <c:v>71.021400451660156</c:v>
                </c:pt>
                <c:pt idx="15">
                  <c:v>81.529670715332031</c:v>
                </c:pt>
                <c:pt idx="16">
                  <c:v>92.762641906738281</c:v>
                </c:pt>
                <c:pt idx="17">
                  <c:v>104.72032928466797</c:v>
                </c:pt>
                <c:pt idx="18">
                  <c:v>117.40271759033203</c:v>
                </c:pt>
                <c:pt idx="19">
                  <c:v>130.809814453125</c:v>
                </c:pt>
                <c:pt idx="20">
                  <c:v>144.94163513183594</c:v>
                </c:pt>
                <c:pt idx="21">
                  <c:v>159.79814147949219</c:v>
                </c:pt>
                <c:pt idx="22">
                  <c:v>175.37937927246094</c:v>
                </c:pt>
                <c:pt idx="23">
                  <c:v>191.685302734375</c:v>
                </c:pt>
                <c:pt idx="24">
                  <c:v>208.7159423828125</c:v>
                </c:pt>
                <c:pt idx="25">
                  <c:v>226.47129821777344</c:v>
                </c:pt>
                <c:pt idx="26">
                  <c:v>244.95135498046875</c:v>
                </c:pt>
                <c:pt idx="27">
                  <c:v>264.1561279296875</c:v>
                </c:pt>
                <c:pt idx="28">
                  <c:v>284.08560180664063</c:v>
                </c:pt>
                <c:pt idx="29">
                  <c:v>304.73977661132813</c:v>
                </c:pt>
                <c:pt idx="30">
                  <c:v>326.11868286132813</c:v>
                </c:pt>
                <c:pt idx="31">
                  <c:v>348.22225952148438</c:v>
                </c:pt>
                <c:pt idx="32">
                  <c:v>371.05056762695313</c:v>
                </c:pt>
                <c:pt idx="33">
                  <c:v>394.60357666015625</c:v>
                </c:pt>
                <c:pt idx="34">
                  <c:v>418.88131713867188</c:v>
                </c:pt>
                <c:pt idx="35">
                  <c:v>443.88375854492188</c:v>
                </c:pt>
                <c:pt idx="36">
                  <c:v>469.61087036132813</c:v>
                </c:pt>
                <c:pt idx="37">
                  <c:v>496.062744140625</c:v>
                </c:pt>
                <c:pt idx="38">
                  <c:v>523.2392578125</c:v>
                </c:pt>
                <c:pt idx="39">
                  <c:v>551.14056396484375</c:v>
                </c:pt>
                <c:pt idx="40">
                  <c:v>579.76654052734375</c:v>
                </c:pt>
                <c:pt idx="41">
                  <c:v>609.1171875</c:v>
                </c:pt>
                <c:pt idx="42">
                  <c:v>639.19256591796875</c:v>
                </c:pt>
                <c:pt idx="43">
                  <c:v>669.99267578125</c:v>
                </c:pt>
                <c:pt idx="44">
                  <c:v>701.51751708984375</c:v>
                </c:pt>
                <c:pt idx="45">
                  <c:v>733.76702880859375</c:v>
                </c:pt>
                <c:pt idx="46">
                  <c:v>766.7412109375</c:v>
                </c:pt>
                <c:pt idx="47">
                  <c:v>800.440185546875</c:v>
                </c:pt>
                <c:pt idx="48">
                  <c:v>834.86376953125</c:v>
                </c:pt>
                <c:pt idx="49">
                  <c:v>870.01214599609375</c:v>
                </c:pt>
                <c:pt idx="50">
                  <c:v>905.88519287109375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167-433D-8E16-373543A05FBC}"/>
            </c:ext>
          </c:extLst>
        </c:ser>
        <c:ser>
          <c:idx val="14"/>
          <c:order val="14"/>
          <c:tx>
            <c:strRef>
              <c:f>Skymaps!$D$16</c:f>
              <c:strCache>
                <c:ptCount val="1"/>
                <c:pt idx="0">
                  <c:v>14000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Skymaps!$E$16:$BC$16</c:f>
              <c:numCache>
                <c:formatCode>General</c:formatCode>
                <c:ptCount val="51"/>
                <c:pt idx="0">
                  <c:v>0</c:v>
                </c:pt>
                <c:pt idx="1">
                  <c:v>0.34822231531143188</c:v>
                </c:pt>
                <c:pt idx="2">
                  <c:v>1.3928892612457275</c:v>
                </c:pt>
                <c:pt idx="3">
                  <c:v>3.1340007781982422</c:v>
                </c:pt>
                <c:pt idx="4">
                  <c:v>5.5715570449829102</c:v>
                </c:pt>
                <c:pt idx="5">
                  <c:v>8.7055578231811523</c:v>
                </c:pt>
                <c:pt idx="6">
                  <c:v>12.536003112792969</c:v>
                </c:pt>
                <c:pt idx="7">
                  <c:v>17.062892913818359</c:v>
                </c:pt>
                <c:pt idx="8">
                  <c:v>22.286228179931641</c:v>
                </c:pt>
                <c:pt idx="9">
                  <c:v>28.20600700378418</c:v>
                </c:pt>
                <c:pt idx="10">
                  <c:v>34.822231292724609</c:v>
                </c:pt>
                <c:pt idx="11">
                  <c:v>42.134899139404297</c:v>
                </c:pt>
                <c:pt idx="12">
                  <c:v>50.144012451171875</c:v>
                </c:pt>
                <c:pt idx="13">
                  <c:v>58.849571228027344</c:v>
                </c:pt>
                <c:pt idx="14">
                  <c:v>68.251571655273438</c:v>
                </c:pt>
                <c:pt idx="15">
                  <c:v>78.350021362304688</c:v>
                </c:pt>
                <c:pt idx="16">
                  <c:v>89.144912719726563</c:v>
                </c:pt>
                <c:pt idx="17">
                  <c:v>100.63624572753906</c:v>
                </c:pt>
                <c:pt idx="18">
                  <c:v>112.82402801513672</c:v>
                </c:pt>
                <c:pt idx="19">
                  <c:v>125.708251953125</c:v>
                </c:pt>
                <c:pt idx="20">
                  <c:v>139.28892517089844</c:v>
                </c:pt>
                <c:pt idx="21">
                  <c:v>153.5660400390625</c:v>
                </c:pt>
                <c:pt idx="22">
                  <c:v>168.53959655761719</c:v>
                </c:pt>
                <c:pt idx="23">
                  <c:v>184.20960998535156</c:v>
                </c:pt>
                <c:pt idx="24">
                  <c:v>200.5760498046875</c:v>
                </c:pt>
                <c:pt idx="25">
                  <c:v>217.63894653320313</c:v>
                </c:pt>
                <c:pt idx="26">
                  <c:v>235.39828491210938</c:v>
                </c:pt>
                <c:pt idx="27">
                  <c:v>253.85406494140625</c:v>
                </c:pt>
                <c:pt idx="28">
                  <c:v>273.00628662109375</c:v>
                </c:pt>
                <c:pt idx="29">
                  <c:v>292.85498046875</c:v>
                </c:pt>
                <c:pt idx="30">
                  <c:v>313.40008544921875</c:v>
                </c:pt>
                <c:pt idx="31">
                  <c:v>334.64163208007813</c:v>
                </c:pt>
                <c:pt idx="32">
                  <c:v>356.57965087890625</c:v>
                </c:pt>
                <c:pt idx="33">
                  <c:v>379.214111328125</c:v>
                </c:pt>
                <c:pt idx="34">
                  <c:v>402.54498291015625</c:v>
                </c:pt>
                <c:pt idx="35">
                  <c:v>426.57232666015625</c:v>
                </c:pt>
                <c:pt idx="36">
                  <c:v>451.29611206054688</c:v>
                </c:pt>
                <c:pt idx="37">
                  <c:v>476.71633911132813</c:v>
                </c:pt>
                <c:pt idx="38">
                  <c:v>502.8330078125</c:v>
                </c:pt>
                <c:pt idx="39">
                  <c:v>529.6461181640625</c:v>
                </c:pt>
                <c:pt idx="40">
                  <c:v>557.15570068359375</c:v>
                </c:pt>
                <c:pt idx="41">
                  <c:v>585.3616943359375</c:v>
                </c:pt>
                <c:pt idx="42">
                  <c:v>614.26416015625</c:v>
                </c:pt>
                <c:pt idx="43">
                  <c:v>643.863037109375</c:v>
                </c:pt>
                <c:pt idx="44">
                  <c:v>674.15838623046875</c:v>
                </c:pt>
                <c:pt idx="45">
                  <c:v>705.15020751953125</c:v>
                </c:pt>
                <c:pt idx="46">
                  <c:v>736.83843994140625</c:v>
                </c:pt>
                <c:pt idx="47">
                  <c:v>769.22308349609375</c:v>
                </c:pt>
                <c:pt idx="48">
                  <c:v>802.30419921875</c:v>
                </c:pt>
                <c:pt idx="49">
                  <c:v>836.081787109375</c:v>
                </c:pt>
                <c:pt idx="50">
                  <c:v>870.5557861328125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167-433D-8E16-373543A05FBC}"/>
            </c:ext>
          </c:extLst>
        </c:ser>
        <c:ser>
          <c:idx val="15"/>
          <c:order val="15"/>
          <c:tx>
            <c:strRef>
              <c:f>Skymaps!$D$17</c:f>
              <c:strCache>
                <c:ptCount val="1"/>
                <c:pt idx="0">
                  <c:v>15000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Skymaps!$E$17:$BC$17</c:f>
              <c:numCache>
                <c:formatCode>General</c:formatCode>
                <c:ptCount val="51"/>
                <c:pt idx="0">
                  <c:v>0</c:v>
                </c:pt>
                <c:pt idx="1">
                  <c:v>0.33454146981239319</c:v>
                </c:pt>
                <c:pt idx="2">
                  <c:v>1.3381658792495728</c:v>
                </c:pt>
                <c:pt idx="3">
                  <c:v>3.0108730792999268</c:v>
                </c:pt>
                <c:pt idx="4">
                  <c:v>5.352663516998291</c:v>
                </c:pt>
                <c:pt idx="5">
                  <c:v>8.3635368347167969</c:v>
                </c:pt>
                <c:pt idx="6">
                  <c:v>12.043492317199707</c:v>
                </c:pt>
                <c:pt idx="7">
                  <c:v>16.39253044128418</c:v>
                </c:pt>
                <c:pt idx="8">
                  <c:v>21.410654067993164</c:v>
                </c:pt>
                <c:pt idx="9">
                  <c:v>27.097858428955078</c:v>
                </c:pt>
                <c:pt idx="10">
                  <c:v>33.454147338867188</c:v>
                </c:pt>
                <c:pt idx="11">
                  <c:v>40.479515075683594</c:v>
                </c:pt>
                <c:pt idx="12">
                  <c:v>48.173969268798828</c:v>
                </c:pt>
                <c:pt idx="13">
                  <c:v>56.537506103515625</c:v>
                </c:pt>
                <c:pt idx="14">
                  <c:v>65.570121765136719</c:v>
                </c:pt>
                <c:pt idx="15">
                  <c:v>75.271827697753906</c:v>
                </c:pt>
                <c:pt idx="16">
                  <c:v>85.642616271972656</c:v>
                </c:pt>
                <c:pt idx="17">
                  <c:v>96.682479858398438</c:v>
                </c:pt>
                <c:pt idx="18">
                  <c:v>108.39143371582031</c:v>
                </c:pt>
                <c:pt idx="19">
                  <c:v>120.76946258544922</c:v>
                </c:pt>
                <c:pt idx="20">
                  <c:v>133.81658935546875</c:v>
                </c:pt>
                <c:pt idx="21">
                  <c:v>147.53277587890625</c:v>
                </c:pt>
                <c:pt idx="22">
                  <c:v>161.91806030273438</c:v>
                </c:pt>
                <c:pt idx="23">
                  <c:v>176.97242736816406</c:v>
                </c:pt>
                <c:pt idx="24">
                  <c:v>192.69587707519531</c:v>
                </c:pt>
                <c:pt idx="25">
                  <c:v>209.08840942382813</c:v>
                </c:pt>
                <c:pt idx="26">
                  <c:v>226.1500244140625</c:v>
                </c:pt>
                <c:pt idx="27">
                  <c:v>243.88072204589844</c:v>
                </c:pt>
                <c:pt idx="28">
                  <c:v>262.28048706054688</c:v>
                </c:pt>
                <c:pt idx="29">
                  <c:v>281.349365234375</c:v>
                </c:pt>
                <c:pt idx="30">
                  <c:v>301.08731079101563</c:v>
                </c:pt>
                <c:pt idx="31">
                  <c:v>321.49432373046875</c:v>
                </c:pt>
                <c:pt idx="32">
                  <c:v>342.57046508789063</c:v>
                </c:pt>
                <c:pt idx="33">
                  <c:v>364.31564331054688</c:v>
                </c:pt>
                <c:pt idx="34">
                  <c:v>386.72991943359375</c:v>
                </c:pt>
                <c:pt idx="35">
                  <c:v>409.81329345703125</c:v>
                </c:pt>
                <c:pt idx="36">
                  <c:v>433.56573486328125</c:v>
                </c:pt>
                <c:pt idx="37">
                  <c:v>457.98724365234375</c:v>
                </c:pt>
                <c:pt idx="38">
                  <c:v>483.07785034179688</c:v>
                </c:pt>
                <c:pt idx="39">
                  <c:v>508.83755493164063</c:v>
                </c:pt>
                <c:pt idx="40">
                  <c:v>535.266357421875</c:v>
                </c:pt>
                <c:pt idx="41">
                  <c:v>562.36419677734375</c:v>
                </c:pt>
                <c:pt idx="42">
                  <c:v>590.131103515625</c:v>
                </c:pt>
                <c:pt idx="43">
                  <c:v>618.567138671875</c:v>
                </c:pt>
                <c:pt idx="44">
                  <c:v>647.6722412109375</c:v>
                </c:pt>
                <c:pt idx="45">
                  <c:v>677.44647216796875</c:v>
                </c:pt>
                <c:pt idx="46">
                  <c:v>707.88970947265625</c:v>
                </c:pt>
                <c:pt idx="47">
                  <c:v>739.0020751953125</c:v>
                </c:pt>
                <c:pt idx="48">
                  <c:v>770.78350830078125</c:v>
                </c:pt>
                <c:pt idx="49">
                  <c:v>803.2340087890625</c:v>
                </c:pt>
                <c:pt idx="50">
                  <c:v>836.3536376953125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167-433D-8E16-373543A05FBC}"/>
            </c:ext>
          </c:extLst>
        </c:ser>
        <c:ser>
          <c:idx val="16"/>
          <c:order val="16"/>
          <c:tx>
            <c:strRef>
              <c:f>Skymaps!$D$18</c:f>
              <c:strCache>
                <c:ptCount val="1"/>
                <c:pt idx="0">
                  <c:v>16000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Skymaps!$E$18:$BC$18</c:f>
              <c:numCache>
                <c:formatCode>General</c:formatCode>
                <c:ptCount val="51"/>
                <c:pt idx="0">
                  <c:v>0</c:v>
                </c:pt>
                <c:pt idx="1">
                  <c:v>0.32130038738250732</c:v>
                </c:pt>
                <c:pt idx="2">
                  <c:v>1.2852015495300293</c:v>
                </c:pt>
                <c:pt idx="3">
                  <c:v>2.8917036056518555</c:v>
                </c:pt>
                <c:pt idx="4">
                  <c:v>5.1408061981201172</c:v>
                </c:pt>
                <c:pt idx="5">
                  <c:v>8.0325098037719727</c:v>
                </c:pt>
                <c:pt idx="6">
                  <c:v>11.566814422607422</c:v>
                </c:pt>
                <c:pt idx="7">
                  <c:v>15.743719100952148</c:v>
                </c:pt>
                <c:pt idx="8">
                  <c:v>20.563224792480469</c:v>
                </c:pt>
                <c:pt idx="9">
                  <c:v>26.025331497192383</c:v>
                </c:pt>
                <c:pt idx="10">
                  <c:v>32.130039215087891</c:v>
                </c:pt>
                <c:pt idx="11">
                  <c:v>38.877346038818359</c:v>
                </c:pt>
                <c:pt idx="12">
                  <c:v>46.267257690429688</c:v>
                </c:pt>
                <c:pt idx="13">
                  <c:v>54.299766540527344</c:v>
                </c:pt>
                <c:pt idx="14">
                  <c:v>62.974876403808594</c:v>
                </c:pt>
                <c:pt idx="15">
                  <c:v>72.292587280273438</c:v>
                </c:pt>
                <c:pt idx="16">
                  <c:v>82.252899169921875</c:v>
                </c:pt>
                <c:pt idx="17">
                  <c:v>92.855812072753906</c:v>
                </c:pt>
                <c:pt idx="18">
                  <c:v>104.10132598876953</c:v>
                </c:pt>
                <c:pt idx="19">
                  <c:v>115.98944091796875</c:v>
                </c:pt>
                <c:pt idx="20">
                  <c:v>128.52015686035156</c:v>
                </c:pt>
                <c:pt idx="21">
                  <c:v>141.69346618652344</c:v>
                </c:pt>
                <c:pt idx="22">
                  <c:v>155.50938415527344</c:v>
                </c:pt>
                <c:pt idx="23">
                  <c:v>169.96791076660156</c:v>
                </c:pt>
                <c:pt idx="24">
                  <c:v>185.06903076171875</c:v>
                </c:pt>
                <c:pt idx="25">
                  <c:v>200.812744140625</c:v>
                </c:pt>
                <c:pt idx="26">
                  <c:v>217.19906616210938</c:v>
                </c:pt>
                <c:pt idx="27">
                  <c:v>234.22798156738281</c:v>
                </c:pt>
                <c:pt idx="28">
                  <c:v>251.89950561523438</c:v>
                </c:pt>
                <c:pt idx="29">
                  <c:v>270.213623046875</c:v>
                </c:pt>
                <c:pt idx="30">
                  <c:v>289.17034912109375</c:v>
                </c:pt>
                <c:pt idx="31">
                  <c:v>308.76968383789063</c:v>
                </c:pt>
                <c:pt idx="32">
                  <c:v>329.0115966796875</c:v>
                </c:pt>
                <c:pt idx="33">
                  <c:v>349.8961181640625</c:v>
                </c:pt>
                <c:pt idx="34">
                  <c:v>371.42324829101563</c:v>
                </c:pt>
                <c:pt idx="35">
                  <c:v>393.59298706054688</c:v>
                </c:pt>
                <c:pt idx="36">
                  <c:v>416.40530395507813</c:v>
                </c:pt>
                <c:pt idx="37">
                  <c:v>439.8602294921875</c:v>
                </c:pt>
                <c:pt idx="38">
                  <c:v>463.957763671875</c:v>
                </c:pt>
                <c:pt idx="39">
                  <c:v>488.69790649414063</c:v>
                </c:pt>
                <c:pt idx="40">
                  <c:v>514.08062744140625</c:v>
                </c:pt>
                <c:pt idx="41">
                  <c:v>540.10595703125</c:v>
                </c:pt>
                <c:pt idx="42">
                  <c:v>566.77386474609375</c:v>
                </c:pt>
                <c:pt idx="43">
                  <c:v>594.08441162109375</c:v>
                </c:pt>
                <c:pt idx="44">
                  <c:v>622.03753662109375</c:v>
                </c:pt>
                <c:pt idx="45">
                  <c:v>650.63330078125</c:v>
                </c:pt>
                <c:pt idx="46">
                  <c:v>679.87164306640625</c:v>
                </c:pt>
                <c:pt idx="47">
                  <c:v>709.7525634765625</c:v>
                </c:pt>
                <c:pt idx="48">
                  <c:v>740.276123046875</c:v>
                </c:pt>
                <c:pt idx="49">
                  <c:v>771.4422607421875</c:v>
                </c:pt>
                <c:pt idx="50">
                  <c:v>803.2509765625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167-433D-8E16-373543A05FBC}"/>
            </c:ext>
          </c:extLst>
        </c:ser>
        <c:ser>
          <c:idx val="17"/>
          <c:order val="17"/>
          <c:tx>
            <c:strRef>
              <c:f>Skymaps!$D$19</c:f>
              <c:strCache>
                <c:ptCount val="1"/>
                <c:pt idx="0">
                  <c:v>17000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Skymaps!$E$19:$BC$19</c:f>
              <c:numCache>
                <c:formatCode>General</c:formatCode>
                <c:ptCount val="51"/>
                <c:pt idx="0">
                  <c:v>0</c:v>
                </c:pt>
                <c:pt idx="1">
                  <c:v>0.30848810076713562</c:v>
                </c:pt>
                <c:pt idx="2">
                  <c:v>1.2339524030685425</c:v>
                </c:pt>
                <c:pt idx="3">
                  <c:v>2.776392936706543</c:v>
                </c:pt>
                <c:pt idx="4">
                  <c:v>4.9358096122741699</c:v>
                </c:pt>
                <c:pt idx="5">
                  <c:v>7.7122025489807129</c:v>
                </c:pt>
                <c:pt idx="6">
                  <c:v>11.105571746826172</c:v>
                </c:pt>
                <c:pt idx="7">
                  <c:v>15.115917205810547</c:v>
                </c:pt>
                <c:pt idx="8">
                  <c:v>19.74323844909668</c:v>
                </c:pt>
                <c:pt idx="9">
                  <c:v>24.987537384033203</c:v>
                </c:pt>
                <c:pt idx="10">
                  <c:v>30.848810195922852</c:v>
                </c:pt>
                <c:pt idx="11">
                  <c:v>37.327060699462891</c:v>
                </c:pt>
                <c:pt idx="12">
                  <c:v>44.422286987304688</c:v>
                </c:pt>
                <c:pt idx="13">
                  <c:v>52.134490966796875</c:v>
                </c:pt>
                <c:pt idx="14">
                  <c:v>60.463668823242188</c:v>
                </c:pt>
                <c:pt idx="15">
                  <c:v>69.409828186035156</c:v>
                </c:pt>
                <c:pt idx="16">
                  <c:v>78.972953796386719</c:v>
                </c:pt>
                <c:pt idx="17">
                  <c:v>89.153060913085938</c:v>
                </c:pt>
                <c:pt idx="18">
                  <c:v>99.950149536132813</c:v>
                </c:pt>
                <c:pt idx="19">
                  <c:v>111.36420440673828</c:v>
                </c:pt>
                <c:pt idx="20">
                  <c:v>123.39524078369141</c:v>
                </c:pt>
                <c:pt idx="21">
                  <c:v>136.04325866699219</c:v>
                </c:pt>
                <c:pt idx="22">
                  <c:v>149.30824279785156</c:v>
                </c:pt>
                <c:pt idx="23">
                  <c:v>163.19021606445313</c:v>
                </c:pt>
                <c:pt idx="24">
                  <c:v>177.68914794921875</c:v>
                </c:pt>
                <c:pt idx="25">
                  <c:v>192.80506896972656</c:v>
                </c:pt>
                <c:pt idx="26">
                  <c:v>208.5379638671875</c:v>
                </c:pt>
                <c:pt idx="27">
                  <c:v>224.88783264160156</c:v>
                </c:pt>
                <c:pt idx="28">
                  <c:v>241.85467529296875</c:v>
                </c:pt>
                <c:pt idx="29">
                  <c:v>259.43850708007813</c:v>
                </c:pt>
                <c:pt idx="30">
                  <c:v>277.63931274414063</c:v>
                </c:pt>
                <c:pt idx="31">
                  <c:v>296.45706176757813</c:v>
                </c:pt>
                <c:pt idx="32">
                  <c:v>315.89181518554688</c:v>
                </c:pt>
                <c:pt idx="33">
                  <c:v>335.94354248046875</c:v>
                </c:pt>
                <c:pt idx="34">
                  <c:v>356.61224365234375</c:v>
                </c:pt>
                <c:pt idx="35">
                  <c:v>377.89794921875</c:v>
                </c:pt>
                <c:pt idx="36">
                  <c:v>399.80059814453125</c:v>
                </c:pt>
                <c:pt idx="37">
                  <c:v>422.32022094726563</c:v>
                </c:pt>
                <c:pt idx="38">
                  <c:v>445.45681762695313</c:v>
                </c:pt>
                <c:pt idx="39">
                  <c:v>469.21041870117188</c:v>
                </c:pt>
                <c:pt idx="40">
                  <c:v>493.58096313476563</c:v>
                </c:pt>
                <c:pt idx="41">
                  <c:v>518.56854248046875</c:v>
                </c:pt>
                <c:pt idx="42">
                  <c:v>544.17303466796875</c:v>
                </c:pt>
                <c:pt idx="43">
                  <c:v>570.39453125</c:v>
                </c:pt>
                <c:pt idx="44">
                  <c:v>597.23297119140625</c:v>
                </c:pt>
                <c:pt idx="45">
                  <c:v>624.68841552734375</c:v>
                </c:pt>
                <c:pt idx="46">
                  <c:v>652.7608642578125</c:v>
                </c:pt>
                <c:pt idx="47">
                  <c:v>681.45025634765625</c:v>
                </c:pt>
                <c:pt idx="48">
                  <c:v>710.756591796875</c:v>
                </c:pt>
                <c:pt idx="49">
                  <c:v>740.679931640625</c:v>
                </c:pt>
                <c:pt idx="50">
                  <c:v>771.22027587890625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167-433D-8E16-373543A05FBC}"/>
            </c:ext>
          </c:extLst>
        </c:ser>
        <c:ser>
          <c:idx val="18"/>
          <c:order val="18"/>
          <c:tx>
            <c:strRef>
              <c:f>Skymaps!$D$20</c:f>
              <c:strCache>
                <c:ptCount val="1"/>
                <c:pt idx="0">
                  <c:v>18000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Skymaps!$E$20:$BC$20</c:f>
              <c:numCache>
                <c:formatCode>General</c:formatCode>
                <c:ptCount val="51"/>
                <c:pt idx="0">
                  <c:v>0</c:v>
                </c:pt>
                <c:pt idx="1">
                  <c:v>0.29609388113021851</c:v>
                </c:pt>
                <c:pt idx="2">
                  <c:v>1.184375524520874</c:v>
                </c:pt>
                <c:pt idx="3">
                  <c:v>2.6648447513580322</c:v>
                </c:pt>
                <c:pt idx="4">
                  <c:v>4.7375020980834961</c:v>
                </c:pt>
                <c:pt idx="5">
                  <c:v>7.4023466110229492</c:v>
                </c:pt>
                <c:pt idx="6">
                  <c:v>10.659379005432129</c:v>
                </c:pt>
                <c:pt idx="7">
                  <c:v>14.508599281311035</c:v>
                </c:pt>
                <c:pt idx="8">
                  <c:v>18.950008392333984</c:v>
                </c:pt>
                <c:pt idx="9">
                  <c:v>23.983604431152344</c:v>
                </c:pt>
                <c:pt idx="10">
                  <c:v>29.609386444091797</c:v>
                </c:pt>
                <c:pt idx="11">
                  <c:v>35.827358245849609</c:v>
                </c:pt>
                <c:pt idx="12">
                  <c:v>42.637516021728516</c:v>
                </c:pt>
                <c:pt idx="13">
                  <c:v>50.039863586425781</c:v>
                </c:pt>
                <c:pt idx="14">
                  <c:v>58.034397125244141</c:v>
                </c:pt>
                <c:pt idx="15">
                  <c:v>66.621124267578125</c:v>
                </c:pt>
                <c:pt idx="16">
                  <c:v>75.800033569335938</c:v>
                </c:pt>
                <c:pt idx="17">
                  <c:v>85.571128845214844</c:v>
                </c:pt>
                <c:pt idx="18">
                  <c:v>95.934417724609375</c:v>
                </c:pt>
                <c:pt idx="19">
                  <c:v>106.88988494873047</c:v>
                </c:pt>
                <c:pt idx="20">
                  <c:v>118.43754577636719</c:v>
                </c:pt>
                <c:pt idx="21">
                  <c:v>130.577392578125</c:v>
                </c:pt>
                <c:pt idx="22">
                  <c:v>143.30943298339844</c:v>
                </c:pt>
                <c:pt idx="23">
                  <c:v>156.63365173339844</c:v>
                </c:pt>
                <c:pt idx="24">
                  <c:v>170.55006408691406</c:v>
                </c:pt>
                <c:pt idx="25">
                  <c:v>185.05867004394531</c:v>
                </c:pt>
                <c:pt idx="26">
                  <c:v>200.15945434570313</c:v>
                </c:pt>
                <c:pt idx="27">
                  <c:v>215.85243225097656</c:v>
                </c:pt>
                <c:pt idx="28">
                  <c:v>232.13758850097656</c:v>
                </c:pt>
                <c:pt idx="29">
                  <c:v>249.01495361328125</c:v>
                </c:pt>
                <c:pt idx="30">
                  <c:v>266.4844970703125</c:v>
                </c:pt>
                <c:pt idx="31">
                  <c:v>284.54620361328125</c:v>
                </c:pt>
                <c:pt idx="32">
                  <c:v>303.20013427734375</c:v>
                </c:pt>
                <c:pt idx="33">
                  <c:v>322.44622802734375</c:v>
                </c:pt>
                <c:pt idx="34">
                  <c:v>342.28451538085938</c:v>
                </c:pt>
                <c:pt idx="35">
                  <c:v>362.71499633789063</c:v>
                </c:pt>
                <c:pt idx="36">
                  <c:v>383.7376708984375</c:v>
                </c:pt>
                <c:pt idx="37">
                  <c:v>405.35250854492188</c:v>
                </c:pt>
                <c:pt idx="38">
                  <c:v>427.55953979492188</c:v>
                </c:pt>
                <c:pt idx="39">
                  <c:v>450.3587646484375</c:v>
                </c:pt>
                <c:pt idx="40">
                  <c:v>473.75018310546875</c:v>
                </c:pt>
                <c:pt idx="41">
                  <c:v>497.73379516601563</c:v>
                </c:pt>
                <c:pt idx="42">
                  <c:v>522.3095703125</c:v>
                </c:pt>
                <c:pt idx="43">
                  <c:v>547.4775390625</c:v>
                </c:pt>
                <c:pt idx="44">
                  <c:v>573.23773193359375</c:v>
                </c:pt>
                <c:pt idx="45">
                  <c:v>599.590087890625</c:v>
                </c:pt>
                <c:pt idx="46">
                  <c:v>626.53460693359375</c:v>
                </c:pt>
                <c:pt idx="47">
                  <c:v>654.07135009765625</c:v>
                </c:pt>
                <c:pt idx="48">
                  <c:v>682.20025634765625</c:v>
                </c:pt>
                <c:pt idx="49">
                  <c:v>710.92138671875</c:v>
                </c:pt>
                <c:pt idx="50">
                  <c:v>740.23468017578125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167-433D-8E16-373543A05FBC}"/>
            </c:ext>
          </c:extLst>
        </c:ser>
        <c:ser>
          <c:idx val="19"/>
          <c:order val="19"/>
          <c:tx>
            <c:strRef>
              <c:f>Skymaps!$D$21</c:f>
              <c:strCache>
                <c:ptCount val="1"/>
                <c:pt idx="0">
                  <c:v>19000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Skymaps!$E$21:$BC$21</c:f>
              <c:numCache>
                <c:formatCode>General</c:formatCode>
                <c:ptCount val="51"/>
                <c:pt idx="0">
                  <c:v>0</c:v>
                </c:pt>
                <c:pt idx="1">
                  <c:v>0.28410711884498596</c:v>
                </c:pt>
                <c:pt idx="2">
                  <c:v>1.1364284753799438</c:v>
                </c:pt>
                <c:pt idx="3">
                  <c:v>2.5569639205932617</c:v>
                </c:pt>
                <c:pt idx="4">
                  <c:v>4.5457139015197754</c:v>
                </c:pt>
                <c:pt idx="5">
                  <c:v>7.1026778221130371</c:v>
                </c:pt>
                <c:pt idx="6">
                  <c:v>10.227855682373047</c:v>
                </c:pt>
                <c:pt idx="7">
                  <c:v>13.921248435974121</c:v>
                </c:pt>
                <c:pt idx="8">
                  <c:v>18.182855606079102</c:v>
                </c:pt>
                <c:pt idx="9">
                  <c:v>23.012676239013672</c:v>
                </c:pt>
                <c:pt idx="10">
                  <c:v>28.410711288452148</c:v>
                </c:pt>
                <c:pt idx="11">
                  <c:v>34.376960754394531</c:v>
                </c:pt>
                <c:pt idx="12">
                  <c:v>40.911422729492188</c:v>
                </c:pt>
                <c:pt idx="13">
                  <c:v>48.01409912109375</c:v>
                </c:pt>
                <c:pt idx="14">
                  <c:v>55.684993743896484</c:v>
                </c:pt>
                <c:pt idx="15">
                  <c:v>63.924098968505859</c:v>
                </c:pt>
                <c:pt idx="16">
                  <c:v>72.731422424316406</c:v>
                </c:pt>
                <c:pt idx="17">
                  <c:v>82.106956481933594</c:v>
                </c:pt>
                <c:pt idx="18">
                  <c:v>92.050704956054688</c:v>
                </c:pt>
                <c:pt idx="19">
                  <c:v>102.56266784667969</c:v>
                </c:pt>
                <c:pt idx="20">
                  <c:v>113.64284515380859</c:v>
                </c:pt>
                <c:pt idx="21">
                  <c:v>125.29123687744141</c:v>
                </c:pt>
                <c:pt idx="22">
                  <c:v>137.50784301757813</c:v>
                </c:pt>
                <c:pt idx="23">
                  <c:v>150.29266357421875</c:v>
                </c:pt>
                <c:pt idx="24">
                  <c:v>163.64569091796875</c:v>
                </c:pt>
                <c:pt idx="25">
                  <c:v>177.56694030761719</c:v>
                </c:pt>
                <c:pt idx="26">
                  <c:v>192.056396484375</c:v>
                </c:pt>
                <c:pt idx="27">
                  <c:v>207.11407470703125</c:v>
                </c:pt>
                <c:pt idx="28">
                  <c:v>222.73997497558594</c:v>
                </c:pt>
                <c:pt idx="29">
                  <c:v>238.93408203125</c:v>
                </c:pt>
                <c:pt idx="30">
                  <c:v>255.69639587402344</c:v>
                </c:pt>
                <c:pt idx="31">
                  <c:v>273.02691650390625</c:v>
                </c:pt>
                <c:pt idx="32">
                  <c:v>290.92568969726563</c:v>
                </c:pt>
                <c:pt idx="33">
                  <c:v>309.39263916015625</c:v>
                </c:pt>
                <c:pt idx="34">
                  <c:v>328.42782592773438</c:v>
                </c:pt>
                <c:pt idx="35">
                  <c:v>348.03118896484375</c:v>
                </c:pt>
                <c:pt idx="36">
                  <c:v>368.20281982421875</c:v>
                </c:pt>
                <c:pt idx="37">
                  <c:v>388.942626953125</c:v>
                </c:pt>
                <c:pt idx="38">
                  <c:v>410.25067138671875</c:v>
                </c:pt>
                <c:pt idx="39">
                  <c:v>432.12689208984375</c:v>
                </c:pt>
                <c:pt idx="40">
                  <c:v>454.57138061523438</c:v>
                </c:pt>
                <c:pt idx="41">
                  <c:v>477.58404541015625</c:v>
                </c:pt>
                <c:pt idx="42">
                  <c:v>501.16494750976563</c:v>
                </c:pt>
                <c:pt idx="43">
                  <c:v>525.31402587890625</c:v>
                </c:pt>
                <c:pt idx="44">
                  <c:v>550.0313720703125</c:v>
                </c:pt>
                <c:pt idx="45">
                  <c:v>575.31689453125</c:v>
                </c:pt>
                <c:pt idx="46">
                  <c:v>601.170654296875</c:v>
                </c:pt>
                <c:pt idx="47">
                  <c:v>627.59259033203125</c:v>
                </c:pt>
                <c:pt idx="48">
                  <c:v>654.582763671875</c:v>
                </c:pt>
                <c:pt idx="49">
                  <c:v>682.14117431640625</c:v>
                </c:pt>
                <c:pt idx="50">
                  <c:v>710.26776123046875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167-433D-8E16-373543A05FBC}"/>
            </c:ext>
          </c:extLst>
        </c:ser>
        <c:ser>
          <c:idx val="20"/>
          <c:order val="20"/>
          <c:tx>
            <c:strRef>
              <c:f>Skymaps!$D$22</c:f>
              <c:strCache>
                <c:ptCount val="1"/>
                <c:pt idx="0">
                  <c:v>20000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Skymaps!$E$22:$BC$22</c:f>
              <c:numCache>
                <c:formatCode>General</c:formatCode>
                <c:ptCount val="51"/>
                <c:pt idx="0">
                  <c:v>0</c:v>
                </c:pt>
                <c:pt idx="1">
                  <c:v>0.27251744270324707</c:v>
                </c:pt>
                <c:pt idx="2">
                  <c:v>1.0900697708129883</c:v>
                </c:pt>
                <c:pt idx="3">
                  <c:v>2.4526569843292236</c:v>
                </c:pt>
                <c:pt idx="4">
                  <c:v>4.3602790832519531</c:v>
                </c:pt>
                <c:pt idx="5">
                  <c:v>6.8129358291625977</c:v>
                </c:pt>
                <c:pt idx="6">
                  <c:v>9.8106279373168945</c:v>
                </c:pt>
                <c:pt idx="7">
                  <c:v>13.353354454040527</c:v>
                </c:pt>
                <c:pt idx="8">
                  <c:v>17.441116333007813</c:v>
                </c:pt>
                <c:pt idx="9">
                  <c:v>22.073911666870117</c:v>
                </c:pt>
                <c:pt idx="10">
                  <c:v>27.251743316650391</c:v>
                </c:pt>
                <c:pt idx="11">
                  <c:v>32.974609375</c:v>
                </c:pt>
                <c:pt idx="12">
                  <c:v>39.242511749267578</c:v>
                </c:pt>
                <c:pt idx="13">
                  <c:v>46.055446624755859</c:v>
                </c:pt>
                <c:pt idx="14">
                  <c:v>53.413417816162109</c:v>
                </c:pt>
                <c:pt idx="15">
                  <c:v>61.316421508789063</c:v>
                </c:pt>
                <c:pt idx="16">
                  <c:v>69.76446533203125</c:v>
                </c:pt>
                <c:pt idx="17">
                  <c:v>78.757537841796875</c:v>
                </c:pt>
                <c:pt idx="18">
                  <c:v>88.295646667480469</c:v>
                </c:pt>
                <c:pt idx="19">
                  <c:v>98.378791809082031</c:v>
                </c:pt>
                <c:pt idx="20">
                  <c:v>109.00697326660156</c:v>
                </c:pt>
                <c:pt idx="21">
                  <c:v>120.18019104003906</c:v>
                </c:pt>
                <c:pt idx="22">
                  <c:v>131.8984375</c:v>
                </c:pt>
                <c:pt idx="23">
                  <c:v>144.16172790527344</c:v>
                </c:pt>
                <c:pt idx="24">
                  <c:v>156.97004699707031</c:v>
                </c:pt>
                <c:pt idx="25">
                  <c:v>170.32339477539063</c:v>
                </c:pt>
                <c:pt idx="26">
                  <c:v>184.22178649902344</c:v>
                </c:pt>
                <c:pt idx="27">
                  <c:v>198.66520690917969</c:v>
                </c:pt>
                <c:pt idx="28">
                  <c:v>213.65367126464844</c:v>
                </c:pt>
                <c:pt idx="29">
                  <c:v>229.18716430664063</c:v>
                </c:pt>
                <c:pt idx="30">
                  <c:v>245.26568603515625</c:v>
                </c:pt>
                <c:pt idx="31">
                  <c:v>261.88925170898438</c:v>
                </c:pt>
                <c:pt idx="32">
                  <c:v>279.057861328125</c:v>
                </c:pt>
                <c:pt idx="33">
                  <c:v>296.771484375</c:v>
                </c:pt>
                <c:pt idx="34">
                  <c:v>315.0301513671875</c:v>
                </c:pt>
                <c:pt idx="35">
                  <c:v>333.8338623046875</c:v>
                </c:pt>
                <c:pt idx="36">
                  <c:v>353.18258666992188</c:v>
                </c:pt>
                <c:pt idx="37">
                  <c:v>373.07635498046875</c:v>
                </c:pt>
                <c:pt idx="38">
                  <c:v>393.51516723632813</c:v>
                </c:pt>
                <c:pt idx="39">
                  <c:v>414.4990234375</c:v>
                </c:pt>
                <c:pt idx="40">
                  <c:v>436.02789306640625</c:v>
                </c:pt>
                <c:pt idx="41">
                  <c:v>458.101806640625</c:v>
                </c:pt>
                <c:pt idx="42">
                  <c:v>480.72076416015625</c:v>
                </c:pt>
                <c:pt idx="43">
                  <c:v>503.88473510742188</c:v>
                </c:pt>
                <c:pt idx="44">
                  <c:v>527.59375</c:v>
                </c:pt>
                <c:pt idx="45">
                  <c:v>551.8477783203125</c:v>
                </c:pt>
                <c:pt idx="46">
                  <c:v>576.64691162109375</c:v>
                </c:pt>
                <c:pt idx="47">
                  <c:v>601.99102783203125</c:v>
                </c:pt>
                <c:pt idx="48">
                  <c:v>627.88018798828125</c:v>
                </c:pt>
                <c:pt idx="49">
                  <c:v>654.3143310546875</c:v>
                </c:pt>
                <c:pt idx="50">
                  <c:v>681.2935791015625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167-433D-8E16-373543A05FBC}"/>
            </c:ext>
          </c:extLst>
        </c:ser>
        <c:ser>
          <c:idx val="21"/>
          <c:order val="21"/>
          <c:tx>
            <c:strRef>
              <c:f>Skymaps!$D$23</c:f>
              <c:strCache>
                <c:ptCount val="1"/>
                <c:pt idx="0">
                  <c:v>21000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Skymaps!$E$23:$BC$23</c:f>
              <c:numCache>
                <c:formatCode>General</c:formatCode>
                <c:ptCount val="51"/>
                <c:pt idx="0">
                  <c:v>0</c:v>
                </c:pt>
                <c:pt idx="1">
                  <c:v>0.26131466031074524</c:v>
                </c:pt>
                <c:pt idx="2">
                  <c:v>1.045258641242981</c:v>
                </c:pt>
                <c:pt idx="3">
                  <c:v>2.3518319129943848</c:v>
                </c:pt>
                <c:pt idx="4">
                  <c:v>4.1810345649719238</c:v>
                </c:pt>
                <c:pt idx="5">
                  <c:v>6.5328660011291504</c:v>
                </c:pt>
                <c:pt idx="6">
                  <c:v>9.4073276519775391</c:v>
                </c:pt>
                <c:pt idx="7">
                  <c:v>12.804417610168457</c:v>
                </c:pt>
                <c:pt idx="8">
                  <c:v>16.724138259887695</c:v>
                </c:pt>
                <c:pt idx="9">
                  <c:v>21.166486740112305</c:v>
                </c:pt>
                <c:pt idx="10">
                  <c:v>26.131464004516602</c:v>
                </c:pt>
                <c:pt idx="11">
                  <c:v>31.619071960449219</c:v>
                </c:pt>
                <c:pt idx="12">
                  <c:v>37.629310607910156</c:v>
                </c:pt>
                <c:pt idx="13">
                  <c:v>44.162174224853516</c:v>
                </c:pt>
                <c:pt idx="14">
                  <c:v>51.217670440673828</c:v>
                </c:pt>
                <c:pt idx="15">
                  <c:v>58.795795440673828</c:v>
                </c:pt>
                <c:pt idx="16">
                  <c:v>66.896553039550781</c:v>
                </c:pt>
                <c:pt idx="17">
                  <c:v>75.519935607910156</c:v>
                </c:pt>
                <c:pt idx="18">
                  <c:v>84.665946960449219</c:v>
                </c:pt>
                <c:pt idx="19">
                  <c:v>94.334587097167969</c:v>
                </c:pt>
                <c:pt idx="20">
                  <c:v>104.52585601806641</c:v>
                </c:pt>
                <c:pt idx="21">
                  <c:v>115.23976135253906</c:v>
                </c:pt>
                <c:pt idx="22">
                  <c:v>126.47628784179688</c:v>
                </c:pt>
                <c:pt idx="23">
                  <c:v>138.23544311523438</c:v>
                </c:pt>
                <c:pt idx="24">
                  <c:v>150.51724243164063</c:v>
                </c:pt>
                <c:pt idx="25">
                  <c:v>163.3216552734375</c:v>
                </c:pt>
                <c:pt idx="26">
                  <c:v>176.64869689941406</c:v>
                </c:pt>
                <c:pt idx="27">
                  <c:v>190.49838256835938</c:v>
                </c:pt>
                <c:pt idx="28">
                  <c:v>204.87068176269531</c:v>
                </c:pt>
                <c:pt idx="29">
                  <c:v>219.765625</c:v>
                </c:pt>
                <c:pt idx="30">
                  <c:v>235.18318176269531</c:v>
                </c:pt>
                <c:pt idx="31">
                  <c:v>251.12338256835938</c:v>
                </c:pt>
                <c:pt idx="32">
                  <c:v>267.58621215820313</c:v>
                </c:pt>
                <c:pt idx="33">
                  <c:v>284.5716552734375</c:v>
                </c:pt>
                <c:pt idx="34">
                  <c:v>302.07974243164063</c:v>
                </c:pt>
                <c:pt idx="35">
                  <c:v>320.11044311523438</c:v>
                </c:pt>
                <c:pt idx="36">
                  <c:v>338.66378784179688</c:v>
                </c:pt>
                <c:pt idx="37">
                  <c:v>357.73974609375</c:v>
                </c:pt>
                <c:pt idx="38">
                  <c:v>377.33834838867188</c:v>
                </c:pt>
                <c:pt idx="39">
                  <c:v>397.4595947265625</c:v>
                </c:pt>
                <c:pt idx="40">
                  <c:v>418.10342407226563</c:v>
                </c:pt>
                <c:pt idx="41">
                  <c:v>439.26992797851563</c:v>
                </c:pt>
                <c:pt idx="42">
                  <c:v>460.95904541015625</c:v>
                </c:pt>
                <c:pt idx="43">
                  <c:v>483.1707763671875</c:v>
                </c:pt>
                <c:pt idx="44">
                  <c:v>505.9051513671875</c:v>
                </c:pt>
                <c:pt idx="45">
                  <c:v>529.16217041015625</c:v>
                </c:pt>
                <c:pt idx="46">
                  <c:v>552.9417724609375</c:v>
                </c:pt>
                <c:pt idx="47">
                  <c:v>577.24407958984375</c:v>
                </c:pt>
                <c:pt idx="48">
                  <c:v>602.0689697265625</c:v>
                </c:pt>
                <c:pt idx="49">
                  <c:v>627.41644287109375</c:v>
                </c:pt>
                <c:pt idx="50">
                  <c:v>653.28662109375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167-433D-8E16-373543A05FBC}"/>
            </c:ext>
          </c:extLst>
        </c:ser>
        <c:ser>
          <c:idx val="22"/>
          <c:order val="22"/>
          <c:tx>
            <c:strRef>
              <c:f>Skymaps!$D$24</c:f>
              <c:strCache>
                <c:ptCount val="1"/>
                <c:pt idx="0">
                  <c:v>22000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Skymaps!$E$24:$BC$24</c:f>
              <c:numCache>
                <c:formatCode>General</c:formatCode>
                <c:ptCount val="51"/>
                <c:pt idx="0">
                  <c:v>0</c:v>
                </c:pt>
                <c:pt idx="1">
                  <c:v>0.2504887580871582</c:v>
                </c:pt>
                <c:pt idx="2">
                  <c:v>1.0019550323486328</c:v>
                </c:pt>
                <c:pt idx="3">
                  <c:v>2.2543988227844238</c:v>
                </c:pt>
                <c:pt idx="4">
                  <c:v>4.0078201293945313</c:v>
                </c:pt>
                <c:pt idx="5">
                  <c:v>6.2622184753417969</c:v>
                </c:pt>
                <c:pt idx="6">
                  <c:v>9.0175952911376953</c:v>
                </c:pt>
                <c:pt idx="7">
                  <c:v>12.273948669433594</c:v>
                </c:pt>
                <c:pt idx="8">
                  <c:v>16.031280517578125</c:v>
                </c:pt>
                <c:pt idx="9">
                  <c:v>20.289588928222656</c:v>
                </c:pt>
                <c:pt idx="10">
                  <c:v>25.048873901367188</c:v>
                </c:pt>
                <c:pt idx="11">
                  <c:v>30.309137344360352</c:v>
                </c:pt>
                <c:pt idx="12">
                  <c:v>36.070381164550781</c:v>
                </c:pt>
                <c:pt idx="13">
                  <c:v>42.332599639892578</c:v>
                </c:pt>
                <c:pt idx="14">
                  <c:v>49.095794677734375</c:v>
                </c:pt>
                <c:pt idx="15">
                  <c:v>56.359966278076172</c:v>
                </c:pt>
                <c:pt idx="16">
                  <c:v>64.1251220703125</c:v>
                </c:pt>
                <c:pt idx="17">
                  <c:v>72.391250610351563</c:v>
                </c:pt>
                <c:pt idx="18">
                  <c:v>81.158355712890625</c:v>
                </c:pt>
                <c:pt idx="19">
                  <c:v>90.426437377929688</c:v>
                </c:pt>
                <c:pt idx="20">
                  <c:v>100.19549560546875</c:v>
                </c:pt>
                <c:pt idx="21">
                  <c:v>110.46553802490234</c:v>
                </c:pt>
                <c:pt idx="22">
                  <c:v>121.23654937744141</c:v>
                </c:pt>
                <c:pt idx="23">
                  <c:v>132.508544921875</c:v>
                </c:pt>
                <c:pt idx="24">
                  <c:v>144.28152465820313</c:v>
                </c:pt>
                <c:pt idx="25">
                  <c:v>156.55546569824219</c:v>
                </c:pt>
                <c:pt idx="26">
                  <c:v>169.33039855957031</c:v>
                </c:pt>
                <c:pt idx="27">
                  <c:v>182.60629272460938</c:v>
                </c:pt>
                <c:pt idx="28">
                  <c:v>196.3831787109375</c:v>
                </c:pt>
                <c:pt idx="29">
                  <c:v>210.66104125976563</c:v>
                </c:pt>
                <c:pt idx="30">
                  <c:v>225.43986511230469</c:v>
                </c:pt>
                <c:pt idx="31">
                  <c:v>240.71968078613281</c:v>
                </c:pt>
                <c:pt idx="32">
                  <c:v>256.50048828125</c:v>
                </c:pt>
                <c:pt idx="33">
                  <c:v>272.78225708007813</c:v>
                </c:pt>
                <c:pt idx="34">
                  <c:v>289.56500244140625</c:v>
                </c:pt>
                <c:pt idx="35">
                  <c:v>306.84872436523438</c:v>
                </c:pt>
                <c:pt idx="36">
                  <c:v>324.6334228515625</c:v>
                </c:pt>
                <c:pt idx="37">
                  <c:v>342.91909790039063</c:v>
                </c:pt>
                <c:pt idx="38">
                  <c:v>361.70574951171875</c:v>
                </c:pt>
                <c:pt idx="39">
                  <c:v>380.99337768554688</c:v>
                </c:pt>
                <c:pt idx="40">
                  <c:v>400.781982421875</c:v>
                </c:pt>
                <c:pt idx="41">
                  <c:v>421.07159423828125</c:v>
                </c:pt>
                <c:pt idx="42">
                  <c:v>441.86215209960938</c:v>
                </c:pt>
                <c:pt idx="43">
                  <c:v>463.1536865234375</c:v>
                </c:pt>
                <c:pt idx="44">
                  <c:v>484.94619750976563</c:v>
                </c:pt>
                <c:pt idx="45">
                  <c:v>507.23971557617188</c:v>
                </c:pt>
                <c:pt idx="46">
                  <c:v>530.0341796875</c:v>
                </c:pt>
                <c:pt idx="47">
                  <c:v>553.32965087890625</c:v>
                </c:pt>
                <c:pt idx="48">
                  <c:v>577.1260986328125</c:v>
                </c:pt>
                <c:pt idx="49">
                  <c:v>601.4234619140625</c:v>
                </c:pt>
                <c:pt idx="50">
                  <c:v>626.22186279296875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167-433D-8E16-373543A05FBC}"/>
            </c:ext>
          </c:extLst>
        </c:ser>
        <c:ser>
          <c:idx val="23"/>
          <c:order val="23"/>
          <c:tx>
            <c:strRef>
              <c:f>Skymaps!$D$25</c:f>
              <c:strCache>
                <c:ptCount val="1"/>
                <c:pt idx="0">
                  <c:v>23000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Skymaps!$E$25:$BC$25</c:f>
              <c:numCache>
                <c:formatCode>General</c:formatCode>
                <c:ptCount val="51"/>
                <c:pt idx="0">
                  <c:v>0</c:v>
                </c:pt>
                <c:pt idx="1">
                  <c:v>0.24002988636493683</c:v>
                </c:pt>
                <c:pt idx="2">
                  <c:v>0.96011954545974731</c:v>
                </c:pt>
                <c:pt idx="3">
                  <c:v>2.160269021987915</c:v>
                </c:pt>
                <c:pt idx="4">
                  <c:v>3.8404781818389893</c:v>
                </c:pt>
                <c:pt idx="5">
                  <c:v>6.0007472038269043</c:v>
                </c:pt>
                <c:pt idx="6">
                  <c:v>8.6410760879516602</c:v>
                </c:pt>
                <c:pt idx="7">
                  <c:v>11.76146411895752</c:v>
                </c:pt>
                <c:pt idx="8">
                  <c:v>15.361912727355957</c:v>
                </c:pt>
                <c:pt idx="9">
                  <c:v>19.442420959472656</c:v>
                </c:pt>
                <c:pt idx="10">
                  <c:v>24.002988815307617</c:v>
                </c:pt>
                <c:pt idx="11">
                  <c:v>29.043615341186523</c:v>
                </c:pt>
                <c:pt idx="12">
                  <c:v>34.564304351806641</c:v>
                </c:pt>
                <c:pt idx="13">
                  <c:v>40.565052032470703</c:v>
                </c:pt>
                <c:pt idx="14">
                  <c:v>47.045856475830078</c:v>
                </c:pt>
                <c:pt idx="15">
                  <c:v>54.006725311279297</c:v>
                </c:pt>
                <c:pt idx="16">
                  <c:v>61.447650909423828</c:v>
                </c:pt>
                <c:pt idx="17">
                  <c:v>69.368637084960938</c:v>
                </c:pt>
                <c:pt idx="18">
                  <c:v>77.769683837890625</c:v>
                </c:pt>
                <c:pt idx="19">
                  <c:v>86.650787353515625</c:v>
                </c:pt>
                <c:pt idx="20">
                  <c:v>96.011955261230469</c:v>
                </c:pt>
                <c:pt idx="21">
                  <c:v>105.85317993164063</c:v>
                </c:pt>
                <c:pt idx="22">
                  <c:v>116.17446136474609</c:v>
                </c:pt>
                <c:pt idx="23">
                  <c:v>126.97580718994141</c:v>
                </c:pt>
                <c:pt idx="24">
                  <c:v>138.25721740722656</c:v>
                </c:pt>
                <c:pt idx="25">
                  <c:v>150.0186767578125</c:v>
                </c:pt>
                <c:pt idx="26">
                  <c:v>162.26020812988281</c:v>
                </c:pt>
                <c:pt idx="27">
                  <c:v>174.98178100585938</c:v>
                </c:pt>
                <c:pt idx="28">
                  <c:v>188.18342590332031</c:v>
                </c:pt>
                <c:pt idx="29">
                  <c:v>201.86512756347656</c:v>
                </c:pt>
                <c:pt idx="30">
                  <c:v>216.02690124511719</c:v>
                </c:pt>
                <c:pt idx="31">
                  <c:v>230.66871643066406</c:v>
                </c:pt>
                <c:pt idx="32">
                  <c:v>245.79060363769531</c:v>
                </c:pt>
                <c:pt idx="33">
                  <c:v>261.39254760742188</c:v>
                </c:pt>
                <c:pt idx="34">
                  <c:v>277.47454833984375</c:v>
                </c:pt>
                <c:pt idx="35">
                  <c:v>294.03662109375</c:v>
                </c:pt>
                <c:pt idx="36">
                  <c:v>311.0787353515625</c:v>
                </c:pt>
                <c:pt idx="37">
                  <c:v>328.60092163085938</c:v>
                </c:pt>
                <c:pt idx="38">
                  <c:v>346.6031494140625</c:v>
                </c:pt>
                <c:pt idx="39">
                  <c:v>365.08544921875</c:v>
                </c:pt>
                <c:pt idx="40">
                  <c:v>384.04782104492188</c:v>
                </c:pt>
                <c:pt idx="41">
                  <c:v>403.490234375</c:v>
                </c:pt>
                <c:pt idx="42">
                  <c:v>423.4127197265625</c:v>
                </c:pt>
                <c:pt idx="43">
                  <c:v>443.81524658203125</c:v>
                </c:pt>
                <c:pt idx="44">
                  <c:v>464.69784545898438</c:v>
                </c:pt>
                <c:pt idx="45">
                  <c:v>486.06051635742188</c:v>
                </c:pt>
                <c:pt idx="46">
                  <c:v>507.90322875976563</c:v>
                </c:pt>
                <c:pt idx="47">
                  <c:v>530.22601318359375</c:v>
                </c:pt>
                <c:pt idx="48">
                  <c:v>553.02886962890625</c:v>
                </c:pt>
                <c:pt idx="49">
                  <c:v>576.311767578125</c:v>
                </c:pt>
                <c:pt idx="50">
                  <c:v>600.07470703125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167-433D-8E16-373543A05FBC}"/>
            </c:ext>
          </c:extLst>
        </c:ser>
        <c:ser>
          <c:idx val="24"/>
          <c:order val="24"/>
          <c:tx>
            <c:strRef>
              <c:f>Skymaps!$D$26</c:f>
              <c:strCache>
                <c:ptCount val="1"/>
                <c:pt idx="0">
                  <c:v>24000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Skymaps!$E$26:$BC$26</c:f>
              <c:numCache>
                <c:formatCode>General</c:formatCode>
                <c:ptCount val="51"/>
                <c:pt idx="0">
                  <c:v>0</c:v>
                </c:pt>
                <c:pt idx="1">
                  <c:v>0.22992844879627228</c:v>
                </c:pt>
                <c:pt idx="2">
                  <c:v>0.91971379518508911</c:v>
                </c:pt>
                <c:pt idx="3">
                  <c:v>2.0693559646606445</c:v>
                </c:pt>
                <c:pt idx="4">
                  <c:v>3.6788551807403564</c:v>
                </c:pt>
                <c:pt idx="5">
                  <c:v>5.7482109069824219</c:v>
                </c:pt>
                <c:pt idx="6">
                  <c:v>8.2774238586425781</c:v>
                </c:pt>
                <c:pt idx="7">
                  <c:v>11.266493797302246</c:v>
                </c:pt>
                <c:pt idx="8">
                  <c:v>14.715420722961426</c:v>
                </c:pt>
                <c:pt idx="9">
                  <c:v>18.624204635620117</c:v>
                </c:pt>
                <c:pt idx="10">
                  <c:v>22.992843627929688</c:v>
                </c:pt>
                <c:pt idx="11">
                  <c:v>27.821342468261719</c:v>
                </c:pt>
                <c:pt idx="12">
                  <c:v>33.109695434570313</c:v>
                </c:pt>
                <c:pt idx="13">
                  <c:v>38.857906341552734</c:v>
                </c:pt>
                <c:pt idx="14">
                  <c:v>45.065975189208984</c:v>
                </c:pt>
                <c:pt idx="15">
                  <c:v>51.733898162841797</c:v>
                </c:pt>
                <c:pt idx="16">
                  <c:v>58.861682891845703</c:v>
                </c:pt>
                <c:pt idx="17">
                  <c:v>66.449317932128906</c:v>
                </c:pt>
                <c:pt idx="18">
                  <c:v>74.496818542480469</c:v>
                </c:pt>
                <c:pt idx="19">
                  <c:v>83.004165649414063</c:v>
                </c:pt>
                <c:pt idx="20">
                  <c:v>91.97137451171875</c:v>
                </c:pt>
                <c:pt idx="21">
                  <c:v>101.39844512939453</c:v>
                </c:pt>
                <c:pt idx="22">
                  <c:v>111.28536987304688</c:v>
                </c:pt>
                <c:pt idx="23">
                  <c:v>121.63214874267578</c:v>
                </c:pt>
                <c:pt idx="24">
                  <c:v>132.43878173828125</c:v>
                </c:pt>
                <c:pt idx="25">
                  <c:v>143.70527648925781</c:v>
                </c:pt>
                <c:pt idx="26">
                  <c:v>155.43162536621094</c:v>
                </c:pt>
                <c:pt idx="27">
                  <c:v>167.61782836914063</c:v>
                </c:pt>
                <c:pt idx="28">
                  <c:v>180.26390075683594</c:v>
                </c:pt>
                <c:pt idx="29">
                  <c:v>193.36982727050781</c:v>
                </c:pt>
                <c:pt idx="30">
                  <c:v>206.93559265136719</c:v>
                </c:pt>
                <c:pt idx="31">
                  <c:v>220.96122741699219</c:v>
                </c:pt>
                <c:pt idx="32">
                  <c:v>235.44673156738281</c:v>
                </c:pt>
                <c:pt idx="33">
                  <c:v>250.39207458496094</c:v>
                </c:pt>
                <c:pt idx="34">
                  <c:v>265.79727172851563</c:v>
                </c:pt>
                <c:pt idx="35">
                  <c:v>281.662353515625</c:v>
                </c:pt>
                <c:pt idx="36">
                  <c:v>297.98727416992188</c:v>
                </c:pt>
                <c:pt idx="37">
                  <c:v>314.77203369140625</c:v>
                </c:pt>
                <c:pt idx="38">
                  <c:v>332.01666259765625</c:v>
                </c:pt>
                <c:pt idx="39">
                  <c:v>349.72116088867188</c:v>
                </c:pt>
                <c:pt idx="40">
                  <c:v>367.885498046875</c:v>
                </c:pt>
                <c:pt idx="41">
                  <c:v>386.50970458984375</c:v>
                </c:pt>
                <c:pt idx="42">
                  <c:v>405.59378051757813</c:v>
                </c:pt>
                <c:pt idx="43">
                  <c:v>425.1376953125</c:v>
                </c:pt>
                <c:pt idx="44">
                  <c:v>445.1414794921875</c:v>
                </c:pt>
                <c:pt idx="45">
                  <c:v>465.6051025390625</c:v>
                </c:pt>
                <c:pt idx="46">
                  <c:v>486.52859497070313</c:v>
                </c:pt>
                <c:pt idx="47">
                  <c:v>507.91192626953125</c:v>
                </c:pt>
                <c:pt idx="48">
                  <c:v>529.755126953125</c:v>
                </c:pt>
                <c:pt idx="49">
                  <c:v>552.05816650390625</c:v>
                </c:pt>
                <c:pt idx="50">
                  <c:v>574.82110595703125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167-433D-8E16-373543A05FBC}"/>
            </c:ext>
          </c:extLst>
        </c:ser>
        <c:ser>
          <c:idx val="25"/>
          <c:order val="25"/>
          <c:tx>
            <c:strRef>
              <c:f>Skymaps!$D$27</c:f>
              <c:strCache>
                <c:ptCount val="1"/>
                <c:pt idx="0">
                  <c:v>25000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Skymaps!$E$27:$BC$27</c:f>
              <c:numCache>
                <c:formatCode>General</c:formatCode>
                <c:ptCount val="51"/>
                <c:pt idx="0">
                  <c:v>0</c:v>
                </c:pt>
                <c:pt idx="1">
                  <c:v>0.22017492353916168</c:v>
                </c:pt>
                <c:pt idx="2">
                  <c:v>0.88069969415664673</c:v>
                </c:pt>
                <c:pt idx="3">
                  <c:v>1.9815742969512939</c:v>
                </c:pt>
                <c:pt idx="4">
                  <c:v>3.5227987766265869</c:v>
                </c:pt>
                <c:pt idx="5">
                  <c:v>5.5043730735778809</c:v>
                </c:pt>
                <c:pt idx="6">
                  <c:v>7.9262971878051758</c:v>
                </c:pt>
                <c:pt idx="7">
                  <c:v>10.788571357727051</c:v>
                </c:pt>
                <c:pt idx="8">
                  <c:v>14.091195106506348</c:v>
                </c:pt>
                <c:pt idx="9">
                  <c:v>17.834169387817383</c:v>
                </c:pt>
                <c:pt idx="10">
                  <c:v>22.017492294311523</c:v>
                </c:pt>
                <c:pt idx="11">
                  <c:v>26.641166687011719</c:v>
                </c:pt>
                <c:pt idx="12">
                  <c:v>31.705188751220703</c:v>
                </c:pt>
                <c:pt idx="13">
                  <c:v>37.209564208984375</c:v>
                </c:pt>
                <c:pt idx="14">
                  <c:v>43.154285430908203</c:v>
                </c:pt>
                <c:pt idx="15">
                  <c:v>49.539360046386719</c:v>
                </c:pt>
                <c:pt idx="16">
                  <c:v>56.364780426025391</c:v>
                </c:pt>
                <c:pt idx="17">
                  <c:v>63.63055419921875</c:v>
                </c:pt>
                <c:pt idx="18">
                  <c:v>71.336677551269531</c:v>
                </c:pt>
                <c:pt idx="19">
                  <c:v>79.483146667480469</c:v>
                </c:pt>
                <c:pt idx="20">
                  <c:v>88.069969177246094</c:v>
                </c:pt>
                <c:pt idx="21">
                  <c:v>97.097145080566406</c:v>
                </c:pt>
                <c:pt idx="22">
                  <c:v>106.56466674804688</c:v>
                </c:pt>
                <c:pt idx="23">
                  <c:v>116.4725341796875</c:v>
                </c:pt>
                <c:pt idx="24">
                  <c:v>126.82075500488281</c:v>
                </c:pt>
                <c:pt idx="25">
                  <c:v>137.60932922363281</c:v>
                </c:pt>
                <c:pt idx="26">
                  <c:v>148.8382568359375</c:v>
                </c:pt>
                <c:pt idx="27">
                  <c:v>160.50752258300781</c:v>
                </c:pt>
                <c:pt idx="28">
                  <c:v>172.61714172363281</c:v>
                </c:pt>
                <c:pt idx="29">
                  <c:v>185.1671142578125</c:v>
                </c:pt>
                <c:pt idx="30">
                  <c:v>198.15744018554688</c:v>
                </c:pt>
                <c:pt idx="31">
                  <c:v>211.58810424804688</c:v>
                </c:pt>
                <c:pt idx="32">
                  <c:v>225.45912170410156</c:v>
                </c:pt>
                <c:pt idx="33">
                  <c:v>239.77049255371094</c:v>
                </c:pt>
                <c:pt idx="34">
                  <c:v>254.522216796875</c:v>
                </c:pt>
                <c:pt idx="35">
                  <c:v>269.71429443359375</c:v>
                </c:pt>
                <c:pt idx="36">
                  <c:v>285.34671020507813</c:v>
                </c:pt>
                <c:pt idx="37">
                  <c:v>301.41946411132813</c:v>
                </c:pt>
                <c:pt idx="38">
                  <c:v>317.93258666992188</c:v>
                </c:pt>
                <c:pt idx="39">
                  <c:v>334.88607788085938</c:v>
                </c:pt>
                <c:pt idx="40">
                  <c:v>352.27987670898438</c:v>
                </c:pt>
                <c:pt idx="41">
                  <c:v>370.11404418945313</c:v>
                </c:pt>
                <c:pt idx="42">
                  <c:v>388.38858032226563</c:v>
                </c:pt>
                <c:pt idx="43">
                  <c:v>407.10345458984375</c:v>
                </c:pt>
                <c:pt idx="44">
                  <c:v>426.2586669921875</c:v>
                </c:pt>
                <c:pt idx="45">
                  <c:v>445.85421752929688</c:v>
                </c:pt>
                <c:pt idx="46">
                  <c:v>465.89013671875</c:v>
                </c:pt>
                <c:pt idx="47">
                  <c:v>486.36642456054688</c:v>
                </c:pt>
                <c:pt idx="48">
                  <c:v>507.28302001953125</c:v>
                </c:pt>
                <c:pt idx="49">
                  <c:v>528.6400146484375</c:v>
                </c:pt>
                <c:pt idx="50">
                  <c:v>550.43731689453125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167-433D-8E16-373543A05FBC}"/>
            </c:ext>
          </c:extLst>
        </c:ser>
        <c:ser>
          <c:idx val="26"/>
          <c:order val="26"/>
          <c:tx>
            <c:strRef>
              <c:f>Skymaps!$D$28</c:f>
              <c:strCache>
                <c:ptCount val="1"/>
                <c:pt idx="0">
                  <c:v>26000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Skymaps!$E$28:$BC$28</c:f>
              <c:numCache>
                <c:formatCode>General</c:formatCode>
                <c:ptCount val="51"/>
                <c:pt idx="0">
                  <c:v>0</c:v>
                </c:pt>
                <c:pt idx="1">
                  <c:v>0.21076005697250366</c:v>
                </c:pt>
                <c:pt idx="2">
                  <c:v>0.84304022789001465</c:v>
                </c:pt>
                <c:pt idx="3">
                  <c:v>1.8968405723571777</c:v>
                </c:pt>
                <c:pt idx="4">
                  <c:v>3.3721609115600586</c:v>
                </c:pt>
                <c:pt idx="5">
                  <c:v>5.2690014839172363</c:v>
                </c:pt>
                <c:pt idx="6">
                  <c:v>7.5873622894287109</c:v>
                </c:pt>
                <c:pt idx="7">
                  <c:v>10.327242851257324</c:v>
                </c:pt>
                <c:pt idx="8">
                  <c:v>13.488643646240234</c:v>
                </c:pt>
                <c:pt idx="9">
                  <c:v>17.071565628051758</c:v>
                </c:pt>
                <c:pt idx="10">
                  <c:v>21.076005935668945</c:v>
                </c:pt>
                <c:pt idx="11">
                  <c:v>25.50196647644043</c:v>
                </c:pt>
                <c:pt idx="12">
                  <c:v>30.349449157714844</c:v>
                </c:pt>
                <c:pt idx="13">
                  <c:v>35.618450164794922</c:v>
                </c:pt>
                <c:pt idx="14">
                  <c:v>41.308971405029297</c:v>
                </c:pt>
                <c:pt idx="15">
                  <c:v>47.421012878417969</c:v>
                </c:pt>
                <c:pt idx="16">
                  <c:v>53.954574584960938</c:v>
                </c:pt>
                <c:pt idx="17">
                  <c:v>60.909656524658203</c:v>
                </c:pt>
                <c:pt idx="18">
                  <c:v>68.286262512207031</c:v>
                </c:pt>
                <c:pt idx="19">
                  <c:v>76.084381103515625</c:v>
                </c:pt>
                <c:pt idx="20">
                  <c:v>84.304023742675781</c:v>
                </c:pt>
                <c:pt idx="21">
                  <c:v>92.945182800292969</c:v>
                </c:pt>
                <c:pt idx="22">
                  <c:v>102.00786590576172</c:v>
                </c:pt>
                <c:pt idx="23">
                  <c:v>111.49207305908203</c:v>
                </c:pt>
                <c:pt idx="24">
                  <c:v>121.39779663085938</c:v>
                </c:pt>
                <c:pt idx="25">
                  <c:v>131.72503662109375</c:v>
                </c:pt>
                <c:pt idx="26">
                  <c:v>142.47380065917969</c:v>
                </c:pt>
                <c:pt idx="27">
                  <c:v>153.64408874511719</c:v>
                </c:pt>
                <c:pt idx="28">
                  <c:v>165.23588562011719</c:v>
                </c:pt>
                <c:pt idx="29">
                  <c:v>177.24920654296875</c:v>
                </c:pt>
                <c:pt idx="30">
                  <c:v>189.68405151367188</c:v>
                </c:pt>
                <c:pt idx="31">
                  <c:v>202.54042053222656</c:v>
                </c:pt>
                <c:pt idx="32">
                  <c:v>215.81829833984375</c:v>
                </c:pt>
                <c:pt idx="33">
                  <c:v>229.5177001953125</c:v>
                </c:pt>
                <c:pt idx="34">
                  <c:v>243.63862609863281</c:v>
                </c:pt>
                <c:pt idx="35">
                  <c:v>258.18106079101563</c:v>
                </c:pt>
                <c:pt idx="36">
                  <c:v>273.14505004882813</c:v>
                </c:pt>
                <c:pt idx="37">
                  <c:v>288.530517578125</c:v>
                </c:pt>
                <c:pt idx="38">
                  <c:v>304.3375244140625</c:v>
                </c:pt>
                <c:pt idx="39">
                  <c:v>320.5660400390625</c:v>
                </c:pt>
                <c:pt idx="40">
                  <c:v>337.21609497070313</c:v>
                </c:pt>
                <c:pt idx="41">
                  <c:v>354.28765869140625</c:v>
                </c:pt>
                <c:pt idx="42">
                  <c:v>371.78073120117188</c:v>
                </c:pt>
                <c:pt idx="43">
                  <c:v>389.69534301757813</c:v>
                </c:pt>
                <c:pt idx="44">
                  <c:v>408.03146362304688</c:v>
                </c:pt>
                <c:pt idx="45">
                  <c:v>426.78912353515625</c:v>
                </c:pt>
                <c:pt idx="46">
                  <c:v>445.96829223632813</c:v>
                </c:pt>
                <c:pt idx="47">
                  <c:v>465.5689697265625</c:v>
                </c:pt>
                <c:pt idx="48">
                  <c:v>485.5911865234375</c:v>
                </c:pt>
                <c:pt idx="49">
                  <c:v>506.034912109375</c:v>
                </c:pt>
                <c:pt idx="50">
                  <c:v>526.900146484375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167-433D-8E16-373543A05FBC}"/>
            </c:ext>
          </c:extLst>
        </c:ser>
        <c:ser>
          <c:idx val="27"/>
          <c:order val="27"/>
          <c:tx>
            <c:strRef>
              <c:f>Skymaps!$D$29</c:f>
              <c:strCache>
                <c:ptCount val="1"/>
                <c:pt idx="0">
                  <c:v>27000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Skymaps!$E$29:$BC$29</c:f>
              <c:numCache>
                <c:formatCode>General</c:formatCode>
                <c:ptCount val="51"/>
                <c:pt idx="0">
                  <c:v>0</c:v>
                </c:pt>
                <c:pt idx="1">
                  <c:v>0.20167471468448639</c:v>
                </c:pt>
                <c:pt idx="2">
                  <c:v>0.80669885873794556</c:v>
                </c:pt>
                <c:pt idx="3">
                  <c:v>1.8150724172592163</c:v>
                </c:pt>
                <c:pt idx="4">
                  <c:v>3.2267954349517822</c:v>
                </c:pt>
                <c:pt idx="5">
                  <c:v>5.0418682098388672</c:v>
                </c:pt>
                <c:pt idx="6">
                  <c:v>7.2602896690368652</c:v>
                </c:pt>
                <c:pt idx="7">
                  <c:v>9.8820610046386719</c:v>
                </c:pt>
                <c:pt idx="8">
                  <c:v>12.907181739807129</c:v>
                </c:pt>
                <c:pt idx="9">
                  <c:v>16.335651397705078</c:v>
                </c:pt>
                <c:pt idx="10">
                  <c:v>20.167472839355469</c:v>
                </c:pt>
                <c:pt idx="11">
                  <c:v>24.402641296386719</c:v>
                </c:pt>
                <c:pt idx="12">
                  <c:v>29.041158676147461</c:v>
                </c:pt>
                <c:pt idx="13">
                  <c:v>34.083026885986328</c:v>
                </c:pt>
                <c:pt idx="14">
                  <c:v>39.528244018554688</c:v>
                </c:pt>
                <c:pt idx="15">
                  <c:v>45.376811981201172</c:v>
                </c:pt>
                <c:pt idx="16">
                  <c:v>51.628726959228516</c:v>
                </c:pt>
                <c:pt idx="17">
                  <c:v>58.283992767333984</c:v>
                </c:pt>
                <c:pt idx="18">
                  <c:v>65.342605590820313</c:v>
                </c:pt>
                <c:pt idx="19">
                  <c:v>72.804573059082031</c:v>
                </c:pt>
                <c:pt idx="20">
                  <c:v>80.669891357421875</c:v>
                </c:pt>
                <c:pt idx="21">
                  <c:v>88.938552856445313</c:v>
                </c:pt>
                <c:pt idx="22">
                  <c:v>97.610565185546875</c:v>
                </c:pt>
                <c:pt idx="23">
                  <c:v>106.68592834472656</c:v>
                </c:pt>
                <c:pt idx="24">
                  <c:v>116.16463470458984</c:v>
                </c:pt>
                <c:pt idx="25">
                  <c:v>126.04669952392578</c:v>
                </c:pt>
                <c:pt idx="26">
                  <c:v>136.33210754394531</c:v>
                </c:pt>
                <c:pt idx="27">
                  <c:v>147.0208740234375</c:v>
                </c:pt>
                <c:pt idx="28">
                  <c:v>158.11297607421875</c:v>
                </c:pt>
                <c:pt idx="29">
                  <c:v>169.60844421386719</c:v>
                </c:pt>
                <c:pt idx="30">
                  <c:v>181.50724792480469</c:v>
                </c:pt>
                <c:pt idx="31">
                  <c:v>193.80940246582031</c:v>
                </c:pt>
                <c:pt idx="32">
                  <c:v>206.51490783691406</c:v>
                </c:pt>
                <c:pt idx="33">
                  <c:v>219.62376403808594</c:v>
                </c:pt>
                <c:pt idx="34">
                  <c:v>233.13597106933594</c:v>
                </c:pt>
                <c:pt idx="35">
                  <c:v>247.05152893066406</c:v>
                </c:pt>
                <c:pt idx="36">
                  <c:v>261.37042236328125</c:v>
                </c:pt>
                <c:pt idx="37">
                  <c:v>276.09268188476563</c:v>
                </c:pt>
                <c:pt idx="38">
                  <c:v>291.21829223632813</c:v>
                </c:pt>
                <c:pt idx="39">
                  <c:v>306.74725341796875</c:v>
                </c:pt>
                <c:pt idx="40">
                  <c:v>322.6795654296875</c:v>
                </c:pt>
                <c:pt idx="41">
                  <c:v>339.01519775390625</c:v>
                </c:pt>
                <c:pt idx="42">
                  <c:v>355.75421142578125</c:v>
                </c:pt>
                <c:pt idx="43">
                  <c:v>372.89654541015625</c:v>
                </c:pt>
                <c:pt idx="44">
                  <c:v>390.4422607421875</c:v>
                </c:pt>
                <c:pt idx="45">
                  <c:v>408.39129638671875</c:v>
                </c:pt>
                <c:pt idx="46">
                  <c:v>426.74371337890625</c:v>
                </c:pt>
                <c:pt idx="47">
                  <c:v>445.49945068359375</c:v>
                </c:pt>
                <c:pt idx="48">
                  <c:v>464.65853881835938</c:v>
                </c:pt>
                <c:pt idx="49">
                  <c:v>484.22100830078125</c:v>
                </c:pt>
                <c:pt idx="50">
                  <c:v>504.18679809570313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167-433D-8E16-373543A05FBC}"/>
            </c:ext>
          </c:extLst>
        </c:ser>
        <c:ser>
          <c:idx val="28"/>
          <c:order val="28"/>
          <c:tx>
            <c:strRef>
              <c:f>Skymaps!$D$30</c:f>
              <c:strCache>
                <c:ptCount val="1"/>
                <c:pt idx="0">
                  <c:v>28000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Skymaps!$E$30:$BC$30</c:f>
              <c:numCache>
                <c:formatCode>General</c:formatCode>
                <c:ptCount val="51"/>
                <c:pt idx="0">
                  <c:v>0</c:v>
                </c:pt>
                <c:pt idx="1">
                  <c:v>0.19290997087955475</c:v>
                </c:pt>
                <c:pt idx="2">
                  <c:v>0.77163988351821899</c:v>
                </c:pt>
                <c:pt idx="3">
                  <c:v>1.7361897230148315</c:v>
                </c:pt>
                <c:pt idx="4">
                  <c:v>3.086559534072876</c:v>
                </c:pt>
                <c:pt idx="5">
                  <c:v>4.822749137878418</c:v>
                </c:pt>
                <c:pt idx="6">
                  <c:v>6.9447588920593262</c:v>
                </c:pt>
                <c:pt idx="7">
                  <c:v>9.4525890350341797</c:v>
                </c:pt>
                <c:pt idx="8">
                  <c:v>12.346238136291504</c:v>
                </c:pt>
                <c:pt idx="9">
                  <c:v>15.625707626342773</c:v>
                </c:pt>
                <c:pt idx="10">
                  <c:v>19.290996551513672</c:v>
                </c:pt>
                <c:pt idx="11">
                  <c:v>23.342105865478516</c:v>
                </c:pt>
                <c:pt idx="12">
                  <c:v>27.779035568237305</c:v>
                </c:pt>
                <c:pt idx="13">
                  <c:v>32.601783752441406</c:v>
                </c:pt>
                <c:pt idx="14">
                  <c:v>37.810356140136719</c:v>
                </c:pt>
                <c:pt idx="15">
                  <c:v>43.404743194580078</c:v>
                </c:pt>
                <c:pt idx="16">
                  <c:v>49.384952545166016</c:v>
                </c:pt>
                <c:pt idx="17">
                  <c:v>55.750980377197266</c:v>
                </c:pt>
                <c:pt idx="18">
                  <c:v>62.502830505371094</c:v>
                </c:pt>
                <c:pt idx="19">
                  <c:v>69.6405029296875</c:v>
                </c:pt>
                <c:pt idx="20">
                  <c:v>77.163986206054688</c:v>
                </c:pt>
                <c:pt idx="21">
                  <c:v>85.073295593261719</c:v>
                </c:pt>
                <c:pt idx="22">
                  <c:v>93.368423461914063</c:v>
                </c:pt>
                <c:pt idx="23">
                  <c:v>102.04937744140625</c:v>
                </c:pt>
                <c:pt idx="24">
                  <c:v>111.11614227294922</c:v>
                </c:pt>
                <c:pt idx="25">
                  <c:v>120.56873321533203</c:v>
                </c:pt>
                <c:pt idx="26">
                  <c:v>130.40713500976563</c:v>
                </c:pt>
                <c:pt idx="27">
                  <c:v>140.63136291503906</c:v>
                </c:pt>
                <c:pt idx="28">
                  <c:v>151.24142456054688</c:v>
                </c:pt>
                <c:pt idx="29">
                  <c:v>162.23728942871094</c:v>
                </c:pt>
                <c:pt idx="30">
                  <c:v>173.61897277832031</c:v>
                </c:pt>
                <c:pt idx="31">
                  <c:v>185.38648986816406</c:v>
                </c:pt>
                <c:pt idx="32">
                  <c:v>197.53981018066406</c:v>
                </c:pt>
                <c:pt idx="33">
                  <c:v>210.07896423339844</c:v>
                </c:pt>
                <c:pt idx="34">
                  <c:v>223.00392150878906</c:v>
                </c:pt>
                <c:pt idx="35">
                  <c:v>236.31471252441406</c:v>
                </c:pt>
                <c:pt idx="36">
                  <c:v>250.01132202148438</c:v>
                </c:pt>
                <c:pt idx="37">
                  <c:v>264.09375</c:v>
                </c:pt>
                <c:pt idx="38">
                  <c:v>278.56201171875</c:v>
                </c:pt>
                <c:pt idx="39">
                  <c:v>293.41607666015625</c:v>
                </c:pt>
                <c:pt idx="40">
                  <c:v>308.65594482421875</c:v>
                </c:pt>
                <c:pt idx="41">
                  <c:v>324.28167724609375</c:v>
                </c:pt>
                <c:pt idx="42">
                  <c:v>340.29318237304688</c:v>
                </c:pt>
                <c:pt idx="43">
                  <c:v>356.6905517578125</c:v>
                </c:pt>
                <c:pt idx="44">
                  <c:v>373.47369384765625</c:v>
                </c:pt>
                <c:pt idx="45">
                  <c:v>390.6427001953125</c:v>
                </c:pt>
                <c:pt idx="46">
                  <c:v>408.197509765625</c:v>
                </c:pt>
                <c:pt idx="47">
                  <c:v>426.13812255859375</c:v>
                </c:pt>
                <c:pt idx="48">
                  <c:v>444.46456909179688</c:v>
                </c:pt>
                <c:pt idx="49">
                  <c:v>463.17684936523438</c:v>
                </c:pt>
                <c:pt idx="50">
                  <c:v>482.27493286132813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167-433D-8E16-373543A05FBC}"/>
            </c:ext>
          </c:extLst>
        </c:ser>
        <c:ser>
          <c:idx val="29"/>
          <c:order val="29"/>
          <c:tx>
            <c:strRef>
              <c:f>Skymaps!$D$31</c:f>
              <c:strCache>
                <c:ptCount val="1"/>
                <c:pt idx="0">
                  <c:v>29000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Skymaps!$E$31:$BC$31</c:f>
              <c:numCache>
                <c:formatCode>General</c:formatCode>
                <c:ptCount val="51"/>
                <c:pt idx="0">
                  <c:v>0</c:v>
                </c:pt>
                <c:pt idx="1">
                  <c:v>0.18445704877376556</c:v>
                </c:pt>
                <c:pt idx="2">
                  <c:v>0.73782819509506226</c:v>
                </c:pt>
                <c:pt idx="3">
                  <c:v>1.6601133346557617</c:v>
                </c:pt>
                <c:pt idx="4">
                  <c:v>2.951312780380249</c:v>
                </c:pt>
                <c:pt idx="5">
                  <c:v>4.6114258766174316</c:v>
                </c:pt>
                <c:pt idx="6">
                  <c:v>6.6404533386230469</c:v>
                </c:pt>
                <c:pt idx="7">
                  <c:v>9.0383949279785156</c:v>
                </c:pt>
                <c:pt idx="8">
                  <c:v>11.805251121520996</c:v>
                </c:pt>
                <c:pt idx="9">
                  <c:v>14.941020965576172</c:v>
                </c:pt>
                <c:pt idx="10">
                  <c:v>18.445703506469727</c:v>
                </c:pt>
                <c:pt idx="11">
                  <c:v>22.319301605224609</c:v>
                </c:pt>
                <c:pt idx="12">
                  <c:v>26.561813354492188</c:v>
                </c:pt>
                <c:pt idx="13">
                  <c:v>31.173240661621094</c:v>
                </c:pt>
                <c:pt idx="14">
                  <c:v>36.153579711914063</c:v>
                </c:pt>
                <c:pt idx="15">
                  <c:v>41.502834320068359</c:v>
                </c:pt>
                <c:pt idx="16">
                  <c:v>47.221004486083984</c:v>
                </c:pt>
                <c:pt idx="17">
                  <c:v>53.308086395263672</c:v>
                </c:pt>
                <c:pt idx="18">
                  <c:v>59.764083862304688</c:v>
                </c:pt>
                <c:pt idx="19">
                  <c:v>66.5889892578125</c:v>
                </c:pt>
                <c:pt idx="20">
                  <c:v>73.782814025878906</c:v>
                </c:pt>
                <c:pt idx="21">
                  <c:v>81.345558166503906</c:v>
                </c:pt>
                <c:pt idx="22">
                  <c:v>89.277206420898438</c:v>
                </c:pt>
                <c:pt idx="23">
                  <c:v>97.577774047851563</c:v>
                </c:pt>
                <c:pt idx="24">
                  <c:v>106.24725341796875</c:v>
                </c:pt>
                <c:pt idx="25">
                  <c:v>115.28565216064453</c:v>
                </c:pt>
                <c:pt idx="26">
                  <c:v>124.69296264648438</c:v>
                </c:pt>
                <c:pt idx="27">
                  <c:v>134.46917724609375</c:v>
                </c:pt>
                <c:pt idx="28">
                  <c:v>144.61431884765625</c:v>
                </c:pt>
                <c:pt idx="29">
                  <c:v>155.12837219238281</c:v>
                </c:pt>
                <c:pt idx="30">
                  <c:v>166.01133728027344</c:v>
                </c:pt>
                <c:pt idx="31">
                  <c:v>177.26321411132813</c:v>
                </c:pt>
                <c:pt idx="32">
                  <c:v>188.88401794433594</c:v>
                </c:pt>
                <c:pt idx="33">
                  <c:v>200.87371826171875</c:v>
                </c:pt>
                <c:pt idx="34">
                  <c:v>213.23234558105469</c:v>
                </c:pt>
                <c:pt idx="35">
                  <c:v>225.95988464355469</c:v>
                </c:pt>
                <c:pt idx="36">
                  <c:v>239.05633544921875</c:v>
                </c:pt>
                <c:pt idx="37">
                  <c:v>252.52169799804688</c:v>
                </c:pt>
                <c:pt idx="38">
                  <c:v>266.35595703125</c:v>
                </c:pt>
                <c:pt idx="39">
                  <c:v>280.55917358398438</c:v>
                </c:pt>
                <c:pt idx="40">
                  <c:v>295.13125610351563</c:v>
                </c:pt>
                <c:pt idx="41">
                  <c:v>310.07229614257813</c:v>
                </c:pt>
                <c:pt idx="42">
                  <c:v>325.38223266601563</c:v>
                </c:pt>
                <c:pt idx="43">
                  <c:v>341.06106567382813</c:v>
                </c:pt>
                <c:pt idx="44">
                  <c:v>357.10882568359375</c:v>
                </c:pt>
                <c:pt idx="45">
                  <c:v>373.5255126953125</c:v>
                </c:pt>
                <c:pt idx="46">
                  <c:v>390.31109619140625</c:v>
                </c:pt>
                <c:pt idx="47">
                  <c:v>407.46560668945313</c:v>
                </c:pt>
                <c:pt idx="48">
                  <c:v>424.989013671875</c:v>
                </c:pt>
                <c:pt idx="49">
                  <c:v>442.88134765625</c:v>
                </c:pt>
                <c:pt idx="50">
                  <c:v>461.14260864257813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167-433D-8E16-373543A05FBC}"/>
            </c:ext>
          </c:extLst>
        </c:ser>
        <c:ser>
          <c:idx val="30"/>
          <c:order val="30"/>
          <c:tx>
            <c:strRef>
              <c:f>Skymaps!$D$32</c:f>
              <c:strCache>
                <c:ptCount val="1"/>
                <c:pt idx="0">
                  <c:v>30000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Skymaps!$E$32:$BC$32</c:f>
              <c:numCache>
                <c:formatCode>General</c:formatCode>
                <c:ptCount val="51"/>
                <c:pt idx="0">
                  <c:v>0</c:v>
                </c:pt>
                <c:pt idx="1">
                  <c:v>0.1763073205947876</c:v>
                </c:pt>
                <c:pt idx="2">
                  <c:v>0.70522928237915039</c:v>
                </c:pt>
                <c:pt idx="3">
                  <c:v>1.5867658853530884</c:v>
                </c:pt>
                <c:pt idx="4">
                  <c:v>2.8209171295166016</c:v>
                </c:pt>
                <c:pt idx="5">
                  <c:v>4.4076828956604004</c:v>
                </c:pt>
                <c:pt idx="6">
                  <c:v>6.3470635414123535</c:v>
                </c:pt>
                <c:pt idx="7">
                  <c:v>8.6390590667724609</c:v>
                </c:pt>
                <c:pt idx="8">
                  <c:v>11.283668518066406</c:v>
                </c:pt>
                <c:pt idx="9">
                  <c:v>14.280893325805664</c:v>
                </c:pt>
                <c:pt idx="10">
                  <c:v>17.630731582641602</c:v>
                </c:pt>
                <c:pt idx="11">
                  <c:v>21.333187103271484</c:v>
                </c:pt>
                <c:pt idx="12">
                  <c:v>25.388254165649414</c:v>
                </c:pt>
                <c:pt idx="13">
                  <c:v>29.795938491821289</c:v>
                </c:pt>
                <c:pt idx="14">
                  <c:v>34.556236267089844</c:v>
                </c:pt>
                <c:pt idx="15">
                  <c:v>39.669147491455078</c:v>
                </c:pt>
                <c:pt idx="16">
                  <c:v>45.134674072265625</c:v>
                </c:pt>
                <c:pt idx="17">
                  <c:v>50.952816009521484</c:v>
                </c:pt>
                <c:pt idx="18">
                  <c:v>57.123573303222656</c:v>
                </c:pt>
                <c:pt idx="19">
                  <c:v>63.646942138671875</c:v>
                </c:pt>
                <c:pt idx="20">
                  <c:v>70.522926330566406</c:v>
                </c:pt>
                <c:pt idx="21">
                  <c:v>77.751533508300781</c:v>
                </c:pt>
                <c:pt idx="22">
                  <c:v>85.332748413085938</c:v>
                </c:pt>
                <c:pt idx="23">
                  <c:v>93.266571044921875</c:v>
                </c:pt>
                <c:pt idx="24">
                  <c:v>101.55301666259766</c:v>
                </c:pt>
                <c:pt idx="25">
                  <c:v>110.19207763671875</c:v>
                </c:pt>
                <c:pt idx="26">
                  <c:v>119.18375396728516</c:v>
                </c:pt>
                <c:pt idx="27">
                  <c:v>128.52804565429688</c:v>
                </c:pt>
                <c:pt idx="28">
                  <c:v>138.22494506835938</c:v>
                </c:pt>
                <c:pt idx="29">
                  <c:v>148.27445983886719</c:v>
                </c:pt>
                <c:pt idx="30">
                  <c:v>158.67658996582031</c:v>
                </c:pt>
                <c:pt idx="31">
                  <c:v>169.43133544921875</c:v>
                </c:pt>
                <c:pt idx="32">
                  <c:v>180.5386962890625</c:v>
                </c:pt>
                <c:pt idx="33">
                  <c:v>191.99867248535156</c:v>
                </c:pt>
                <c:pt idx="34">
                  <c:v>203.81126403808594</c:v>
                </c:pt>
                <c:pt idx="35">
                  <c:v>215.97647094726563</c:v>
                </c:pt>
                <c:pt idx="36">
                  <c:v>228.49429321289063</c:v>
                </c:pt>
                <c:pt idx="37">
                  <c:v>241.36473083496094</c:v>
                </c:pt>
                <c:pt idx="38">
                  <c:v>254.5877685546875</c:v>
                </c:pt>
                <c:pt idx="39">
                  <c:v>268.1634521484375</c:v>
                </c:pt>
                <c:pt idx="40">
                  <c:v>282.09170532226563</c:v>
                </c:pt>
                <c:pt idx="41">
                  <c:v>296.37261962890625</c:v>
                </c:pt>
                <c:pt idx="42">
                  <c:v>311.00613403320313</c:v>
                </c:pt>
                <c:pt idx="43">
                  <c:v>325.99224853515625</c:v>
                </c:pt>
                <c:pt idx="44">
                  <c:v>341.33099365234375</c:v>
                </c:pt>
                <c:pt idx="45">
                  <c:v>357.0223388671875</c:v>
                </c:pt>
                <c:pt idx="46">
                  <c:v>373.0662841796875</c:v>
                </c:pt>
                <c:pt idx="47">
                  <c:v>389.462890625</c:v>
                </c:pt>
                <c:pt idx="48">
                  <c:v>406.21206665039063</c:v>
                </c:pt>
                <c:pt idx="49">
                  <c:v>423.31387329101563</c:v>
                </c:pt>
                <c:pt idx="50">
                  <c:v>440.768310546875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8167-433D-8E16-373543A05FBC}"/>
            </c:ext>
          </c:extLst>
        </c:ser>
        <c:ser>
          <c:idx val="31"/>
          <c:order val="31"/>
          <c:tx>
            <c:strRef>
              <c:f>Skymaps!$D$33</c:f>
              <c:strCache>
                <c:ptCount val="1"/>
                <c:pt idx="0">
                  <c:v>31000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Skymaps!$E$33:$BC$33</c:f>
              <c:numCache>
                <c:formatCode>General</c:formatCode>
                <c:ptCount val="51"/>
                <c:pt idx="0">
                  <c:v>0</c:v>
                </c:pt>
                <c:pt idx="1">
                  <c:v>0.16845239698886871</c:v>
                </c:pt>
                <c:pt idx="2">
                  <c:v>0.67380958795547485</c:v>
                </c:pt>
                <c:pt idx="3">
                  <c:v>1.5160715579986572</c:v>
                </c:pt>
                <c:pt idx="4">
                  <c:v>2.6952383518218994</c:v>
                </c:pt>
                <c:pt idx="5">
                  <c:v>4.2113099098205566</c:v>
                </c:pt>
                <c:pt idx="6">
                  <c:v>6.0642862319946289</c:v>
                </c:pt>
                <c:pt idx="7">
                  <c:v>8.2541675567626953</c:v>
                </c:pt>
                <c:pt idx="8">
                  <c:v>10.780953407287598</c:v>
                </c:pt>
                <c:pt idx="9">
                  <c:v>13.644643783569336</c:v>
                </c:pt>
                <c:pt idx="10">
                  <c:v>16.845239639282227</c:v>
                </c:pt>
                <c:pt idx="11">
                  <c:v>20.382740020751953</c:v>
                </c:pt>
                <c:pt idx="12">
                  <c:v>24.257144927978516</c:v>
                </c:pt>
                <c:pt idx="13">
                  <c:v>28.468454360961914</c:v>
                </c:pt>
                <c:pt idx="14">
                  <c:v>33.016670227050781</c:v>
                </c:pt>
                <c:pt idx="15">
                  <c:v>37.901786804199219</c:v>
                </c:pt>
                <c:pt idx="16">
                  <c:v>43.123813629150391</c:v>
                </c:pt>
                <c:pt idx="17">
                  <c:v>48.682743072509766</c:v>
                </c:pt>
                <c:pt idx="18">
                  <c:v>54.578575134277344</c:v>
                </c:pt>
                <c:pt idx="19">
                  <c:v>60.811313629150391</c:v>
                </c:pt>
                <c:pt idx="20">
                  <c:v>67.380958557128906</c:v>
                </c:pt>
                <c:pt idx="21">
                  <c:v>74.287506103515625</c:v>
                </c:pt>
                <c:pt idx="22">
                  <c:v>81.530960083007813</c:v>
                </c:pt>
                <c:pt idx="23">
                  <c:v>89.111312866210938</c:v>
                </c:pt>
                <c:pt idx="24">
                  <c:v>97.028579711914063</c:v>
                </c:pt>
                <c:pt idx="25">
                  <c:v>105.28274536132813</c:v>
                </c:pt>
                <c:pt idx="26">
                  <c:v>113.87381744384766</c:v>
                </c:pt>
                <c:pt idx="27">
                  <c:v>122.80179595947266</c:v>
                </c:pt>
                <c:pt idx="28">
                  <c:v>132.06668090820313</c:v>
                </c:pt>
                <c:pt idx="29">
                  <c:v>141.66845703125</c:v>
                </c:pt>
                <c:pt idx="30">
                  <c:v>151.60714721679688</c:v>
                </c:pt>
                <c:pt idx="31">
                  <c:v>161.88275146484375</c:v>
                </c:pt>
                <c:pt idx="32">
                  <c:v>172.49525451660156</c:v>
                </c:pt>
                <c:pt idx="33">
                  <c:v>183.44465637207031</c:v>
                </c:pt>
                <c:pt idx="34">
                  <c:v>194.73097229003906</c:v>
                </c:pt>
                <c:pt idx="35">
                  <c:v>206.35418701171875</c:v>
                </c:pt>
                <c:pt idx="36">
                  <c:v>218.31430053710938</c:v>
                </c:pt>
                <c:pt idx="37">
                  <c:v>230.611328125</c:v>
                </c:pt>
                <c:pt idx="38">
                  <c:v>243.24525451660156</c:v>
                </c:pt>
                <c:pt idx="39">
                  <c:v>256.21609497070313</c:v>
                </c:pt>
                <c:pt idx="40">
                  <c:v>269.52383422851563</c:v>
                </c:pt>
                <c:pt idx="41">
                  <c:v>283.16845703125</c:v>
                </c:pt>
                <c:pt idx="42">
                  <c:v>297.1500244140625</c:v>
                </c:pt>
                <c:pt idx="43">
                  <c:v>311.46847534179688</c:v>
                </c:pt>
                <c:pt idx="44">
                  <c:v>326.12384033203125</c:v>
                </c:pt>
                <c:pt idx="45">
                  <c:v>341.1160888671875</c:v>
                </c:pt>
                <c:pt idx="46">
                  <c:v>356.44525146484375</c:v>
                </c:pt>
                <c:pt idx="47">
                  <c:v>372.111328125</c:v>
                </c:pt>
                <c:pt idx="48">
                  <c:v>388.11431884765625</c:v>
                </c:pt>
                <c:pt idx="49">
                  <c:v>404.45419311523438</c:v>
                </c:pt>
                <c:pt idx="50">
                  <c:v>421.1309814453125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8167-433D-8E16-373543A05FBC}"/>
            </c:ext>
          </c:extLst>
        </c:ser>
        <c:ser>
          <c:idx val="32"/>
          <c:order val="32"/>
          <c:tx>
            <c:strRef>
              <c:f>Skymaps!$D$34</c:f>
              <c:strCache>
                <c:ptCount val="1"/>
                <c:pt idx="0">
                  <c:v>32000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Skymaps!$E$34:$BC$34</c:f>
              <c:numCache>
                <c:formatCode>General</c:formatCode>
                <c:ptCount val="51"/>
                <c:pt idx="0">
                  <c:v>0</c:v>
                </c:pt>
                <c:pt idx="1">
                  <c:v>0.16088397800922394</c:v>
                </c:pt>
                <c:pt idx="2">
                  <c:v>0.64353591203689575</c:v>
                </c:pt>
                <c:pt idx="3">
                  <c:v>1.447955846786499</c:v>
                </c:pt>
                <c:pt idx="4">
                  <c:v>2.574143648147583</c:v>
                </c:pt>
                <c:pt idx="5">
                  <c:v>4.022099494934082</c:v>
                </c:pt>
                <c:pt idx="6">
                  <c:v>5.7918233871459961</c:v>
                </c:pt>
                <c:pt idx="7">
                  <c:v>7.8833150863647461</c:v>
                </c:pt>
                <c:pt idx="8">
                  <c:v>10.296574592590332</c:v>
                </c:pt>
                <c:pt idx="9">
                  <c:v>13.03160285949707</c:v>
                </c:pt>
                <c:pt idx="10">
                  <c:v>16.088397979736328</c:v>
                </c:pt>
                <c:pt idx="11">
                  <c:v>19.466962814331055</c:v>
                </c:pt>
                <c:pt idx="12">
                  <c:v>23.167293548583984</c:v>
                </c:pt>
                <c:pt idx="13">
                  <c:v>27.189393997192383</c:v>
                </c:pt>
                <c:pt idx="14">
                  <c:v>31.533260345458984</c:v>
                </c:pt>
                <c:pt idx="15">
                  <c:v>36.198898315429688</c:v>
                </c:pt>
                <c:pt idx="16">
                  <c:v>41.186298370361328</c:v>
                </c:pt>
                <c:pt idx="17">
                  <c:v>46.495471954345703</c:v>
                </c:pt>
                <c:pt idx="18">
                  <c:v>52.126411437988281</c:v>
                </c:pt>
                <c:pt idx="19">
                  <c:v>58.079116821289063</c:v>
                </c:pt>
                <c:pt idx="20">
                  <c:v>64.353591918945313</c:v>
                </c:pt>
                <c:pt idx="21">
                  <c:v>70.949836730957031</c:v>
                </c:pt>
                <c:pt idx="22">
                  <c:v>77.867851257324219</c:v>
                </c:pt>
                <c:pt idx="23">
                  <c:v>85.107627868652344</c:v>
                </c:pt>
                <c:pt idx="24">
                  <c:v>92.669174194335938</c:v>
                </c:pt>
                <c:pt idx="25">
                  <c:v>100.552490234375</c:v>
                </c:pt>
                <c:pt idx="26">
                  <c:v>108.75757598876953</c:v>
                </c:pt>
                <c:pt idx="27">
                  <c:v>117.284423828125</c:v>
                </c:pt>
                <c:pt idx="28">
                  <c:v>126.13304138183594</c:v>
                </c:pt>
                <c:pt idx="29">
                  <c:v>135.30343627929688</c:v>
                </c:pt>
                <c:pt idx="30">
                  <c:v>144.79559326171875</c:v>
                </c:pt>
                <c:pt idx="31">
                  <c:v>154.60951232910156</c:v>
                </c:pt>
                <c:pt idx="32">
                  <c:v>164.74519348144531</c:v>
                </c:pt>
                <c:pt idx="33">
                  <c:v>175.20265197753906</c:v>
                </c:pt>
                <c:pt idx="34">
                  <c:v>185.98188781738281</c:v>
                </c:pt>
                <c:pt idx="35">
                  <c:v>197.0828857421875</c:v>
                </c:pt>
                <c:pt idx="36">
                  <c:v>208.50564575195313</c:v>
                </c:pt>
                <c:pt idx="37">
                  <c:v>220.25016784667969</c:v>
                </c:pt>
                <c:pt idx="38">
                  <c:v>232.31646728515625</c:v>
                </c:pt>
                <c:pt idx="39">
                  <c:v>244.70454406738281</c:v>
                </c:pt>
                <c:pt idx="40">
                  <c:v>257.41436767578125</c:v>
                </c:pt>
                <c:pt idx="41">
                  <c:v>270.44598388671875</c:v>
                </c:pt>
                <c:pt idx="42">
                  <c:v>283.79934692382813</c:v>
                </c:pt>
                <c:pt idx="43">
                  <c:v>297.4744873046875</c:v>
                </c:pt>
                <c:pt idx="44">
                  <c:v>311.47140502929688</c:v>
                </c:pt>
                <c:pt idx="45">
                  <c:v>325.79006958007813</c:v>
                </c:pt>
                <c:pt idx="46">
                  <c:v>340.43051147460938</c:v>
                </c:pt>
                <c:pt idx="47">
                  <c:v>355.39273071289063</c:v>
                </c:pt>
                <c:pt idx="48">
                  <c:v>370.67669677734375</c:v>
                </c:pt>
                <c:pt idx="49">
                  <c:v>386.28244018554688</c:v>
                </c:pt>
                <c:pt idx="50">
                  <c:v>402.2099609375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8167-433D-8E16-373543A05FBC}"/>
            </c:ext>
          </c:extLst>
        </c:ser>
        <c:ser>
          <c:idx val="33"/>
          <c:order val="33"/>
          <c:tx>
            <c:strRef>
              <c:f>Skymaps!$D$35</c:f>
              <c:strCache>
                <c:ptCount val="1"/>
                <c:pt idx="0">
                  <c:v>33000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Skymaps!$E$35:$BC$35</c:f>
              <c:numCache>
                <c:formatCode>General</c:formatCode>
                <c:ptCount val="51"/>
                <c:pt idx="0">
                  <c:v>0</c:v>
                </c:pt>
                <c:pt idx="1">
                  <c:v>0.15359398722648621</c:v>
                </c:pt>
                <c:pt idx="2">
                  <c:v>0.61437594890594482</c:v>
                </c:pt>
                <c:pt idx="3">
                  <c:v>1.3823459148406982</c:v>
                </c:pt>
                <c:pt idx="4">
                  <c:v>2.4575037956237793</c:v>
                </c:pt>
                <c:pt idx="5">
                  <c:v>3.8398499488830566</c:v>
                </c:pt>
                <c:pt idx="6">
                  <c:v>5.529383659362793</c:v>
                </c:pt>
                <c:pt idx="7">
                  <c:v>7.5261058807373047</c:v>
                </c:pt>
                <c:pt idx="8">
                  <c:v>9.8300151824951172</c:v>
                </c:pt>
                <c:pt idx="9">
                  <c:v>12.441113471984863</c:v>
                </c:pt>
                <c:pt idx="10">
                  <c:v>15.359399795532227</c:v>
                </c:pt>
                <c:pt idx="11">
                  <c:v>18.584873199462891</c:v>
                </c:pt>
                <c:pt idx="12">
                  <c:v>22.117534637451172</c:v>
                </c:pt>
                <c:pt idx="13">
                  <c:v>25.95738410949707</c:v>
                </c:pt>
                <c:pt idx="14">
                  <c:v>30.104423522949219</c:v>
                </c:pt>
                <c:pt idx="15">
                  <c:v>34.558647155761719</c:v>
                </c:pt>
                <c:pt idx="16">
                  <c:v>39.320060729980469</c:v>
                </c:pt>
                <c:pt idx="17">
                  <c:v>44.388664245605469</c:v>
                </c:pt>
                <c:pt idx="18">
                  <c:v>49.764453887939453</c:v>
                </c:pt>
                <c:pt idx="19">
                  <c:v>55.447433471679688</c:v>
                </c:pt>
                <c:pt idx="20">
                  <c:v>61.437599182128906</c:v>
                </c:pt>
                <c:pt idx="21">
                  <c:v>67.734954833984375</c:v>
                </c:pt>
                <c:pt idx="22">
                  <c:v>74.339492797851563</c:v>
                </c:pt>
                <c:pt idx="23">
                  <c:v>81.251220703125</c:v>
                </c:pt>
                <c:pt idx="24">
                  <c:v>88.470138549804688</c:v>
                </c:pt>
                <c:pt idx="25">
                  <c:v>95.996246337890625</c:v>
                </c:pt>
                <c:pt idx="26">
                  <c:v>103.82953643798828</c:v>
                </c:pt>
                <c:pt idx="27">
                  <c:v>111.97002410888672</c:v>
                </c:pt>
                <c:pt idx="28">
                  <c:v>120.41769409179688</c:v>
                </c:pt>
                <c:pt idx="29">
                  <c:v>129.17254638671875</c:v>
                </c:pt>
                <c:pt idx="30">
                  <c:v>138.23458862304688</c:v>
                </c:pt>
                <c:pt idx="31">
                  <c:v>147.60382080078125</c:v>
                </c:pt>
                <c:pt idx="32">
                  <c:v>157.28024291992188</c:v>
                </c:pt>
                <c:pt idx="33">
                  <c:v>167.26385498046875</c:v>
                </c:pt>
                <c:pt idx="34">
                  <c:v>177.55465698242188</c:v>
                </c:pt>
                <c:pt idx="35">
                  <c:v>188.15264892578125</c:v>
                </c:pt>
                <c:pt idx="36">
                  <c:v>199.05781555175781</c:v>
                </c:pt>
                <c:pt idx="37">
                  <c:v>210.27017211914063</c:v>
                </c:pt>
                <c:pt idx="38">
                  <c:v>221.78973388671875</c:v>
                </c:pt>
                <c:pt idx="39">
                  <c:v>233.61647033691406</c:v>
                </c:pt>
                <c:pt idx="40">
                  <c:v>245.75039672851563</c:v>
                </c:pt>
                <c:pt idx="41">
                  <c:v>258.19149780273438</c:v>
                </c:pt>
                <c:pt idx="42">
                  <c:v>270.9398193359375</c:v>
                </c:pt>
                <c:pt idx="43">
                  <c:v>283.99530029296875</c:v>
                </c:pt>
                <c:pt idx="44">
                  <c:v>297.35797119140625</c:v>
                </c:pt>
                <c:pt idx="45">
                  <c:v>311.02783203125</c:v>
                </c:pt>
                <c:pt idx="46">
                  <c:v>325.0048828125</c:v>
                </c:pt>
                <c:pt idx="47">
                  <c:v>339.28912353515625</c:v>
                </c:pt>
                <c:pt idx="48">
                  <c:v>353.88055419921875</c:v>
                </c:pt>
                <c:pt idx="49">
                  <c:v>368.7791748046875</c:v>
                </c:pt>
                <c:pt idx="50">
                  <c:v>383.9849853515625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167-433D-8E16-373543A05FBC}"/>
            </c:ext>
          </c:extLst>
        </c:ser>
        <c:ser>
          <c:idx val="34"/>
          <c:order val="34"/>
          <c:tx>
            <c:strRef>
              <c:f>Skymaps!$D$36</c:f>
              <c:strCache>
                <c:ptCount val="1"/>
                <c:pt idx="0">
                  <c:v>34000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Skymaps!$E$36:$BC$36</c:f>
              <c:numCache>
                <c:formatCode>General</c:formatCode>
                <c:ptCount val="51"/>
                <c:pt idx="0">
                  <c:v>0</c:v>
                </c:pt>
                <c:pt idx="1">
                  <c:v>0.146574467420578</c:v>
                </c:pt>
                <c:pt idx="2">
                  <c:v>0.58629786968231201</c:v>
                </c:pt>
                <c:pt idx="3">
                  <c:v>1.3191701173782349</c:v>
                </c:pt>
                <c:pt idx="4">
                  <c:v>2.345191478729248</c:v>
                </c:pt>
                <c:pt idx="5">
                  <c:v>3.6643614768981934</c:v>
                </c:pt>
                <c:pt idx="6">
                  <c:v>5.2766804695129395</c:v>
                </c:pt>
                <c:pt idx="7">
                  <c:v>7.1821484565734863</c:v>
                </c:pt>
                <c:pt idx="8">
                  <c:v>9.3807659149169922</c:v>
                </c:pt>
                <c:pt idx="9">
                  <c:v>11.872531890869141</c:v>
                </c:pt>
                <c:pt idx="10">
                  <c:v>14.657445907592773</c:v>
                </c:pt>
                <c:pt idx="11">
                  <c:v>17.735509872436523</c:v>
                </c:pt>
                <c:pt idx="12">
                  <c:v>21.106721878051758</c:v>
                </c:pt>
                <c:pt idx="13">
                  <c:v>24.771083831787109</c:v>
                </c:pt>
                <c:pt idx="14">
                  <c:v>28.728593826293945</c:v>
                </c:pt>
                <c:pt idx="15">
                  <c:v>32.979255676269531</c:v>
                </c:pt>
                <c:pt idx="16">
                  <c:v>37.523063659667969</c:v>
                </c:pt>
                <c:pt idx="17">
                  <c:v>42.360019683837891</c:v>
                </c:pt>
                <c:pt idx="18">
                  <c:v>47.490127563476563</c:v>
                </c:pt>
                <c:pt idx="19">
                  <c:v>52.913379669189453</c:v>
                </c:pt>
                <c:pt idx="20">
                  <c:v>58.629783630371094</c:v>
                </c:pt>
                <c:pt idx="21">
                  <c:v>64.639335632324219</c:v>
                </c:pt>
                <c:pt idx="22">
                  <c:v>70.942039489746094</c:v>
                </c:pt>
                <c:pt idx="23">
                  <c:v>77.537887573242188</c:v>
                </c:pt>
                <c:pt idx="24">
                  <c:v>84.426887512207031</c:v>
                </c:pt>
                <c:pt idx="25">
                  <c:v>91.609039306640625</c:v>
                </c:pt>
                <c:pt idx="26">
                  <c:v>99.084335327148438</c:v>
                </c:pt>
                <c:pt idx="27">
                  <c:v>106.852783203125</c:v>
                </c:pt>
                <c:pt idx="28">
                  <c:v>114.91437530517578</c:v>
                </c:pt>
                <c:pt idx="29">
                  <c:v>123.26912689208984</c:v>
                </c:pt>
                <c:pt idx="30">
                  <c:v>131.91702270507813</c:v>
                </c:pt>
                <c:pt idx="31">
                  <c:v>140.85806274414063</c:v>
                </c:pt>
                <c:pt idx="32">
                  <c:v>150.09225463867188</c:v>
                </c:pt>
                <c:pt idx="33">
                  <c:v>159.61958312988281</c:v>
                </c:pt>
                <c:pt idx="34">
                  <c:v>169.44007873535156</c:v>
                </c:pt>
                <c:pt idx="35">
                  <c:v>179.5537109375</c:v>
                </c:pt>
                <c:pt idx="36">
                  <c:v>189.96051025390625</c:v>
                </c:pt>
                <c:pt idx="37">
                  <c:v>200.66044616699219</c:v>
                </c:pt>
                <c:pt idx="38">
                  <c:v>211.65351867675781</c:v>
                </c:pt>
                <c:pt idx="39">
                  <c:v>222.93975830078125</c:v>
                </c:pt>
                <c:pt idx="40">
                  <c:v>234.51913452148438</c:v>
                </c:pt>
                <c:pt idx="41">
                  <c:v>246.39167785644531</c:v>
                </c:pt>
                <c:pt idx="42">
                  <c:v>258.55734252929688</c:v>
                </c:pt>
                <c:pt idx="43">
                  <c:v>271.01617431640625</c:v>
                </c:pt>
                <c:pt idx="44">
                  <c:v>283.76815795898438</c:v>
                </c:pt>
                <c:pt idx="45">
                  <c:v>296.81329345703125</c:v>
                </c:pt>
                <c:pt idx="46">
                  <c:v>310.15155029296875</c:v>
                </c:pt>
                <c:pt idx="47">
                  <c:v>323.78298950195313</c:v>
                </c:pt>
                <c:pt idx="48">
                  <c:v>337.70755004882813</c:v>
                </c:pt>
                <c:pt idx="49">
                  <c:v>351.92529296875</c:v>
                </c:pt>
                <c:pt idx="50">
                  <c:v>366.4361572265625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167-433D-8E16-373543A05FBC}"/>
            </c:ext>
          </c:extLst>
        </c:ser>
        <c:ser>
          <c:idx val="35"/>
          <c:order val="35"/>
          <c:tx>
            <c:strRef>
              <c:f>Skymaps!$D$37</c:f>
              <c:strCache>
                <c:ptCount val="1"/>
                <c:pt idx="0">
                  <c:v>35000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Skymaps!$E$37:$BC$37</c:f>
              <c:numCache>
                <c:formatCode>General</c:formatCode>
                <c:ptCount val="51"/>
                <c:pt idx="0">
                  <c:v>0</c:v>
                </c:pt>
                <c:pt idx="1">
                  <c:v>0.13981762528419495</c:v>
                </c:pt>
                <c:pt idx="2">
                  <c:v>0.55927050113677979</c:v>
                </c:pt>
                <c:pt idx="3">
                  <c:v>1.2583585977554321</c:v>
                </c:pt>
                <c:pt idx="4">
                  <c:v>2.2370820045471191</c:v>
                </c:pt>
                <c:pt idx="5">
                  <c:v>3.4954407215118408</c:v>
                </c:pt>
                <c:pt idx="6">
                  <c:v>5.0334343910217285</c:v>
                </c:pt>
                <c:pt idx="7">
                  <c:v>6.8510637283325195</c:v>
                </c:pt>
                <c:pt idx="8">
                  <c:v>8.9483280181884766</c:v>
                </c:pt>
                <c:pt idx="9">
                  <c:v>11.325227737426758</c:v>
                </c:pt>
                <c:pt idx="10">
                  <c:v>13.981762886047363</c:v>
                </c:pt>
                <c:pt idx="11">
                  <c:v>16.917932510375977</c:v>
                </c:pt>
                <c:pt idx="12">
                  <c:v>20.133737564086914</c:v>
                </c:pt>
                <c:pt idx="13">
                  <c:v>23.629179000854492</c:v>
                </c:pt>
                <c:pt idx="14">
                  <c:v>27.404254913330078</c:v>
                </c:pt>
                <c:pt idx="15">
                  <c:v>31.458965301513672</c:v>
                </c:pt>
                <c:pt idx="16">
                  <c:v>35.793312072753906</c:v>
                </c:pt>
                <c:pt idx="17">
                  <c:v>40.407295227050781</c:v>
                </c:pt>
                <c:pt idx="18">
                  <c:v>45.300910949707031</c:v>
                </c:pt>
                <c:pt idx="19">
                  <c:v>50.474163055419922</c:v>
                </c:pt>
                <c:pt idx="20">
                  <c:v>55.927051544189453</c:v>
                </c:pt>
                <c:pt idx="21">
                  <c:v>61.659572601318359</c:v>
                </c:pt>
                <c:pt idx="22">
                  <c:v>67.671730041503906</c:v>
                </c:pt>
                <c:pt idx="23">
                  <c:v>73.963523864746094</c:v>
                </c:pt>
                <c:pt idx="24">
                  <c:v>80.534950256347656</c:v>
                </c:pt>
                <c:pt idx="25">
                  <c:v>87.386016845703125</c:v>
                </c:pt>
                <c:pt idx="26">
                  <c:v>94.516716003417969</c:v>
                </c:pt>
                <c:pt idx="27">
                  <c:v>101.92704772949219</c:v>
                </c:pt>
                <c:pt idx="28">
                  <c:v>109.61701965332031</c:v>
                </c:pt>
                <c:pt idx="29">
                  <c:v>117.58662414550781</c:v>
                </c:pt>
                <c:pt idx="30">
                  <c:v>125.83586120605469</c:v>
                </c:pt>
                <c:pt idx="31">
                  <c:v>134.36474609375</c:v>
                </c:pt>
                <c:pt idx="32">
                  <c:v>143.17324829101563</c:v>
                </c:pt>
                <c:pt idx="33">
                  <c:v>152.26139831542969</c:v>
                </c:pt>
                <c:pt idx="34">
                  <c:v>161.62918090820313</c:v>
                </c:pt>
                <c:pt idx="35">
                  <c:v>171.27659606933594</c:v>
                </c:pt>
                <c:pt idx="36">
                  <c:v>181.20364379882813</c:v>
                </c:pt>
                <c:pt idx="37">
                  <c:v>191.41032409667969</c:v>
                </c:pt>
                <c:pt idx="38">
                  <c:v>201.89665222167969</c:v>
                </c:pt>
                <c:pt idx="39">
                  <c:v>212.66261291503906</c:v>
                </c:pt>
                <c:pt idx="40">
                  <c:v>223.70820617675781</c:v>
                </c:pt>
                <c:pt idx="41">
                  <c:v>235.03343200683594</c:v>
                </c:pt>
                <c:pt idx="42">
                  <c:v>246.63829040527344</c:v>
                </c:pt>
                <c:pt idx="43">
                  <c:v>258.52279663085938</c:v>
                </c:pt>
                <c:pt idx="44">
                  <c:v>270.68692016601563</c:v>
                </c:pt>
                <c:pt idx="45">
                  <c:v>283.13070678710938</c:v>
                </c:pt>
                <c:pt idx="46">
                  <c:v>295.85409545898438</c:v>
                </c:pt>
                <c:pt idx="47">
                  <c:v>308.85714721679688</c:v>
                </c:pt>
                <c:pt idx="48">
                  <c:v>322.13980102539063</c:v>
                </c:pt>
                <c:pt idx="49">
                  <c:v>335.70211791992188</c:v>
                </c:pt>
                <c:pt idx="50">
                  <c:v>349.5440673828125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8167-433D-8E16-373543A05FBC}"/>
            </c:ext>
          </c:extLst>
        </c:ser>
        <c:ser>
          <c:idx val="36"/>
          <c:order val="36"/>
          <c:tx>
            <c:strRef>
              <c:f>Skymaps!$D$38</c:f>
              <c:strCache>
                <c:ptCount val="1"/>
                <c:pt idx="0">
                  <c:v>36000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Skymaps!$E$38:$BC$38</c:f>
              <c:numCache>
                <c:formatCode>General</c:formatCode>
                <c:ptCount val="51"/>
                <c:pt idx="0">
                  <c:v>0</c:v>
                </c:pt>
                <c:pt idx="1">
                  <c:v>0.13331587612628937</c:v>
                </c:pt>
                <c:pt idx="2">
                  <c:v>0.53326350450515747</c:v>
                </c:pt>
                <c:pt idx="3">
                  <c:v>1.1998428106307983</c:v>
                </c:pt>
                <c:pt idx="4">
                  <c:v>2.1330540180206299</c:v>
                </c:pt>
                <c:pt idx="5">
                  <c:v>3.3328967094421387</c:v>
                </c:pt>
                <c:pt idx="6">
                  <c:v>4.7993712425231934</c:v>
                </c:pt>
                <c:pt idx="7">
                  <c:v>6.5324773788452148</c:v>
                </c:pt>
                <c:pt idx="8">
                  <c:v>8.5322160720825195</c:v>
                </c:pt>
                <c:pt idx="9">
                  <c:v>10.798584938049316</c:v>
                </c:pt>
                <c:pt idx="10">
                  <c:v>13.331586837768555</c:v>
                </c:pt>
                <c:pt idx="11">
                  <c:v>16.131219863891602</c:v>
                </c:pt>
                <c:pt idx="12">
                  <c:v>19.197484970092773</c:v>
                </c:pt>
                <c:pt idx="13">
                  <c:v>22.53038215637207</c:v>
                </c:pt>
                <c:pt idx="14">
                  <c:v>26.129909515380859</c:v>
                </c:pt>
                <c:pt idx="15">
                  <c:v>29.996070861816406</c:v>
                </c:pt>
                <c:pt idx="16">
                  <c:v>34.128864288330078</c:v>
                </c:pt>
                <c:pt idx="17">
                  <c:v>38.528285980224609</c:v>
                </c:pt>
                <c:pt idx="18">
                  <c:v>43.194339752197266</c:v>
                </c:pt>
                <c:pt idx="19">
                  <c:v>48.127029418945313</c:v>
                </c:pt>
                <c:pt idx="20">
                  <c:v>53.326347351074219</c:v>
                </c:pt>
                <c:pt idx="21">
                  <c:v>58.79229736328125</c:v>
                </c:pt>
                <c:pt idx="22">
                  <c:v>64.524879455566406</c:v>
                </c:pt>
                <c:pt idx="23">
                  <c:v>70.524093627929688</c:v>
                </c:pt>
                <c:pt idx="24">
                  <c:v>76.789939880371094</c:v>
                </c:pt>
                <c:pt idx="25">
                  <c:v>83.322418212890625</c:v>
                </c:pt>
                <c:pt idx="26">
                  <c:v>90.121528625488281</c:v>
                </c:pt>
                <c:pt idx="27">
                  <c:v>97.187271118164063</c:v>
                </c:pt>
                <c:pt idx="28">
                  <c:v>104.51963806152344</c:v>
                </c:pt>
                <c:pt idx="29">
                  <c:v>112.11864471435547</c:v>
                </c:pt>
                <c:pt idx="30">
                  <c:v>119.98428344726563</c:v>
                </c:pt>
                <c:pt idx="31">
                  <c:v>128.11654663085938</c:v>
                </c:pt>
                <c:pt idx="32">
                  <c:v>136.51545715332031</c:v>
                </c:pt>
                <c:pt idx="33">
                  <c:v>145.18098449707031</c:v>
                </c:pt>
                <c:pt idx="34">
                  <c:v>154.11314392089844</c:v>
                </c:pt>
                <c:pt idx="35">
                  <c:v>163.31193542480469</c:v>
                </c:pt>
                <c:pt idx="36">
                  <c:v>172.77735900878906</c:v>
                </c:pt>
                <c:pt idx="37">
                  <c:v>182.50942993164063</c:v>
                </c:pt>
                <c:pt idx="38">
                  <c:v>192.50811767578125</c:v>
                </c:pt>
                <c:pt idx="39">
                  <c:v>202.7734375</c:v>
                </c:pt>
                <c:pt idx="40">
                  <c:v>213.30538940429688</c:v>
                </c:pt>
                <c:pt idx="41">
                  <c:v>224.10397338867188</c:v>
                </c:pt>
                <c:pt idx="42">
                  <c:v>235.169189453125</c:v>
                </c:pt>
                <c:pt idx="43">
                  <c:v>246.50103759765625</c:v>
                </c:pt>
                <c:pt idx="44">
                  <c:v>258.09951782226563</c:v>
                </c:pt>
                <c:pt idx="45">
                  <c:v>269.96463012695313</c:v>
                </c:pt>
                <c:pt idx="46">
                  <c:v>282.09637451171875</c:v>
                </c:pt>
                <c:pt idx="47">
                  <c:v>294.4947509765625</c:v>
                </c:pt>
                <c:pt idx="48">
                  <c:v>307.15975952148438</c:v>
                </c:pt>
                <c:pt idx="49">
                  <c:v>320.09140014648438</c:v>
                </c:pt>
                <c:pt idx="50">
                  <c:v>333.2896728515625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167-433D-8E16-373543A05FBC}"/>
            </c:ext>
          </c:extLst>
        </c:ser>
        <c:ser>
          <c:idx val="37"/>
          <c:order val="37"/>
          <c:tx>
            <c:strRef>
              <c:f>Skymaps!$D$39</c:f>
              <c:strCache>
                <c:ptCount val="1"/>
                <c:pt idx="0">
                  <c:v>37000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Skymaps!$E$39:$BC$39</c:f>
              <c:numCache>
                <c:formatCode>General</c:formatCode>
                <c:ptCount val="51"/>
                <c:pt idx="0">
                  <c:v>0</c:v>
                </c:pt>
                <c:pt idx="1">
                  <c:v>0.12708112597465515</c:v>
                </c:pt>
                <c:pt idx="2">
                  <c:v>0.50832450389862061</c:v>
                </c:pt>
                <c:pt idx="3">
                  <c:v>1.1437301635742188</c:v>
                </c:pt>
                <c:pt idx="4">
                  <c:v>2.0332980155944824</c:v>
                </c:pt>
                <c:pt idx="5">
                  <c:v>3.1770281791687012</c:v>
                </c:pt>
                <c:pt idx="6">
                  <c:v>4.574920654296875</c:v>
                </c:pt>
                <c:pt idx="7">
                  <c:v>6.2269754409790039</c:v>
                </c:pt>
                <c:pt idx="8">
                  <c:v>8.1331920623779297</c:v>
                </c:pt>
                <c:pt idx="9">
                  <c:v>10.293571472167969</c:v>
                </c:pt>
                <c:pt idx="10">
                  <c:v>12.708112716674805</c:v>
                </c:pt>
                <c:pt idx="11">
                  <c:v>15.376816749572754</c:v>
                </c:pt>
                <c:pt idx="12">
                  <c:v>18.2996826171875</c:v>
                </c:pt>
                <c:pt idx="13">
                  <c:v>21.476711273193359</c:v>
                </c:pt>
                <c:pt idx="14">
                  <c:v>24.907901763916016</c:v>
                </c:pt>
                <c:pt idx="15">
                  <c:v>28.593254089355469</c:v>
                </c:pt>
                <c:pt idx="16">
                  <c:v>32.532768249511719</c:v>
                </c:pt>
                <c:pt idx="17">
                  <c:v>36.726444244384766</c:v>
                </c:pt>
                <c:pt idx="18">
                  <c:v>41.174285888671875</c:v>
                </c:pt>
                <c:pt idx="19">
                  <c:v>45.876285552978516</c:v>
                </c:pt>
                <c:pt idx="20">
                  <c:v>50.832450866699219</c:v>
                </c:pt>
                <c:pt idx="21">
                  <c:v>56.042778015136719</c:v>
                </c:pt>
                <c:pt idx="22">
                  <c:v>61.507266998291016</c:v>
                </c:pt>
                <c:pt idx="23">
                  <c:v>67.225914001464844</c:v>
                </c:pt>
                <c:pt idx="24">
                  <c:v>73.19873046875</c:v>
                </c:pt>
                <c:pt idx="25">
                  <c:v>79.425704956054688</c:v>
                </c:pt>
                <c:pt idx="26">
                  <c:v>85.906845092773438</c:v>
                </c:pt>
                <c:pt idx="27">
                  <c:v>92.642143249511719</c:v>
                </c:pt>
                <c:pt idx="28">
                  <c:v>99.631607055664063</c:v>
                </c:pt>
                <c:pt idx="29">
                  <c:v>106.87522888183594</c:v>
                </c:pt>
                <c:pt idx="30">
                  <c:v>114.37301635742188</c:v>
                </c:pt>
                <c:pt idx="31">
                  <c:v>122.12496185302734</c:v>
                </c:pt>
                <c:pt idx="32">
                  <c:v>130.13107299804688</c:v>
                </c:pt>
                <c:pt idx="33">
                  <c:v>138.39134216308594</c:v>
                </c:pt>
                <c:pt idx="34">
                  <c:v>146.90577697753906</c:v>
                </c:pt>
                <c:pt idx="35">
                  <c:v>155.67437744140625</c:v>
                </c:pt>
                <c:pt idx="36">
                  <c:v>164.6971435546875</c:v>
                </c:pt>
                <c:pt idx="37">
                  <c:v>173.97406005859375</c:v>
                </c:pt>
                <c:pt idx="38">
                  <c:v>183.50514221191406</c:v>
                </c:pt>
                <c:pt idx="39">
                  <c:v>193.29039001464844</c:v>
                </c:pt>
                <c:pt idx="40">
                  <c:v>203.32980346679688</c:v>
                </c:pt>
                <c:pt idx="41">
                  <c:v>213.62338256835938</c:v>
                </c:pt>
                <c:pt idx="42">
                  <c:v>224.17111206054688</c:v>
                </c:pt>
                <c:pt idx="43">
                  <c:v>234.97300720214844</c:v>
                </c:pt>
                <c:pt idx="44">
                  <c:v>246.02906799316406</c:v>
                </c:pt>
                <c:pt idx="45">
                  <c:v>257.33929443359375</c:v>
                </c:pt>
                <c:pt idx="46">
                  <c:v>268.90365600585938</c:v>
                </c:pt>
                <c:pt idx="47">
                  <c:v>280.72219848632813</c:v>
                </c:pt>
                <c:pt idx="48">
                  <c:v>292.794921875</c:v>
                </c:pt>
                <c:pt idx="49">
                  <c:v>305.12179565429688</c:v>
                </c:pt>
                <c:pt idx="50">
                  <c:v>317.70281982421875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8167-433D-8E16-373543A05FBC}"/>
            </c:ext>
          </c:extLst>
        </c:ser>
        <c:ser>
          <c:idx val="38"/>
          <c:order val="38"/>
          <c:tx>
            <c:strRef>
              <c:f>Skymaps!$D$40</c:f>
              <c:strCache>
                <c:ptCount val="1"/>
                <c:pt idx="0">
                  <c:v>38000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Skymaps!$E$40:$BC$40</c:f>
              <c:numCache>
                <c:formatCode>General</c:formatCode>
                <c:ptCount val="51"/>
                <c:pt idx="0">
                  <c:v>0</c:v>
                </c:pt>
                <c:pt idx="1">
                  <c:v>0.12113851308822632</c:v>
                </c:pt>
                <c:pt idx="2">
                  <c:v>0.48455405235290527</c:v>
                </c:pt>
                <c:pt idx="3">
                  <c:v>1.0902466773986816</c:v>
                </c:pt>
                <c:pt idx="4">
                  <c:v>1.9382162094116211</c:v>
                </c:pt>
                <c:pt idx="5">
                  <c:v>3.0284628868103027</c:v>
                </c:pt>
                <c:pt idx="6">
                  <c:v>4.3609867095947266</c:v>
                </c:pt>
                <c:pt idx="7">
                  <c:v>5.9357872009277344</c:v>
                </c:pt>
                <c:pt idx="8">
                  <c:v>7.7528648376464844</c:v>
                </c:pt>
                <c:pt idx="9">
                  <c:v>9.8122196197509766</c:v>
                </c:pt>
                <c:pt idx="10">
                  <c:v>12.113851547241211</c:v>
                </c:pt>
                <c:pt idx="11">
                  <c:v>14.657759666442871</c:v>
                </c:pt>
                <c:pt idx="12">
                  <c:v>17.443946838378906</c:v>
                </c:pt>
                <c:pt idx="13">
                  <c:v>20.472408294677734</c:v>
                </c:pt>
                <c:pt idx="14">
                  <c:v>23.743148803710938</c:v>
                </c:pt>
                <c:pt idx="15">
                  <c:v>27.25616455078125</c:v>
                </c:pt>
                <c:pt idx="16">
                  <c:v>31.011459350585938</c:v>
                </c:pt>
                <c:pt idx="17">
                  <c:v>35.009029388427734</c:v>
                </c:pt>
                <c:pt idx="18">
                  <c:v>39.248878479003906</c:v>
                </c:pt>
                <c:pt idx="19">
                  <c:v>43.731002807617188</c:v>
                </c:pt>
                <c:pt idx="20">
                  <c:v>48.455406188964844</c:v>
                </c:pt>
                <c:pt idx="21">
                  <c:v>53.422084808349609</c:v>
                </c:pt>
                <c:pt idx="22">
                  <c:v>58.631038665771484</c:v>
                </c:pt>
                <c:pt idx="23">
                  <c:v>64.082275390625</c:v>
                </c:pt>
                <c:pt idx="24">
                  <c:v>69.775787353515625</c:v>
                </c:pt>
                <c:pt idx="25">
                  <c:v>75.711570739746094</c:v>
                </c:pt>
                <c:pt idx="26">
                  <c:v>81.889633178710938</c:v>
                </c:pt>
                <c:pt idx="27">
                  <c:v>88.309974670410156</c:v>
                </c:pt>
                <c:pt idx="28">
                  <c:v>94.97259521484375</c:v>
                </c:pt>
                <c:pt idx="29">
                  <c:v>101.87748718261719</c:v>
                </c:pt>
                <c:pt idx="30">
                  <c:v>109.024658203125</c:v>
                </c:pt>
                <c:pt idx="31">
                  <c:v>116.41410827636719</c:v>
                </c:pt>
                <c:pt idx="32">
                  <c:v>124.04583740234375</c:v>
                </c:pt>
                <c:pt idx="33">
                  <c:v>131.91984558105469</c:v>
                </c:pt>
                <c:pt idx="34">
                  <c:v>140.03611755371094</c:v>
                </c:pt>
                <c:pt idx="35">
                  <c:v>148.39468383789063</c:v>
                </c:pt>
                <c:pt idx="36">
                  <c:v>156.99551391601563</c:v>
                </c:pt>
                <c:pt idx="37">
                  <c:v>165.838623046875</c:v>
                </c:pt>
                <c:pt idx="38">
                  <c:v>174.92401123046875</c:v>
                </c:pt>
                <c:pt idx="39">
                  <c:v>184.25167846679688</c:v>
                </c:pt>
                <c:pt idx="40">
                  <c:v>193.82162475585938</c:v>
                </c:pt>
                <c:pt idx="41">
                  <c:v>203.63383483886719</c:v>
                </c:pt>
                <c:pt idx="42">
                  <c:v>213.68833923339844</c:v>
                </c:pt>
                <c:pt idx="43">
                  <c:v>223.985107421875</c:v>
                </c:pt>
                <c:pt idx="44">
                  <c:v>234.52415466308594</c:v>
                </c:pt>
                <c:pt idx="45">
                  <c:v>245.30549621582031</c:v>
                </c:pt>
                <c:pt idx="46">
                  <c:v>256.3291015625</c:v>
                </c:pt>
                <c:pt idx="47">
                  <c:v>267.594970703125</c:v>
                </c:pt>
                <c:pt idx="48">
                  <c:v>279.1031494140625</c:v>
                </c:pt>
                <c:pt idx="49">
                  <c:v>290.85357666015625</c:v>
                </c:pt>
                <c:pt idx="50">
                  <c:v>302.84628295898438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8167-433D-8E16-373543A05FBC}"/>
            </c:ext>
          </c:extLst>
        </c:ser>
        <c:ser>
          <c:idx val="39"/>
          <c:order val="39"/>
          <c:tx>
            <c:strRef>
              <c:f>Skymaps!$D$41</c:f>
              <c:strCache>
                <c:ptCount val="1"/>
                <c:pt idx="0">
                  <c:v>39000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Skymaps!$E$41:$BC$41</c:f>
              <c:numCache>
                <c:formatCode>General</c:formatCode>
                <c:ptCount val="51"/>
                <c:pt idx="0">
                  <c:v>0</c:v>
                </c:pt>
                <c:pt idx="1">
                  <c:v>0.11547432839870453</c:v>
                </c:pt>
                <c:pt idx="2">
                  <c:v>0.46189731359481812</c:v>
                </c:pt>
                <c:pt idx="3">
                  <c:v>1.039268970489502</c:v>
                </c:pt>
                <c:pt idx="4">
                  <c:v>1.8475892543792725</c:v>
                </c:pt>
                <c:pt idx="5">
                  <c:v>2.8868582248687744</c:v>
                </c:pt>
                <c:pt idx="6">
                  <c:v>4.1570758819580078</c:v>
                </c:pt>
                <c:pt idx="7">
                  <c:v>5.6582422256469727</c:v>
                </c:pt>
                <c:pt idx="8">
                  <c:v>7.3903570175170898</c:v>
                </c:pt>
                <c:pt idx="9">
                  <c:v>9.3534202575683594</c:v>
                </c:pt>
                <c:pt idx="10">
                  <c:v>11.547432899475098</c:v>
                </c:pt>
                <c:pt idx="11">
                  <c:v>13.972393989562988</c:v>
                </c:pt>
                <c:pt idx="12">
                  <c:v>16.628303527832031</c:v>
                </c:pt>
                <c:pt idx="13">
                  <c:v>19.515161514282227</c:v>
                </c:pt>
                <c:pt idx="14">
                  <c:v>22.632968902587891</c:v>
                </c:pt>
                <c:pt idx="15">
                  <c:v>25.981723785400391</c:v>
                </c:pt>
                <c:pt idx="16">
                  <c:v>29.561428070068359</c:v>
                </c:pt>
                <c:pt idx="17">
                  <c:v>33.372081756591797</c:v>
                </c:pt>
                <c:pt idx="18">
                  <c:v>37.413681030273438</c:v>
                </c:pt>
                <c:pt idx="19">
                  <c:v>41.686233520507813</c:v>
                </c:pt>
                <c:pt idx="20">
                  <c:v>46.189731597900391</c:v>
                </c:pt>
                <c:pt idx="21">
                  <c:v>50.924179077148438</c:v>
                </c:pt>
                <c:pt idx="22">
                  <c:v>55.889575958251953</c:v>
                </c:pt>
                <c:pt idx="23">
                  <c:v>61.085918426513672</c:v>
                </c:pt>
                <c:pt idx="24">
                  <c:v>66.513214111328125</c:v>
                </c:pt>
                <c:pt idx="25">
                  <c:v>72.171455383300781</c:v>
                </c:pt>
                <c:pt idx="26">
                  <c:v>78.060646057128906</c:v>
                </c:pt>
                <c:pt idx="27">
                  <c:v>84.1807861328125</c:v>
                </c:pt>
                <c:pt idx="28">
                  <c:v>90.531875610351563</c:v>
                </c:pt>
                <c:pt idx="29">
                  <c:v>97.113906860351563</c:v>
                </c:pt>
                <c:pt idx="30">
                  <c:v>103.92689514160156</c:v>
                </c:pt>
                <c:pt idx="31">
                  <c:v>110.97083282470703</c:v>
                </c:pt>
                <c:pt idx="32">
                  <c:v>118.24571228027344</c:v>
                </c:pt>
                <c:pt idx="33">
                  <c:v>125.75154113769531</c:v>
                </c:pt>
                <c:pt idx="34">
                  <c:v>133.48832702636719</c:v>
                </c:pt>
                <c:pt idx="35">
                  <c:v>141.4560546875</c:v>
                </c:pt>
                <c:pt idx="36">
                  <c:v>149.65472412109375</c:v>
                </c:pt>
                <c:pt idx="37">
                  <c:v>158.0843505859375</c:v>
                </c:pt>
                <c:pt idx="38">
                  <c:v>166.74493408203125</c:v>
                </c:pt>
                <c:pt idx="39">
                  <c:v>175.63645935058594</c:v>
                </c:pt>
                <c:pt idx="40">
                  <c:v>184.75892639160156</c:v>
                </c:pt>
                <c:pt idx="41">
                  <c:v>194.11235046386719</c:v>
                </c:pt>
                <c:pt idx="42">
                  <c:v>203.69671630859375</c:v>
                </c:pt>
                <c:pt idx="43">
                  <c:v>213.51203918457031</c:v>
                </c:pt>
                <c:pt idx="44">
                  <c:v>223.55830383300781</c:v>
                </c:pt>
                <c:pt idx="45">
                  <c:v>233.83551025390625</c:v>
                </c:pt>
                <c:pt idx="46">
                  <c:v>244.34367370605469</c:v>
                </c:pt>
                <c:pt idx="47">
                  <c:v>255.08279418945313</c:v>
                </c:pt>
                <c:pt idx="48">
                  <c:v>266.0528564453125</c:v>
                </c:pt>
                <c:pt idx="49">
                  <c:v>277.25387573242188</c:v>
                </c:pt>
                <c:pt idx="50">
                  <c:v>288.68582153320313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8167-433D-8E16-373543A05FBC}"/>
            </c:ext>
          </c:extLst>
        </c:ser>
        <c:ser>
          <c:idx val="40"/>
          <c:order val="40"/>
          <c:tx>
            <c:strRef>
              <c:f>Skymaps!$D$42</c:f>
              <c:strCache>
                <c:ptCount val="1"/>
                <c:pt idx="0">
                  <c:v>40000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Skymaps!$E$42:$BC$42</c:f>
              <c:numCache>
                <c:formatCode>General</c:formatCode>
                <c:ptCount val="51"/>
                <c:pt idx="0">
                  <c:v>0</c:v>
                </c:pt>
                <c:pt idx="1">
                  <c:v>0.11007547378540039</c:v>
                </c:pt>
                <c:pt idx="2">
                  <c:v>0.44030189514160156</c:v>
                </c:pt>
                <c:pt idx="3">
                  <c:v>0.99067926406860352</c:v>
                </c:pt>
                <c:pt idx="4">
                  <c:v>1.7612075805664063</c:v>
                </c:pt>
                <c:pt idx="5">
                  <c:v>2.7518868446350098</c:v>
                </c:pt>
                <c:pt idx="6">
                  <c:v>3.9627170562744141</c:v>
                </c:pt>
                <c:pt idx="7">
                  <c:v>5.3936982154846191</c:v>
                </c:pt>
                <c:pt idx="8">
                  <c:v>7.044830322265625</c:v>
                </c:pt>
                <c:pt idx="9">
                  <c:v>8.9161138534545898</c:v>
                </c:pt>
                <c:pt idx="10">
                  <c:v>11.007547378540039</c:v>
                </c:pt>
                <c:pt idx="11">
                  <c:v>13.319132804870605</c:v>
                </c:pt>
                <c:pt idx="12">
                  <c:v>15.850868225097656</c:v>
                </c:pt>
                <c:pt idx="13">
                  <c:v>18.602754592895508</c:v>
                </c:pt>
                <c:pt idx="14">
                  <c:v>21.574792861938477</c:v>
                </c:pt>
                <c:pt idx="15">
                  <c:v>24.766983032226563</c:v>
                </c:pt>
                <c:pt idx="16">
                  <c:v>28.1793212890625</c:v>
                </c:pt>
                <c:pt idx="17">
                  <c:v>31.811813354492188</c:v>
                </c:pt>
                <c:pt idx="18">
                  <c:v>35.664455413818359</c:v>
                </c:pt>
                <c:pt idx="19">
                  <c:v>39.737247467041016</c:v>
                </c:pt>
                <c:pt idx="20">
                  <c:v>44.030189514160156</c:v>
                </c:pt>
                <c:pt idx="21">
                  <c:v>48.543285369873047</c:v>
                </c:pt>
                <c:pt idx="22">
                  <c:v>53.276531219482422</c:v>
                </c:pt>
                <c:pt idx="23">
                  <c:v>58.229927062988281</c:v>
                </c:pt>
                <c:pt idx="24">
                  <c:v>63.403472900390625</c:v>
                </c:pt>
                <c:pt idx="25">
                  <c:v>68.797172546386719</c:v>
                </c:pt>
                <c:pt idx="26">
                  <c:v>74.411018371582031</c:v>
                </c:pt>
                <c:pt idx="27">
                  <c:v>80.245025634765625</c:v>
                </c:pt>
                <c:pt idx="28">
                  <c:v>86.299171447753906</c:v>
                </c:pt>
                <c:pt idx="29">
                  <c:v>92.573478698730469</c:v>
                </c:pt>
                <c:pt idx="30">
                  <c:v>99.06793212890625</c:v>
                </c:pt>
                <c:pt idx="31">
                  <c:v>105.78253173828125</c:v>
                </c:pt>
                <c:pt idx="32">
                  <c:v>112.71728515625</c:v>
                </c:pt>
                <c:pt idx="33">
                  <c:v>119.8721923828125</c:v>
                </c:pt>
                <c:pt idx="34">
                  <c:v>127.24725341796875</c:v>
                </c:pt>
                <c:pt idx="35">
                  <c:v>134.84245300292969</c:v>
                </c:pt>
                <c:pt idx="36">
                  <c:v>142.65782165527344</c:v>
                </c:pt>
                <c:pt idx="37">
                  <c:v>150.69332885742188</c:v>
                </c:pt>
                <c:pt idx="38">
                  <c:v>158.94898986816406</c:v>
                </c:pt>
                <c:pt idx="39">
                  <c:v>167.4248046875</c:v>
                </c:pt>
                <c:pt idx="40">
                  <c:v>176.12075805664063</c:v>
                </c:pt>
                <c:pt idx="41">
                  <c:v>185.03688049316406</c:v>
                </c:pt>
                <c:pt idx="42">
                  <c:v>194.17314147949219</c:v>
                </c:pt>
                <c:pt idx="43">
                  <c:v>203.52955627441406</c:v>
                </c:pt>
                <c:pt idx="44">
                  <c:v>213.10612487792969</c:v>
                </c:pt>
                <c:pt idx="45">
                  <c:v>222.90283203125</c:v>
                </c:pt>
                <c:pt idx="46">
                  <c:v>232.91970825195313</c:v>
                </c:pt>
                <c:pt idx="47">
                  <c:v>243.15672302246094</c:v>
                </c:pt>
                <c:pt idx="48">
                  <c:v>253.6138916015625</c:v>
                </c:pt>
                <c:pt idx="49">
                  <c:v>264.29122924804688</c:v>
                </c:pt>
                <c:pt idx="50">
                  <c:v>275.18869018554688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8167-433D-8E16-373543A05FBC}"/>
            </c:ext>
          </c:extLst>
        </c:ser>
        <c:ser>
          <c:idx val="41"/>
          <c:order val="41"/>
          <c:tx>
            <c:strRef>
              <c:f>Skymaps!$D$43</c:f>
              <c:strCache>
                <c:ptCount val="1"/>
                <c:pt idx="0">
                  <c:v>41000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Skymaps!$E$43:$BC$43</c:f>
              <c:numCache>
                <c:formatCode>General</c:formatCode>
                <c:ptCount val="51"/>
                <c:pt idx="0">
                  <c:v>0</c:v>
                </c:pt>
                <c:pt idx="1">
                  <c:v>0.10492952913045883</c:v>
                </c:pt>
                <c:pt idx="2">
                  <c:v>0.41971811652183533</c:v>
                </c:pt>
                <c:pt idx="3">
                  <c:v>0.9443657398223877</c:v>
                </c:pt>
                <c:pt idx="4">
                  <c:v>1.6788724660873413</c:v>
                </c:pt>
                <c:pt idx="5">
                  <c:v>2.6232383251190186</c:v>
                </c:pt>
                <c:pt idx="6">
                  <c:v>3.7774629592895508</c:v>
                </c:pt>
                <c:pt idx="7">
                  <c:v>5.1415467262268066</c:v>
                </c:pt>
                <c:pt idx="8">
                  <c:v>6.7154898643493652</c:v>
                </c:pt>
                <c:pt idx="9">
                  <c:v>8.4992914199829102</c:v>
                </c:pt>
                <c:pt idx="10">
                  <c:v>10.492953300476074</c:v>
                </c:pt>
                <c:pt idx="11">
                  <c:v>12.696473121643066</c:v>
                </c:pt>
                <c:pt idx="12">
                  <c:v>15.109851837158203</c:v>
                </c:pt>
                <c:pt idx="13">
                  <c:v>17.733089447021484</c:v>
                </c:pt>
                <c:pt idx="14">
                  <c:v>20.566186904907227</c:v>
                </c:pt>
                <c:pt idx="15">
                  <c:v>23.60914421081543</c:v>
                </c:pt>
                <c:pt idx="16">
                  <c:v>26.861959457397461</c:v>
                </c:pt>
                <c:pt idx="17">
                  <c:v>30.324634552001953</c:v>
                </c:pt>
                <c:pt idx="18">
                  <c:v>33.997165679931641</c:v>
                </c:pt>
                <c:pt idx="19">
                  <c:v>37.879558563232422</c:v>
                </c:pt>
                <c:pt idx="20">
                  <c:v>41.971813201904297</c:v>
                </c:pt>
                <c:pt idx="21">
                  <c:v>46.273921966552734</c:v>
                </c:pt>
                <c:pt idx="22">
                  <c:v>50.785892486572266</c:v>
                </c:pt>
                <c:pt idx="23">
                  <c:v>55.507720947265625</c:v>
                </c:pt>
                <c:pt idx="24">
                  <c:v>60.439407348632813</c:v>
                </c:pt>
                <c:pt idx="25">
                  <c:v>65.580955505371094</c:v>
                </c:pt>
                <c:pt idx="26">
                  <c:v>70.932357788085938</c:v>
                </c:pt>
                <c:pt idx="27">
                  <c:v>76.493629455566406</c:v>
                </c:pt>
                <c:pt idx="28">
                  <c:v>82.264747619628906</c:v>
                </c:pt>
                <c:pt idx="29">
                  <c:v>88.245735168457031</c:v>
                </c:pt>
                <c:pt idx="30">
                  <c:v>94.436576843261719</c:v>
                </c:pt>
                <c:pt idx="31">
                  <c:v>100.8372802734375</c:v>
                </c:pt>
                <c:pt idx="32">
                  <c:v>107.44783782958984</c:v>
                </c:pt>
                <c:pt idx="33">
                  <c:v>114.26825714111328</c:v>
                </c:pt>
                <c:pt idx="34">
                  <c:v>121.29853820800781</c:v>
                </c:pt>
                <c:pt idx="35">
                  <c:v>128.53866577148438</c:v>
                </c:pt>
                <c:pt idx="36">
                  <c:v>135.98866271972656</c:v>
                </c:pt>
                <c:pt idx="37">
                  <c:v>143.64852905273438</c:v>
                </c:pt>
                <c:pt idx="38">
                  <c:v>151.51823425292969</c:v>
                </c:pt>
                <c:pt idx="39">
                  <c:v>159.59780883789063</c:v>
                </c:pt>
                <c:pt idx="40">
                  <c:v>167.88725280761719</c:v>
                </c:pt>
                <c:pt idx="41">
                  <c:v>176.38653564453125</c:v>
                </c:pt>
                <c:pt idx="42">
                  <c:v>185.09568786621094</c:v>
                </c:pt>
                <c:pt idx="43">
                  <c:v>194.01469421386719</c:v>
                </c:pt>
                <c:pt idx="44">
                  <c:v>203.14356994628906</c:v>
                </c:pt>
                <c:pt idx="45">
                  <c:v>212.4822998046875</c:v>
                </c:pt>
                <c:pt idx="46">
                  <c:v>222.0308837890625</c:v>
                </c:pt>
                <c:pt idx="47">
                  <c:v>231.78932189941406</c:v>
                </c:pt>
                <c:pt idx="48">
                  <c:v>241.75762939453125</c:v>
                </c:pt>
                <c:pt idx="49">
                  <c:v>251.93580627441406</c:v>
                </c:pt>
                <c:pt idx="50">
                  <c:v>262.32382202148438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8167-433D-8E16-373543A05FBC}"/>
            </c:ext>
          </c:extLst>
        </c:ser>
        <c:ser>
          <c:idx val="42"/>
          <c:order val="42"/>
          <c:tx>
            <c:strRef>
              <c:f>Skymaps!$D$44</c:f>
              <c:strCache>
                <c:ptCount val="1"/>
                <c:pt idx="0">
                  <c:v>42000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Skymaps!$E$44:$BC$44</c:f>
              <c:numCache>
                <c:formatCode>General</c:formatCode>
                <c:ptCount val="51"/>
                <c:pt idx="0">
                  <c:v>0</c:v>
                </c:pt>
                <c:pt idx="1">
                  <c:v>0.10002461820840836</c:v>
                </c:pt>
                <c:pt idx="2">
                  <c:v>0.40009847283363342</c:v>
                </c:pt>
                <c:pt idx="3">
                  <c:v>0.90022152662277222</c:v>
                </c:pt>
                <c:pt idx="4">
                  <c:v>1.6003938913345337</c:v>
                </c:pt>
                <c:pt idx="5">
                  <c:v>2.5006153583526611</c:v>
                </c:pt>
                <c:pt idx="6">
                  <c:v>3.6008861064910889</c:v>
                </c:pt>
                <c:pt idx="7">
                  <c:v>4.9012060165405273</c:v>
                </c:pt>
                <c:pt idx="8">
                  <c:v>6.4015755653381348</c:v>
                </c:pt>
                <c:pt idx="9">
                  <c:v>8.1019935607910156</c:v>
                </c:pt>
                <c:pt idx="10">
                  <c:v>10.002461433410645</c:v>
                </c:pt>
                <c:pt idx="11">
                  <c:v>12.102978706359863</c:v>
                </c:pt>
                <c:pt idx="12">
                  <c:v>14.403544425964355</c:v>
                </c:pt>
                <c:pt idx="13">
                  <c:v>16.904159545898438</c:v>
                </c:pt>
                <c:pt idx="14">
                  <c:v>19.604824066162109</c:v>
                </c:pt>
                <c:pt idx="15">
                  <c:v>22.505538940429688</c:v>
                </c:pt>
                <c:pt idx="16">
                  <c:v>25.606302261352539</c:v>
                </c:pt>
                <c:pt idx="17">
                  <c:v>28.907114028930664</c:v>
                </c:pt>
                <c:pt idx="18">
                  <c:v>32.407974243164063</c:v>
                </c:pt>
                <c:pt idx="19">
                  <c:v>36.10888671875</c:v>
                </c:pt>
                <c:pt idx="20">
                  <c:v>40.009845733642578</c:v>
                </c:pt>
                <c:pt idx="21">
                  <c:v>44.110855102539063</c:v>
                </c:pt>
                <c:pt idx="22">
                  <c:v>48.411914825439453</c:v>
                </c:pt>
                <c:pt idx="23">
                  <c:v>52.913021087646484</c:v>
                </c:pt>
                <c:pt idx="24">
                  <c:v>57.614177703857422</c:v>
                </c:pt>
                <c:pt idx="25">
                  <c:v>62.515384674072266</c:v>
                </c:pt>
                <c:pt idx="26">
                  <c:v>67.61663818359375</c:v>
                </c:pt>
                <c:pt idx="27">
                  <c:v>72.917945861816406</c:v>
                </c:pt>
                <c:pt idx="28">
                  <c:v>78.419296264648438</c:v>
                </c:pt>
                <c:pt idx="29">
                  <c:v>84.120704650878906</c:v>
                </c:pt>
                <c:pt idx="30">
                  <c:v>90.02215576171875</c:v>
                </c:pt>
                <c:pt idx="31">
                  <c:v>96.1236572265625</c:v>
                </c:pt>
                <c:pt idx="32">
                  <c:v>102.42520904541016</c:v>
                </c:pt>
                <c:pt idx="33">
                  <c:v>108.92680358886719</c:v>
                </c:pt>
                <c:pt idx="34">
                  <c:v>115.62845611572266</c:v>
                </c:pt>
                <c:pt idx="35">
                  <c:v>122.5301513671875</c:v>
                </c:pt>
                <c:pt idx="36">
                  <c:v>129.63189697265625</c:v>
                </c:pt>
                <c:pt idx="37">
                  <c:v>136.93370056152344</c:v>
                </c:pt>
                <c:pt idx="38">
                  <c:v>144.435546875</c:v>
                </c:pt>
                <c:pt idx="39">
                  <c:v>152.13743591308594</c:v>
                </c:pt>
                <c:pt idx="40">
                  <c:v>160.03938293457031</c:v>
                </c:pt>
                <c:pt idx="41">
                  <c:v>168.14137268066406</c:v>
                </c:pt>
                <c:pt idx="42">
                  <c:v>176.44342041015625</c:v>
                </c:pt>
                <c:pt idx="43">
                  <c:v>184.94551086425781</c:v>
                </c:pt>
                <c:pt idx="44">
                  <c:v>193.64765930175781</c:v>
                </c:pt>
                <c:pt idx="45">
                  <c:v>202.54985046386719</c:v>
                </c:pt>
                <c:pt idx="46">
                  <c:v>211.65208435058594</c:v>
                </c:pt>
                <c:pt idx="47">
                  <c:v>220.95437622070313</c:v>
                </c:pt>
                <c:pt idx="48">
                  <c:v>230.45671081542969</c:v>
                </c:pt>
                <c:pt idx="49">
                  <c:v>240.15910339355469</c:v>
                </c:pt>
                <c:pt idx="50">
                  <c:v>250.06153869628906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8167-433D-8E16-373543A05FBC}"/>
            </c:ext>
          </c:extLst>
        </c:ser>
        <c:ser>
          <c:idx val="43"/>
          <c:order val="43"/>
          <c:tx>
            <c:strRef>
              <c:f>Skymaps!$D$45</c:f>
              <c:strCache>
                <c:ptCount val="1"/>
                <c:pt idx="0">
                  <c:v>43000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Skymaps!$E$45:$BC$45</c:f>
              <c:numCache>
                <c:formatCode>General</c:formatCode>
                <c:ptCount val="51"/>
                <c:pt idx="0">
                  <c:v>0</c:v>
                </c:pt>
                <c:pt idx="1">
                  <c:v>9.5349416136741638E-2</c:v>
                </c:pt>
                <c:pt idx="2">
                  <c:v>0.38139766454696655</c:v>
                </c:pt>
                <c:pt idx="3">
                  <c:v>0.85814470052719116</c:v>
                </c:pt>
                <c:pt idx="4">
                  <c:v>1.5255906581878662</c:v>
                </c:pt>
                <c:pt idx="5">
                  <c:v>2.3837354183197021</c:v>
                </c:pt>
                <c:pt idx="6">
                  <c:v>3.4325788021087646</c:v>
                </c:pt>
                <c:pt idx="7">
                  <c:v>4.672121524810791</c:v>
                </c:pt>
                <c:pt idx="8">
                  <c:v>6.1023626327514648</c:v>
                </c:pt>
                <c:pt idx="9">
                  <c:v>7.7233023643493652</c:v>
                </c:pt>
                <c:pt idx="10">
                  <c:v>9.5349416732788086</c:v>
                </c:pt>
                <c:pt idx="11">
                  <c:v>11.53727912902832</c:v>
                </c:pt>
                <c:pt idx="12">
                  <c:v>13.730315208435059</c:v>
                </c:pt>
                <c:pt idx="13">
                  <c:v>16.114051818847656</c:v>
                </c:pt>
                <c:pt idx="14">
                  <c:v>18.688486099243164</c:v>
                </c:pt>
                <c:pt idx="15">
                  <c:v>21.453619003295898</c:v>
                </c:pt>
                <c:pt idx="16">
                  <c:v>24.409450531005859</c:v>
                </c:pt>
                <c:pt idx="17">
                  <c:v>27.555980682373047</c:v>
                </c:pt>
                <c:pt idx="18">
                  <c:v>30.893209457397461</c:v>
                </c:pt>
                <c:pt idx="19">
                  <c:v>34.421138763427734</c:v>
                </c:pt>
                <c:pt idx="20">
                  <c:v>38.139766693115234</c:v>
                </c:pt>
                <c:pt idx="21">
                  <c:v>42.049091339111328</c:v>
                </c:pt>
                <c:pt idx="22">
                  <c:v>46.149116516113281</c:v>
                </c:pt>
                <c:pt idx="23">
                  <c:v>50.439838409423828</c:v>
                </c:pt>
                <c:pt idx="24">
                  <c:v>54.921260833740234</c:v>
                </c:pt>
                <c:pt idx="25">
                  <c:v>59.5933837890625</c:v>
                </c:pt>
                <c:pt idx="26">
                  <c:v>64.456207275390625</c:v>
                </c:pt>
                <c:pt idx="27">
                  <c:v>69.509719848632813</c:v>
                </c:pt>
                <c:pt idx="28">
                  <c:v>74.753944396972656</c:v>
                </c:pt>
                <c:pt idx="29">
                  <c:v>80.188858032226563</c:v>
                </c:pt>
                <c:pt idx="30">
                  <c:v>85.814476013183594</c:v>
                </c:pt>
                <c:pt idx="31">
                  <c:v>91.630790710449219</c:v>
                </c:pt>
                <c:pt idx="32">
                  <c:v>97.637802124023438</c:v>
                </c:pt>
                <c:pt idx="33">
                  <c:v>103.83551025390625</c:v>
                </c:pt>
                <c:pt idx="34">
                  <c:v>110.22392272949219</c:v>
                </c:pt>
                <c:pt idx="35">
                  <c:v>116.80303192138672</c:v>
                </c:pt>
                <c:pt idx="36">
                  <c:v>123.57283782958984</c:v>
                </c:pt>
                <c:pt idx="37">
                  <c:v>130.53334045410156</c:v>
                </c:pt>
                <c:pt idx="38">
                  <c:v>137.68455505371094</c:v>
                </c:pt>
                <c:pt idx="39">
                  <c:v>145.02645874023438</c:v>
                </c:pt>
                <c:pt idx="40">
                  <c:v>152.55906677246094</c:v>
                </c:pt>
                <c:pt idx="41">
                  <c:v>160.28236389160156</c:v>
                </c:pt>
                <c:pt idx="42">
                  <c:v>168.19636535644531</c:v>
                </c:pt>
                <c:pt idx="43">
                  <c:v>176.30107116699219</c:v>
                </c:pt>
                <c:pt idx="44">
                  <c:v>184.59646606445313</c:v>
                </c:pt>
                <c:pt idx="45">
                  <c:v>193.08256530761719</c:v>
                </c:pt>
                <c:pt idx="46">
                  <c:v>201.75935363769531</c:v>
                </c:pt>
                <c:pt idx="47">
                  <c:v>210.62686157226563</c:v>
                </c:pt>
                <c:pt idx="48">
                  <c:v>219.68504333496094</c:v>
                </c:pt>
                <c:pt idx="49">
                  <c:v>228.93394470214844</c:v>
                </c:pt>
                <c:pt idx="50">
                  <c:v>238.37353515625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8167-433D-8E16-373543A05FBC}"/>
            </c:ext>
          </c:extLst>
        </c:ser>
        <c:ser>
          <c:idx val="44"/>
          <c:order val="44"/>
          <c:tx>
            <c:strRef>
              <c:f>Skymaps!$D$46</c:f>
              <c:strCache>
                <c:ptCount val="1"/>
                <c:pt idx="0">
                  <c:v>44000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Skymaps!$E$46:$BC$46</c:f>
              <c:numCache>
                <c:formatCode>General</c:formatCode>
                <c:ptCount val="51"/>
                <c:pt idx="0">
                  <c:v>0</c:v>
                </c:pt>
                <c:pt idx="1">
                  <c:v>9.0893149375915527E-2</c:v>
                </c:pt>
                <c:pt idx="2">
                  <c:v>0.36357259750366211</c:v>
                </c:pt>
                <c:pt idx="3">
                  <c:v>0.81803828477859497</c:v>
                </c:pt>
                <c:pt idx="4">
                  <c:v>1.4542903900146484</c:v>
                </c:pt>
                <c:pt idx="5">
                  <c:v>2.2723286151885986</c:v>
                </c:pt>
                <c:pt idx="6">
                  <c:v>3.2721531391143799</c:v>
                </c:pt>
                <c:pt idx="7">
                  <c:v>4.4537639617919922</c:v>
                </c:pt>
                <c:pt idx="8">
                  <c:v>5.8171615600585938</c:v>
                </c:pt>
                <c:pt idx="9">
                  <c:v>7.3623447418212891</c:v>
                </c:pt>
                <c:pt idx="10">
                  <c:v>9.0893144607543945</c:v>
                </c:pt>
                <c:pt idx="11">
                  <c:v>10.99807071685791</c:v>
                </c:pt>
                <c:pt idx="12">
                  <c:v>13.08861255645752</c:v>
                </c:pt>
                <c:pt idx="13">
                  <c:v>15.360941886901855</c:v>
                </c:pt>
                <c:pt idx="14">
                  <c:v>17.815055847167969</c:v>
                </c:pt>
                <c:pt idx="15">
                  <c:v>20.450958251953125</c:v>
                </c:pt>
                <c:pt idx="16">
                  <c:v>23.268646240234375</c:v>
                </c:pt>
                <c:pt idx="17">
                  <c:v>26.268119812011719</c:v>
                </c:pt>
                <c:pt idx="18">
                  <c:v>29.449378967285156</c:v>
                </c:pt>
                <c:pt idx="19">
                  <c:v>32.812427520751953</c:v>
                </c:pt>
                <c:pt idx="20">
                  <c:v>36.357257843017578</c:v>
                </c:pt>
                <c:pt idx="21">
                  <c:v>40.083877563476563</c:v>
                </c:pt>
                <c:pt idx="22">
                  <c:v>43.992282867431641</c:v>
                </c:pt>
                <c:pt idx="23">
                  <c:v>48.082473754882813</c:v>
                </c:pt>
                <c:pt idx="24">
                  <c:v>52.354450225830078</c:v>
                </c:pt>
                <c:pt idx="25">
                  <c:v>56.808216094970703</c:v>
                </c:pt>
                <c:pt idx="26">
                  <c:v>61.443767547607422</c:v>
                </c:pt>
                <c:pt idx="27">
                  <c:v>66.261100769042969</c:v>
                </c:pt>
                <c:pt idx="28">
                  <c:v>71.260223388671875</c:v>
                </c:pt>
                <c:pt idx="29">
                  <c:v>76.441139221191406</c:v>
                </c:pt>
                <c:pt idx="30">
                  <c:v>81.8038330078125</c:v>
                </c:pt>
                <c:pt idx="31">
                  <c:v>87.348312377929688</c:v>
                </c:pt>
                <c:pt idx="32">
                  <c:v>93.0745849609375</c:v>
                </c:pt>
                <c:pt idx="33">
                  <c:v>98.982635498046875</c:v>
                </c:pt>
                <c:pt idx="34">
                  <c:v>105.07247924804688</c:v>
                </c:pt>
                <c:pt idx="35">
                  <c:v>111.34410095214844</c:v>
                </c:pt>
                <c:pt idx="36">
                  <c:v>117.79751586914063</c:v>
                </c:pt>
                <c:pt idx="37">
                  <c:v>124.43271636962891</c:v>
                </c:pt>
                <c:pt idx="38">
                  <c:v>131.24971008300781</c:v>
                </c:pt>
                <c:pt idx="39">
                  <c:v>138.24847412109375</c:v>
                </c:pt>
                <c:pt idx="40">
                  <c:v>145.42903137207031</c:v>
                </c:pt>
                <c:pt idx="41">
                  <c:v>152.7913818359375</c:v>
                </c:pt>
                <c:pt idx="42">
                  <c:v>160.33551025390625</c:v>
                </c:pt>
                <c:pt idx="43">
                  <c:v>168.06143188476563</c:v>
                </c:pt>
                <c:pt idx="44">
                  <c:v>175.96913146972656</c:v>
                </c:pt>
                <c:pt idx="45">
                  <c:v>184.05862426757813</c:v>
                </c:pt>
                <c:pt idx="46">
                  <c:v>192.32989501953125</c:v>
                </c:pt>
                <c:pt idx="47">
                  <c:v>200.782958984375</c:v>
                </c:pt>
                <c:pt idx="48">
                  <c:v>209.41780090332031</c:v>
                </c:pt>
                <c:pt idx="49">
                  <c:v>218.23443603515625</c:v>
                </c:pt>
                <c:pt idx="50">
                  <c:v>227.23286437988281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8167-433D-8E16-373543A05FBC}"/>
            </c:ext>
          </c:extLst>
        </c:ser>
        <c:ser>
          <c:idx val="45"/>
          <c:order val="45"/>
          <c:tx>
            <c:strRef>
              <c:f>Skymaps!$D$47</c:f>
              <c:strCache>
                <c:ptCount val="1"/>
                <c:pt idx="0">
                  <c:v>45000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Skymaps!$E$47:$BC$47</c:f>
              <c:numCache>
                <c:formatCode>General</c:formatCode>
                <c:ptCount val="51"/>
                <c:pt idx="0">
                  <c:v>0</c:v>
                </c:pt>
                <c:pt idx="1">
                  <c:v>8.6645551025867462E-2</c:v>
                </c:pt>
                <c:pt idx="2">
                  <c:v>0.34658220410346985</c:v>
                </c:pt>
                <c:pt idx="3">
                  <c:v>0.77980995178222656</c:v>
                </c:pt>
                <c:pt idx="4">
                  <c:v>1.3863288164138794</c:v>
                </c:pt>
                <c:pt idx="5">
                  <c:v>2.1661386489868164</c:v>
                </c:pt>
                <c:pt idx="6">
                  <c:v>3.1192398071289063</c:v>
                </c:pt>
                <c:pt idx="7">
                  <c:v>4.2456321716308594</c:v>
                </c:pt>
                <c:pt idx="8">
                  <c:v>5.5453152656555176</c:v>
                </c:pt>
                <c:pt idx="9">
                  <c:v>7.0182895660400391</c:v>
                </c:pt>
                <c:pt idx="10">
                  <c:v>8.6645545959472656</c:v>
                </c:pt>
                <c:pt idx="11">
                  <c:v>10.484111785888672</c:v>
                </c:pt>
                <c:pt idx="12">
                  <c:v>12.476959228515625</c:v>
                </c:pt>
                <c:pt idx="13">
                  <c:v>14.643097877502441</c:v>
                </c:pt>
                <c:pt idx="14">
                  <c:v>16.982528686523438</c:v>
                </c:pt>
                <c:pt idx="15">
                  <c:v>19.495248794555664</c:v>
                </c:pt>
                <c:pt idx="16">
                  <c:v>22.18126106262207</c:v>
                </c:pt>
                <c:pt idx="17">
                  <c:v>25.040563583374023</c:v>
                </c:pt>
                <c:pt idx="18">
                  <c:v>28.073158264160156</c:v>
                </c:pt>
                <c:pt idx="19">
                  <c:v>31.279043197631836</c:v>
                </c:pt>
                <c:pt idx="20">
                  <c:v>34.658218383789063</c:v>
                </c:pt>
                <c:pt idx="21">
                  <c:v>38.210689544677734</c:v>
                </c:pt>
                <c:pt idx="22">
                  <c:v>41.936447143554688</c:v>
                </c:pt>
                <c:pt idx="23">
                  <c:v>45.835494995117188</c:v>
                </c:pt>
                <c:pt idx="24">
                  <c:v>49.9078369140625</c:v>
                </c:pt>
                <c:pt idx="25">
                  <c:v>54.153469085693359</c:v>
                </c:pt>
                <c:pt idx="26">
                  <c:v>58.572391510009766</c:v>
                </c:pt>
                <c:pt idx="27">
                  <c:v>63.164608001708984</c:v>
                </c:pt>
                <c:pt idx="28">
                  <c:v>67.93011474609375</c:v>
                </c:pt>
                <c:pt idx="29">
                  <c:v>72.868911743164063</c:v>
                </c:pt>
                <c:pt idx="30">
                  <c:v>77.980995178222656</c:v>
                </c:pt>
                <c:pt idx="31">
                  <c:v>83.266372680664063</c:v>
                </c:pt>
                <c:pt idx="32">
                  <c:v>88.725044250488281</c:v>
                </c:pt>
                <c:pt idx="33">
                  <c:v>94.357002258300781</c:v>
                </c:pt>
                <c:pt idx="34">
                  <c:v>100.16225433349609</c:v>
                </c:pt>
                <c:pt idx="35">
                  <c:v>106.14080047607422</c:v>
                </c:pt>
                <c:pt idx="36">
                  <c:v>112.29263305664063</c:v>
                </c:pt>
                <c:pt idx="37">
                  <c:v>118.61775970458984</c:v>
                </c:pt>
                <c:pt idx="38">
                  <c:v>125.11617279052734</c:v>
                </c:pt>
                <c:pt idx="39">
                  <c:v>131.78788757324219</c:v>
                </c:pt>
                <c:pt idx="40">
                  <c:v>138.63287353515625</c:v>
                </c:pt>
                <c:pt idx="41">
                  <c:v>145.65116882324219</c:v>
                </c:pt>
                <c:pt idx="42">
                  <c:v>152.84275817871094</c:v>
                </c:pt>
                <c:pt idx="43">
                  <c:v>160.20762634277344</c:v>
                </c:pt>
                <c:pt idx="44">
                  <c:v>167.74578857421875</c:v>
                </c:pt>
                <c:pt idx="45">
                  <c:v>175.45724487304688</c:v>
                </c:pt>
                <c:pt idx="46">
                  <c:v>183.34197998046875</c:v>
                </c:pt>
                <c:pt idx="47">
                  <c:v>191.4000244140625</c:v>
                </c:pt>
                <c:pt idx="48">
                  <c:v>199.63134765625</c:v>
                </c:pt>
                <c:pt idx="49">
                  <c:v>208.03596496582031</c:v>
                </c:pt>
                <c:pt idx="50">
                  <c:v>216.61387634277344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8167-433D-8E16-373543A05FBC}"/>
            </c:ext>
          </c:extLst>
        </c:ser>
        <c:ser>
          <c:idx val="46"/>
          <c:order val="46"/>
          <c:tx>
            <c:strRef>
              <c:f>Skymaps!$D$48</c:f>
              <c:strCache>
                <c:ptCount val="1"/>
                <c:pt idx="0">
                  <c:v>46000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Skymaps!$E$48:$BC$48</c:f>
              <c:numCache>
                <c:formatCode>General</c:formatCode>
                <c:ptCount val="51"/>
                <c:pt idx="0">
                  <c:v>0</c:v>
                </c:pt>
                <c:pt idx="1">
                  <c:v>8.2596823573112488E-2</c:v>
                </c:pt>
                <c:pt idx="2">
                  <c:v>0.33038729429244995</c:v>
                </c:pt>
                <c:pt idx="3">
                  <c:v>0.74337142705917358</c:v>
                </c:pt>
                <c:pt idx="4">
                  <c:v>1.3215491771697998</c:v>
                </c:pt>
                <c:pt idx="5">
                  <c:v>2.0649206638336182</c:v>
                </c:pt>
                <c:pt idx="6">
                  <c:v>2.9734857082366943</c:v>
                </c:pt>
                <c:pt idx="7">
                  <c:v>4.0472445487976074</c:v>
                </c:pt>
                <c:pt idx="8">
                  <c:v>5.2861967086791992</c:v>
                </c:pt>
                <c:pt idx="9">
                  <c:v>6.690342903137207</c:v>
                </c:pt>
                <c:pt idx="10">
                  <c:v>8.2596826553344727</c:v>
                </c:pt>
                <c:pt idx="11">
                  <c:v>9.9942159652709961</c:v>
                </c:pt>
                <c:pt idx="12">
                  <c:v>11.893942832946777</c:v>
                </c:pt>
                <c:pt idx="13">
                  <c:v>13.958863258361816</c:v>
                </c:pt>
                <c:pt idx="14">
                  <c:v>16.18897819519043</c:v>
                </c:pt>
                <c:pt idx="15">
                  <c:v>18.584285736083984</c:v>
                </c:pt>
                <c:pt idx="16">
                  <c:v>21.144786834716797</c:v>
                </c:pt>
                <c:pt idx="17">
                  <c:v>23.8704833984375</c:v>
                </c:pt>
                <c:pt idx="18">
                  <c:v>26.761371612548828</c:v>
                </c:pt>
                <c:pt idx="19">
                  <c:v>29.817453384399414</c:v>
                </c:pt>
                <c:pt idx="20">
                  <c:v>33.038730621337891</c:v>
                </c:pt>
                <c:pt idx="21">
                  <c:v>36.425201416015625</c:v>
                </c:pt>
                <c:pt idx="22">
                  <c:v>39.976863861083984</c:v>
                </c:pt>
                <c:pt idx="23">
                  <c:v>43.693721771240234</c:v>
                </c:pt>
                <c:pt idx="24">
                  <c:v>47.575771331787109</c:v>
                </c:pt>
                <c:pt idx="25">
                  <c:v>51.623016357421875</c:v>
                </c:pt>
                <c:pt idx="26">
                  <c:v>55.835453033447266</c:v>
                </c:pt>
                <c:pt idx="27">
                  <c:v>60.213085174560547</c:v>
                </c:pt>
                <c:pt idx="28">
                  <c:v>64.755912780761719</c:v>
                </c:pt>
                <c:pt idx="29">
                  <c:v>69.46392822265625</c:v>
                </c:pt>
                <c:pt idx="30">
                  <c:v>74.337142944335938</c:v>
                </c:pt>
                <c:pt idx="31">
                  <c:v>79.37554931640625</c:v>
                </c:pt>
                <c:pt idx="32">
                  <c:v>84.579147338867188</c:v>
                </c:pt>
                <c:pt idx="33">
                  <c:v>89.947944641113281</c:v>
                </c:pt>
                <c:pt idx="34">
                  <c:v>95.48193359375</c:v>
                </c:pt>
                <c:pt idx="35">
                  <c:v>101.18111419677734</c:v>
                </c:pt>
                <c:pt idx="36">
                  <c:v>107.04548645019531</c:v>
                </c:pt>
                <c:pt idx="37">
                  <c:v>113.07505798339844</c:v>
                </c:pt>
                <c:pt idx="38">
                  <c:v>119.26981353759766</c:v>
                </c:pt>
                <c:pt idx="39">
                  <c:v>125.62977600097656</c:v>
                </c:pt>
                <c:pt idx="40">
                  <c:v>132.15492248535156</c:v>
                </c:pt>
                <c:pt idx="41">
                  <c:v>138.84526062011719</c:v>
                </c:pt>
                <c:pt idx="42">
                  <c:v>145.7008056640625</c:v>
                </c:pt>
                <c:pt idx="43">
                  <c:v>152.72152709960938</c:v>
                </c:pt>
                <c:pt idx="44">
                  <c:v>159.90745544433594</c:v>
                </c:pt>
                <c:pt idx="45">
                  <c:v>167.25857543945313</c:v>
                </c:pt>
                <c:pt idx="46">
                  <c:v>174.77488708496094</c:v>
                </c:pt>
                <c:pt idx="47">
                  <c:v>182.45639038085938</c:v>
                </c:pt>
                <c:pt idx="48">
                  <c:v>190.30308532714844</c:v>
                </c:pt>
                <c:pt idx="49">
                  <c:v>198.31498718261719</c:v>
                </c:pt>
                <c:pt idx="50">
                  <c:v>206.4920654296875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8167-433D-8E16-373543A05FBC}"/>
            </c:ext>
          </c:extLst>
        </c:ser>
        <c:ser>
          <c:idx val="47"/>
          <c:order val="47"/>
          <c:tx>
            <c:strRef>
              <c:f>Skymaps!$D$49</c:f>
              <c:strCache>
                <c:ptCount val="1"/>
                <c:pt idx="0">
                  <c:v>47000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Skymaps!$E$49:$BC$49</c:f>
              <c:numCache>
                <c:formatCode>General</c:formatCode>
                <c:ptCount val="51"/>
                <c:pt idx="0">
                  <c:v>0</c:v>
                </c:pt>
                <c:pt idx="1">
                  <c:v>7.8737646341323853E-2</c:v>
                </c:pt>
                <c:pt idx="2">
                  <c:v>0.31495058536529541</c:v>
                </c:pt>
                <c:pt idx="3">
                  <c:v>0.70863884687423706</c:v>
                </c:pt>
                <c:pt idx="4">
                  <c:v>1.2598023414611816</c:v>
                </c:pt>
                <c:pt idx="5">
                  <c:v>1.9684411287307739</c:v>
                </c:pt>
                <c:pt idx="6">
                  <c:v>2.8345553874969482</c:v>
                </c:pt>
                <c:pt idx="7">
                  <c:v>3.8581447601318359</c:v>
                </c:pt>
                <c:pt idx="8">
                  <c:v>5.0392093658447266</c:v>
                </c:pt>
                <c:pt idx="9">
                  <c:v>6.3777494430541992</c:v>
                </c:pt>
                <c:pt idx="10">
                  <c:v>7.8737645149230957</c:v>
                </c:pt>
                <c:pt idx="11">
                  <c:v>9.5272550582885742</c:v>
                </c:pt>
                <c:pt idx="12">
                  <c:v>11.338221549987793</c:v>
                </c:pt>
                <c:pt idx="13">
                  <c:v>13.306662559509277</c:v>
                </c:pt>
                <c:pt idx="14">
                  <c:v>15.432579040527344</c:v>
                </c:pt>
                <c:pt idx="15">
                  <c:v>17.715970993041992</c:v>
                </c:pt>
                <c:pt idx="16">
                  <c:v>20.156837463378906</c:v>
                </c:pt>
                <c:pt idx="17">
                  <c:v>22.755180358886719</c:v>
                </c:pt>
                <c:pt idx="18">
                  <c:v>25.510997772216797</c:v>
                </c:pt>
                <c:pt idx="19">
                  <c:v>28.424289703369141</c:v>
                </c:pt>
                <c:pt idx="20">
                  <c:v>31.495058059692383</c:v>
                </c:pt>
                <c:pt idx="21">
                  <c:v>34.723300933837891</c:v>
                </c:pt>
                <c:pt idx="22">
                  <c:v>38.109020233154297</c:v>
                </c:pt>
                <c:pt idx="23">
                  <c:v>41.652214050292969</c:v>
                </c:pt>
                <c:pt idx="24">
                  <c:v>45.352886199951172</c:v>
                </c:pt>
                <c:pt idx="25">
                  <c:v>49.211029052734375</c:v>
                </c:pt>
                <c:pt idx="26">
                  <c:v>53.226650238037109</c:v>
                </c:pt>
                <c:pt idx="27">
                  <c:v>57.399745941162109</c:v>
                </c:pt>
                <c:pt idx="28">
                  <c:v>61.730316162109375</c:v>
                </c:pt>
                <c:pt idx="29">
                  <c:v>66.218360900878906</c:v>
                </c:pt>
                <c:pt idx="30">
                  <c:v>70.863883972167969</c:v>
                </c:pt>
                <c:pt idx="31">
                  <c:v>75.666877746582031</c:v>
                </c:pt>
                <c:pt idx="32">
                  <c:v>80.627349853515625</c:v>
                </c:pt>
                <c:pt idx="33">
                  <c:v>85.74530029296875</c:v>
                </c:pt>
                <c:pt idx="34">
                  <c:v>91.020721435546875</c:v>
                </c:pt>
                <c:pt idx="35">
                  <c:v>96.45361328125</c:v>
                </c:pt>
                <c:pt idx="36">
                  <c:v>102.04399108886719</c:v>
                </c:pt>
                <c:pt idx="37">
                  <c:v>107.79183959960938</c:v>
                </c:pt>
                <c:pt idx="38">
                  <c:v>113.69715881347656</c:v>
                </c:pt>
                <c:pt idx="39">
                  <c:v>119.75996398925781</c:v>
                </c:pt>
                <c:pt idx="40">
                  <c:v>125.98023223876953</c:v>
                </c:pt>
                <c:pt idx="41">
                  <c:v>132.35798645019531</c:v>
                </c:pt>
                <c:pt idx="42">
                  <c:v>138.89320373535156</c:v>
                </c:pt>
                <c:pt idx="43">
                  <c:v>145.58590698242188</c:v>
                </c:pt>
                <c:pt idx="44">
                  <c:v>152.43608093261719</c:v>
                </c:pt>
                <c:pt idx="45">
                  <c:v>159.44374084472656</c:v>
                </c:pt>
                <c:pt idx="46">
                  <c:v>166.60885620117188</c:v>
                </c:pt>
                <c:pt idx="47">
                  <c:v>173.93145751953125</c:v>
                </c:pt>
                <c:pt idx="48">
                  <c:v>181.41154479980469</c:v>
                </c:pt>
                <c:pt idx="49">
                  <c:v>189.04908752441406</c:v>
                </c:pt>
                <c:pt idx="50">
                  <c:v>196.8441162109375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8167-433D-8E16-373543A05FBC}"/>
            </c:ext>
          </c:extLst>
        </c:ser>
        <c:ser>
          <c:idx val="48"/>
          <c:order val="48"/>
          <c:tx>
            <c:strRef>
              <c:f>Skymaps!$D$50</c:f>
              <c:strCache>
                <c:ptCount val="1"/>
                <c:pt idx="0">
                  <c:v>48000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Skymaps!$E$50:$BC$50</c:f>
              <c:numCache>
                <c:formatCode>General</c:formatCode>
                <c:ptCount val="51"/>
                <c:pt idx="0">
                  <c:v>0</c:v>
                </c:pt>
                <c:pt idx="1">
                  <c:v>7.5059130787849426E-2</c:v>
                </c:pt>
                <c:pt idx="2">
                  <c:v>0.30023652315139771</c:v>
                </c:pt>
                <c:pt idx="3">
                  <c:v>0.67553216218948364</c:v>
                </c:pt>
                <c:pt idx="4">
                  <c:v>1.2009460926055908</c:v>
                </c:pt>
                <c:pt idx="5">
                  <c:v>1.8764783143997192</c:v>
                </c:pt>
                <c:pt idx="6">
                  <c:v>2.7021286487579346</c:v>
                </c:pt>
                <c:pt idx="7">
                  <c:v>3.6778974533081055</c:v>
                </c:pt>
                <c:pt idx="8">
                  <c:v>4.8037843704223633</c:v>
                </c:pt>
                <c:pt idx="9">
                  <c:v>6.0797896385192871</c:v>
                </c:pt>
                <c:pt idx="10">
                  <c:v>7.505913257598877</c:v>
                </c:pt>
                <c:pt idx="11">
                  <c:v>9.0821552276611328</c:v>
                </c:pt>
                <c:pt idx="12">
                  <c:v>10.808514595031738</c:v>
                </c:pt>
                <c:pt idx="13">
                  <c:v>12.684992790222168</c:v>
                </c:pt>
                <c:pt idx="14">
                  <c:v>14.711589813232422</c:v>
                </c:pt>
                <c:pt idx="15">
                  <c:v>16.888303756713867</c:v>
                </c:pt>
                <c:pt idx="16">
                  <c:v>19.215137481689453</c:v>
                </c:pt>
                <c:pt idx="17">
                  <c:v>21.692089080810547</c:v>
                </c:pt>
                <c:pt idx="18">
                  <c:v>24.319158554077148</c:v>
                </c:pt>
                <c:pt idx="19">
                  <c:v>27.096345901489258</c:v>
                </c:pt>
                <c:pt idx="20">
                  <c:v>30.023653030395508</c:v>
                </c:pt>
                <c:pt idx="21">
                  <c:v>33.101078033447266</c:v>
                </c:pt>
                <c:pt idx="22">
                  <c:v>36.328620910644531</c:v>
                </c:pt>
                <c:pt idx="23">
                  <c:v>39.706279754638672</c:v>
                </c:pt>
                <c:pt idx="24">
                  <c:v>43.234058380126953</c:v>
                </c:pt>
                <c:pt idx="25">
                  <c:v>46.911956787109375</c:v>
                </c:pt>
                <c:pt idx="26">
                  <c:v>50.739971160888672</c:v>
                </c:pt>
                <c:pt idx="27">
                  <c:v>54.718105316162109</c:v>
                </c:pt>
                <c:pt idx="28">
                  <c:v>58.846359252929688</c:v>
                </c:pt>
                <c:pt idx="29">
                  <c:v>63.124729156494141</c:v>
                </c:pt>
                <c:pt idx="30">
                  <c:v>67.553215026855469</c:v>
                </c:pt>
                <c:pt idx="31">
                  <c:v>72.131828308105469</c:v>
                </c:pt>
                <c:pt idx="32">
                  <c:v>76.860549926757813</c:v>
                </c:pt>
                <c:pt idx="33">
                  <c:v>81.739395141601563</c:v>
                </c:pt>
                <c:pt idx="34">
                  <c:v>86.768356323242188</c:v>
                </c:pt>
                <c:pt idx="35">
                  <c:v>91.947433471679688</c:v>
                </c:pt>
                <c:pt idx="36">
                  <c:v>97.276634216308594</c:v>
                </c:pt>
                <c:pt idx="37">
                  <c:v>102.75595092773438</c:v>
                </c:pt>
                <c:pt idx="38">
                  <c:v>108.38538360595703</c:v>
                </c:pt>
                <c:pt idx="39">
                  <c:v>114.16493988037109</c:v>
                </c:pt>
                <c:pt idx="40">
                  <c:v>120.09461212158203</c:v>
                </c:pt>
                <c:pt idx="41">
                  <c:v>126.17440032958984</c:v>
                </c:pt>
                <c:pt idx="42">
                  <c:v>132.40431213378906</c:v>
                </c:pt>
                <c:pt idx="43">
                  <c:v>138.78433227539063</c:v>
                </c:pt>
                <c:pt idx="44">
                  <c:v>145.31448364257813</c:v>
                </c:pt>
                <c:pt idx="45">
                  <c:v>151.99473571777344</c:v>
                </c:pt>
                <c:pt idx="46">
                  <c:v>158.82511901855469</c:v>
                </c:pt>
                <c:pt idx="47">
                  <c:v>165.80561828613281</c:v>
                </c:pt>
                <c:pt idx="48">
                  <c:v>172.93623352050781</c:v>
                </c:pt>
                <c:pt idx="49">
                  <c:v>180.21697998046875</c:v>
                </c:pt>
                <c:pt idx="50">
                  <c:v>187.6478271484375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8167-433D-8E16-373543A05FBC}"/>
            </c:ext>
          </c:extLst>
        </c:ser>
        <c:ser>
          <c:idx val="49"/>
          <c:order val="49"/>
          <c:tx>
            <c:strRef>
              <c:f>Skymaps!$D$51</c:f>
              <c:strCache>
                <c:ptCount val="1"/>
                <c:pt idx="0">
                  <c:v>49000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Skymaps!$E$51:$BC$51</c:f>
              <c:numCache>
                <c:formatCode>General</c:formatCode>
                <c:ptCount val="51"/>
                <c:pt idx="0">
                  <c:v>0</c:v>
                </c:pt>
                <c:pt idx="1">
                  <c:v>7.1552790701389313E-2</c:v>
                </c:pt>
                <c:pt idx="2">
                  <c:v>0.28621116280555725</c:v>
                </c:pt>
                <c:pt idx="3">
                  <c:v>0.64397507905960083</c:v>
                </c:pt>
                <c:pt idx="4">
                  <c:v>1.144844651222229</c:v>
                </c:pt>
                <c:pt idx="5">
                  <c:v>1.7888197898864746</c:v>
                </c:pt>
                <c:pt idx="6">
                  <c:v>2.5759003162384033</c:v>
                </c:pt>
                <c:pt idx="7">
                  <c:v>3.5060865879058838</c:v>
                </c:pt>
                <c:pt idx="8">
                  <c:v>4.579378604888916</c:v>
                </c:pt>
                <c:pt idx="9">
                  <c:v>5.7957758903503418</c:v>
                </c:pt>
                <c:pt idx="10">
                  <c:v>7.1552791595458984</c:v>
                </c:pt>
                <c:pt idx="11">
                  <c:v>8.6578874588012695</c:v>
                </c:pt>
                <c:pt idx="12">
                  <c:v>10.303601264953613</c:v>
                </c:pt>
                <c:pt idx="13">
                  <c:v>12.092421531677246</c:v>
                </c:pt>
                <c:pt idx="14">
                  <c:v>14.024346351623535</c:v>
                </c:pt>
                <c:pt idx="15">
                  <c:v>16.099376678466797</c:v>
                </c:pt>
                <c:pt idx="16">
                  <c:v>18.317514419555664</c:v>
                </c:pt>
                <c:pt idx="17">
                  <c:v>20.678756713867188</c:v>
                </c:pt>
                <c:pt idx="18">
                  <c:v>23.183103561401367</c:v>
                </c:pt>
                <c:pt idx="19">
                  <c:v>25.830556869506836</c:v>
                </c:pt>
                <c:pt idx="20">
                  <c:v>28.621116638183594</c:v>
                </c:pt>
                <c:pt idx="21">
                  <c:v>31.554780960083008</c:v>
                </c:pt>
                <c:pt idx="22">
                  <c:v>34.631549835205078</c:v>
                </c:pt>
                <c:pt idx="23">
                  <c:v>37.851425170898438</c:v>
                </c:pt>
                <c:pt idx="24">
                  <c:v>41.214405059814453</c:v>
                </c:pt>
                <c:pt idx="25">
                  <c:v>44.720493316650391</c:v>
                </c:pt>
                <c:pt idx="26">
                  <c:v>48.369686126708984</c:v>
                </c:pt>
                <c:pt idx="27">
                  <c:v>52.161983489990234</c:v>
                </c:pt>
                <c:pt idx="28">
                  <c:v>56.097385406494141</c:v>
                </c:pt>
                <c:pt idx="29">
                  <c:v>60.175895690917969</c:v>
                </c:pt>
                <c:pt idx="30">
                  <c:v>64.397506713867188</c:v>
                </c:pt>
                <c:pt idx="31">
                  <c:v>68.762229919433594</c:v>
                </c:pt>
                <c:pt idx="32">
                  <c:v>73.270057678222656</c:v>
                </c:pt>
                <c:pt idx="33">
                  <c:v>77.920989990234375</c:v>
                </c:pt>
                <c:pt idx="34">
                  <c:v>82.71502685546875</c:v>
                </c:pt>
                <c:pt idx="35">
                  <c:v>87.652168273925781</c:v>
                </c:pt>
                <c:pt idx="36">
                  <c:v>92.732414245605469</c:v>
                </c:pt>
                <c:pt idx="37">
                  <c:v>97.955764770507813</c:v>
                </c:pt>
                <c:pt idx="38">
                  <c:v>103.32222747802734</c:v>
                </c:pt>
                <c:pt idx="39">
                  <c:v>108.83179473876953</c:v>
                </c:pt>
                <c:pt idx="40">
                  <c:v>114.48446655273438</c:v>
                </c:pt>
                <c:pt idx="41">
                  <c:v>120.28023529052734</c:v>
                </c:pt>
                <c:pt idx="42">
                  <c:v>126.21912384033203</c:v>
                </c:pt>
                <c:pt idx="43">
                  <c:v>132.30110168457031</c:v>
                </c:pt>
                <c:pt idx="44">
                  <c:v>138.52619934082031</c:v>
                </c:pt>
                <c:pt idx="45">
                  <c:v>144.89439392089844</c:v>
                </c:pt>
                <c:pt idx="46">
                  <c:v>151.40570068359375</c:v>
                </c:pt>
                <c:pt idx="47">
                  <c:v>158.06010437011719</c:v>
                </c:pt>
                <c:pt idx="48">
                  <c:v>164.85762023925781</c:v>
                </c:pt>
                <c:pt idx="49">
                  <c:v>171.79824829101563</c:v>
                </c:pt>
                <c:pt idx="50">
                  <c:v>178.88197326660156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8167-433D-8E16-373543A05FBC}"/>
            </c:ext>
          </c:extLst>
        </c:ser>
        <c:ser>
          <c:idx val="50"/>
          <c:order val="50"/>
          <c:tx>
            <c:strRef>
              <c:f>Skymaps!$D$52</c:f>
              <c:strCache>
                <c:ptCount val="1"/>
                <c:pt idx="0">
                  <c:v>50000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Skymaps!$E$52:$BC$52</c:f>
              <c:numCache>
                <c:formatCode>General</c:formatCode>
                <c:ptCount val="51"/>
                <c:pt idx="0">
                  <c:v>0</c:v>
                </c:pt>
                <c:pt idx="1">
                  <c:v>6.821056455373764E-2</c:v>
                </c:pt>
                <c:pt idx="2">
                  <c:v>0.27284225821495056</c:v>
                </c:pt>
                <c:pt idx="3">
                  <c:v>0.61389505863189697</c:v>
                </c:pt>
                <c:pt idx="4">
                  <c:v>1.0913690328598022</c:v>
                </c:pt>
                <c:pt idx="5">
                  <c:v>1.7052640914916992</c:v>
                </c:pt>
                <c:pt idx="6">
                  <c:v>2.4555802345275879</c:v>
                </c:pt>
                <c:pt idx="7">
                  <c:v>3.3423175811767578</c:v>
                </c:pt>
                <c:pt idx="8">
                  <c:v>4.365476131439209</c:v>
                </c:pt>
                <c:pt idx="9">
                  <c:v>5.5250558853149414</c:v>
                </c:pt>
                <c:pt idx="10">
                  <c:v>6.8210563659667969</c:v>
                </c:pt>
                <c:pt idx="11">
                  <c:v>8.2534780502319336</c:v>
                </c:pt>
                <c:pt idx="12">
                  <c:v>9.8223209381103516</c:v>
                </c:pt>
                <c:pt idx="13">
                  <c:v>11.527585983276367</c:v>
                </c:pt>
                <c:pt idx="14">
                  <c:v>13.369270324707031</c:v>
                </c:pt>
                <c:pt idx="15">
                  <c:v>15.347376823425293</c:v>
                </c:pt>
                <c:pt idx="16">
                  <c:v>17.461904525756836</c:v>
                </c:pt>
                <c:pt idx="17">
                  <c:v>19.712852478027344</c:v>
                </c:pt>
                <c:pt idx="18">
                  <c:v>22.100223541259766</c:v>
                </c:pt>
                <c:pt idx="19">
                  <c:v>24.624013900756836</c:v>
                </c:pt>
                <c:pt idx="20">
                  <c:v>27.284225463867188</c:v>
                </c:pt>
                <c:pt idx="21">
                  <c:v>30.080860137939453</c:v>
                </c:pt>
                <c:pt idx="22">
                  <c:v>33.013912200927734</c:v>
                </c:pt>
                <c:pt idx="23">
                  <c:v>36.083389282226563</c:v>
                </c:pt>
                <c:pt idx="24">
                  <c:v>39.289283752441406</c:v>
                </c:pt>
                <c:pt idx="25">
                  <c:v>42.631603240966797</c:v>
                </c:pt>
                <c:pt idx="26">
                  <c:v>46.110343933105469</c:v>
                </c:pt>
                <c:pt idx="27">
                  <c:v>49.725502014160156</c:v>
                </c:pt>
                <c:pt idx="28">
                  <c:v>53.477081298828125</c:v>
                </c:pt>
                <c:pt idx="29">
                  <c:v>57.365085601806641</c:v>
                </c:pt>
                <c:pt idx="30">
                  <c:v>61.389507293701172</c:v>
                </c:pt>
                <c:pt idx="31">
                  <c:v>65.55035400390625</c:v>
                </c:pt>
                <c:pt idx="32">
                  <c:v>69.847618103027344</c:v>
                </c:pt>
                <c:pt idx="33">
                  <c:v>74.281303405761719</c:v>
                </c:pt>
                <c:pt idx="34">
                  <c:v>78.851409912109375</c:v>
                </c:pt>
                <c:pt idx="35">
                  <c:v>83.557945251464844</c:v>
                </c:pt>
                <c:pt idx="36">
                  <c:v>88.400894165039063</c:v>
                </c:pt>
                <c:pt idx="37">
                  <c:v>93.380264282226563</c:v>
                </c:pt>
                <c:pt idx="38">
                  <c:v>98.496055603027344</c:v>
                </c:pt>
                <c:pt idx="39">
                  <c:v>103.74826812744141</c:v>
                </c:pt>
                <c:pt idx="40">
                  <c:v>109.13690185546875</c:v>
                </c:pt>
                <c:pt idx="41">
                  <c:v>114.66195678710938</c:v>
                </c:pt>
                <c:pt idx="42">
                  <c:v>120.32344055175781</c:v>
                </c:pt>
                <c:pt idx="43">
                  <c:v>126.121337890625</c:v>
                </c:pt>
                <c:pt idx="44">
                  <c:v>132.05564880371094</c:v>
                </c:pt>
                <c:pt idx="45">
                  <c:v>138.12638854980469</c:v>
                </c:pt>
                <c:pt idx="46">
                  <c:v>144.33355712890625</c:v>
                </c:pt>
                <c:pt idx="47">
                  <c:v>150.67713928222656</c:v>
                </c:pt>
                <c:pt idx="48">
                  <c:v>157.15713500976563</c:v>
                </c:pt>
                <c:pt idx="49">
                  <c:v>163.7735595703125</c:v>
                </c:pt>
                <c:pt idx="50">
                  <c:v>170.52641296386719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8167-433D-8E16-373543A05FBC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5"/>
            <c:spPr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6"/>
            <c:spPr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7"/>
            <c:spPr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8"/>
            <c:spPr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19"/>
            <c:spPr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0"/>
            <c:spPr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1"/>
            <c:spPr>
              <a:ln w="9525" cap="rnd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2"/>
            <c:spPr>
              <a:ln w="9525" cap="rnd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3"/>
            <c:spPr>
              <a:ln w="9525" cap="rnd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4"/>
            <c:spPr>
              <a:ln w="9525" cap="rnd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5"/>
            <c:spPr>
              <a:ln w="9525" cap="rnd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6"/>
            <c:spPr>
              <a:ln w="9525" cap="rnd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7"/>
            <c:spPr>
              <a:ln w="9525" cap="rnd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8"/>
            <c:spPr>
              <a:ln w="9525" cap="rnd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9"/>
            <c:spPr>
              <a:ln w="9525" cap="rnd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</c:bandFmts>
        <c:axId val="457659624"/>
        <c:axId val="457668808"/>
        <c:axId val="621233168"/>
      </c:surfaceChart>
      <c:catAx>
        <c:axId val="457659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8808"/>
        <c:crosses val="autoZero"/>
        <c:auto val="1"/>
        <c:lblAlgn val="ctr"/>
        <c:lblOffset val="100"/>
        <c:noMultiLvlLbl val="0"/>
      </c:catAx>
      <c:valAx>
        <c:axId val="45766880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457659624"/>
        <c:crosses val="autoZero"/>
        <c:crossBetween val="midCat"/>
        <c:majorUnit val="50"/>
      </c:valAx>
      <c:serAx>
        <c:axId val="62123316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8808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Skymaps!$D$54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Skymaps!$E$54:$BC$54</c:f>
              <c:numCache>
                <c:formatCode>General</c:formatCode>
                <c:ptCount val="51"/>
                <c:pt idx="0">
                  <c:v>0</c:v>
                </c:pt>
                <c:pt idx="1">
                  <c:v>13.249446868896484</c:v>
                </c:pt>
                <c:pt idx="2">
                  <c:v>26.498893737792969</c:v>
                </c:pt>
                <c:pt idx="3">
                  <c:v>39.748340606689453</c:v>
                </c:pt>
                <c:pt idx="4">
                  <c:v>52.997787475585938</c:v>
                </c:pt>
                <c:pt idx="5">
                  <c:v>66.247238159179688</c:v>
                </c:pt>
                <c:pt idx="6">
                  <c:v>79.496681213378906</c:v>
                </c:pt>
                <c:pt idx="7">
                  <c:v>92.746131896972656</c:v>
                </c:pt>
                <c:pt idx="8">
                  <c:v>105.99557495117188</c:v>
                </c:pt>
                <c:pt idx="9">
                  <c:v>119.24502563476563</c:v>
                </c:pt>
                <c:pt idx="10">
                  <c:v>132.49447631835938</c:v>
                </c:pt>
                <c:pt idx="11">
                  <c:v>145.74392700195313</c:v>
                </c:pt>
                <c:pt idx="12">
                  <c:v>158.99336242675781</c:v>
                </c:pt>
                <c:pt idx="13">
                  <c:v>172.24281311035156</c:v>
                </c:pt>
                <c:pt idx="14">
                  <c:v>185.49226379394531</c:v>
                </c:pt>
                <c:pt idx="15">
                  <c:v>198.74171447753906</c:v>
                </c:pt>
                <c:pt idx="16">
                  <c:v>211.99114990234375</c:v>
                </c:pt>
                <c:pt idx="17">
                  <c:v>225.2406005859375</c:v>
                </c:pt>
                <c:pt idx="18">
                  <c:v>238.49005126953125</c:v>
                </c:pt>
                <c:pt idx="19">
                  <c:v>251.739501953125</c:v>
                </c:pt>
                <c:pt idx="20">
                  <c:v>264.98895263671875</c:v>
                </c:pt>
                <c:pt idx="21">
                  <c:v>278.2384033203125</c:v>
                </c:pt>
                <c:pt idx="22">
                  <c:v>291.48785400390625</c:v>
                </c:pt>
                <c:pt idx="23">
                  <c:v>304.73727416992188</c:v>
                </c:pt>
                <c:pt idx="24">
                  <c:v>317.98672485351563</c:v>
                </c:pt>
                <c:pt idx="25">
                  <c:v>331.23617553710938</c:v>
                </c:pt>
                <c:pt idx="26">
                  <c:v>344.48562622070313</c:v>
                </c:pt>
                <c:pt idx="27">
                  <c:v>357.73507690429688</c:v>
                </c:pt>
                <c:pt idx="28">
                  <c:v>370.98452758789063</c:v>
                </c:pt>
                <c:pt idx="29">
                  <c:v>384.23397827148438</c:v>
                </c:pt>
                <c:pt idx="30">
                  <c:v>397.48342895507813</c:v>
                </c:pt>
                <c:pt idx="31">
                  <c:v>410.73287963867188</c:v>
                </c:pt>
                <c:pt idx="32">
                  <c:v>423.9822998046875</c:v>
                </c:pt>
                <c:pt idx="33">
                  <c:v>437.23175048828125</c:v>
                </c:pt>
                <c:pt idx="34">
                  <c:v>450.481201171875</c:v>
                </c:pt>
                <c:pt idx="35">
                  <c:v>463.73065185546875</c:v>
                </c:pt>
                <c:pt idx="36">
                  <c:v>476.9801025390625</c:v>
                </c:pt>
                <c:pt idx="37">
                  <c:v>490.22955322265625</c:v>
                </c:pt>
                <c:pt idx="38">
                  <c:v>503.47900390625</c:v>
                </c:pt>
                <c:pt idx="39">
                  <c:v>516.72845458984375</c:v>
                </c:pt>
                <c:pt idx="40">
                  <c:v>529.9779052734375</c:v>
                </c:pt>
                <c:pt idx="41">
                  <c:v>543.22735595703125</c:v>
                </c:pt>
                <c:pt idx="42">
                  <c:v>556.476806640625</c:v>
                </c:pt>
                <c:pt idx="43">
                  <c:v>569.72625732421875</c:v>
                </c:pt>
                <c:pt idx="44">
                  <c:v>582.9757080078125</c:v>
                </c:pt>
                <c:pt idx="45">
                  <c:v>596.22509765625</c:v>
                </c:pt>
                <c:pt idx="46">
                  <c:v>609.47454833984375</c:v>
                </c:pt>
                <c:pt idx="47">
                  <c:v>622.7239990234375</c:v>
                </c:pt>
                <c:pt idx="48">
                  <c:v>635.97344970703125</c:v>
                </c:pt>
                <c:pt idx="49">
                  <c:v>649.222900390625</c:v>
                </c:pt>
                <c:pt idx="50">
                  <c:v>662.47235107421875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44-4E92-A43A-F86618C52CBD}"/>
            </c:ext>
          </c:extLst>
        </c:ser>
        <c:ser>
          <c:idx val="1"/>
          <c:order val="1"/>
          <c:tx>
            <c:strRef>
              <c:f>Skymaps!$D$55</c:f>
              <c:strCache>
                <c:ptCount val="1"/>
                <c:pt idx="0">
                  <c:v>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Skymaps!$E$55:$BC$55</c:f>
              <c:numCache>
                <c:formatCode>General</c:formatCode>
                <c:ptCount val="51"/>
                <c:pt idx="0">
                  <c:v>0</c:v>
                </c:pt>
                <c:pt idx="1">
                  <c:v>13.203823089599609</c:v>
                </c:pt>
                <c:pt idx="2">
                  <c:v>26.407646179199219</c:v>
                </c:pt>
                <c:pt idx="3">
                  <c:v>39.611469268798828</c:v>
                </c:pt>
                <c:pt idx="4">
                  <c:v>52.815292358398438</c:v>
                </c:pt>
                <c:pt idx="5">
                  <c:v>66.019111633300781</c:v>
                </c:pt>
                <c:pt idx="6">
                  <c:v>79.222938537597656</c:v>
                </c:pt>
                <c:pt idx="7">
                  <c:v>92.4267578125</c:v>
                </c:pt>
                <c:pt idx="8">
                  <c:v>105.63058471679688</c:v>
                </c:pt>
                <c:pt idx="9">
                  <c:v>118.83440399169922</c:v>
                </c:pt>
                <c:pt idx="10">
                  <c:v>132.03822326660156</c:v>
                </c:pt>
                <c:pt idx="11">
                  <c:v>145.24205017089844</c:v>
                </c:pt>
                <c:pt idx="12">
                  <c:v>158.44587707519531</c:v>
                </c:pt>
                <c:pt idx="13">
                  <c:v>171.64970397949219</c:v>
                </c:pt>
                <c:pt idx="14">
                  <c:v>184.853515625</c:v>
                </c:pt>
                <c:pt idx="15">
                  <c:v>198.05734252929688</c:v>
                </c:pt>
                <c:pt idx="16">
                  <c:v>211.26116943359375</c:v>
                </c:pt>
                <c:pt idx="17">
                  <c:v>224.46499633789063</c:v>
                </c:pt>
                <c:pt idx="18">
                  <c:v>237.66880798339844</c:v>
                </c:pt>
                <c:pt idx="19">
                  <c:v>250.87263488769531</c:v>
                </c:pt>
                <c:pt idx="20">
                  <c:v>264.07644653320313</c:v>
                </c:pt>
                <c:pt idx="21">
                  <c:v>277.2802734375</c:v>
                </c:pt>
                <c:pt idx="22">
                  <c:v>290.48410034179688</c:v>
                </c:pt>
                <c:pt idx="23">
                  <c:v>303.68792724609375</c:v>
                </c:pt>
                <c:pt idx="24">
                  <c:v>316.89175415039063</c:v>
                </c:pt>
                <c:pt idx="25">
                  <c:v>330.0955810546875</c:v>
                </c:pt>
                <c:pt idx="26">
                  <c:v>343.29940795898438</c:v>
                </c:pt>
                <c:pt idx="27">
                  <c:v>356.50320434570313</c:v>
                </c:pt>
                <c:pt idx="28">
                  <c:v>369.70703125</c:v>
                </c:pt>
                <c:pt idx="29">
                  <c:v>382.91085815429688</c:v>
                </c:pt>
                <c:pt idx="30">
                  <c:v>396.11468505859375</c:v>
                </c:pt>
                <c:pt idx="31">
                  <c:v>409.31851196289063</c:v>
                </c:pt>
                <c:pt idx="32">
                  <c:v>422.5223388671875</c:v>
                </c:pt>
                <c:pt idx="33">
                  <c:v>435.72616577148438</c:v>
                </c:pt>
                <c:pt idx="34">
                  <c:v>448.92999267578125</c:v>
                </c:pt>
                <c:pt idx="35">
                  <c:v>462.1337890625</c:v>
                </c:pt>
                <c:pt idx="36">
                  <c:v>475.33761596679688</c:v>
                </c:pt>
                <c:pt idx="37">
                  <c:v>488.54144287109375</c:v>
                </c:pt>
                <c:pt idx="38">
                  <c:v>501.74526977539063</c:v>
                </c:pt>
                <c:pt idx="39">
                  <c:v>514.9490966796875</c:v>
                </c:pt>
                <c:pt idx="40">
                  <c:v>528.15289306640625</c:v>
                </c:pt>
                <c:pt idx="41">
                  <c:v>541.35675048828125</c:v>
                </c:pt>
                <c:pt idx="42">
                  <c:v>554.560546875</c:v>
                </c:pt>
                <c:pt idx="43">
                  <c:v>567.764404296875</c:v>
                </c:pt>
                <c:pt idx="44">
                  <c:v>580.96820068359375</c:v>
                </c:pt>
                <c:pt idx="45">
                  <c:v>594.17205810546875</c:v>
                </c:pt>
                <c:pt idx="46">
                  <c:v>607.3758544921875</c:v>
                </c:pt>
                <c:pt idx="47">
                  <c:v>620.57965087890625</c:v>
                </c:pt>
                <c:pt idx="48">
                  <c:v>633.78350830078125</c:v>
                </c:pt>
                <c:pt idx="49">
                  <c:v>646.9873046875</c:v>
                </c:pt>
                <c:pt idx="50">
                  <c:v>660.191162109375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44-4E92-A43A-F86618C52CBD}"/>
            </c:ext>
          </c:extLst>
        </c:ser>
        <c:ser>
          <c:idx val="2"/>
          <c:order val="2"/>
          <c:tx>
            <c:strRef>
              <c:f>Skymaps!$D$56</c:f>
              <c:strCache>
                <c:ptCount val="1"/>
                <c:pt idx="0">
                  <c:v>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Skymaps!$E$56:$BC$56</c:f>
              <c:numCache>
                <c:formatCode>General</c:formatCode>
                <c:ptCount val="51"/>
                <c:pt idx="0">
                  <c:v>0</c:v>
                </c:pt>
                <c:pt idx="1">
                  <c:v>13.15804386138916</c:v>
                </c:pt>
                <c:pt idx="2">
                  <c:v>26.31608772277832</c:v>
                </c:pt>
                <c:pt idx="3">
                  <c:v>39.474132537841797</c:v>
                </c:pt>
                <c:pt idx="4">
                  <c:v>52.632175445556641</c:v>
                </c:pt>
                <c:pt idx="5">
                  <c:v>65.790214538574219</c:v>
                </c:pt>
                <c:pt idx="6">
                  <c:v>78.948265075683594</c:v>
                </c:pt>
                <c:pt idx="7">
                  <c:v>92.106307983398438</c:v>
                </c:pt>
                <c:pt idx="8">
                  <c:v>105.26435089111328</c:v>
                </c:pt>
                <c:pt idx="9">
                  <c:v>118.42239379882813</c:v>
                </c:pt>
                <c:pt idx="10">
                  <c:v>131.58042907714844</c:v>
                </c:pt>
                <c:pt idx="11">
                  <c:v>144.73847961425781</c:v>
                </c:pt>
                <c:pt idx="12">
                  <c:v>157.89653015136719</c:v>
                </c:pt>
                <c:pt idx="13">
                  <c:v>171.0545654296875</c:v>
                </c:pt>
                <c:pt idx="14">
                  <c:v>184.21261596679688</c:v>
                </c:pt>
                <c:pt idx="15">
                  <c:v>197.37065124511719</c:v>
                </c:pt>
                <c:pt idx="16">
                  <c:v>210.52870178222656</c:v>
                </c:pt>
                <c:pt idx="17">
                  <c:v>223.68673706054688</c:v>
                </c:pt>
                <c:pt idx="18">
                  <c:v>236.84478759765625</c:v>
                </c:pt>
                <c:pt idx="19">
                  <c:v>250.00282287597656</c:v>
                </c:pt>
                <c:pt idx="20">
                  <c:v>263.16085815429688</c:v>
                </c:pt>
                <c:pt idx="21">
                  <c:v>276.31890869140625</c:v>
                </c:pt>
                <c:pt idx="22">
                  <c:v>289.47695922851563</c:v>
                </c:pt>
                <c:pt idx="23">
                  <c:v>302.635009765625</c:v>
                </c:pt>
                <c:pt idx="24">
                  <c:v>315.79306030273438</c:v>
                </c:pt>
                <c:pt idx="25">
                  <c:v>328.95108032226563</c:v>
                </c:pt>
                <c:pt idx="26">
                  <c:v>342.109130859375</c:v>
                </c:pt>
                <c:pt idx="27">
                  <c:v>355.26718139648438</c:v>
                </c:pt>
                <c:pt idx="28">
                  <c:v>368.42523193359375</c:v>
                </c:pt>
                <c:pt idx="29">
                  <c:v>381.583251953125</c:v>
                </c:pt>
                <c:pt idx="30">
                  <c:v>394.74130249023438</c:v>
                </c:pt>
                <c:pt idx="31">
                  <c:v>407.89935302734375</c:v>
                </c:pt>
                <c:pt idx="32">
                  <c:v>421.05740356445313</c:v>
                </c:pt>
                <c:pt idx="33">
                  <c:v>434.2154541015625</c:v>
                </c:pt>
                <c:pt idx="34">
                  <c:v>447.37347412109375</c:v>
                </c:pt>
                <c:pt idx="35">
                  <c:v>460.53152465820313</c:v>
                </c:pt>
                <c:pt idx="36">
                  <c:v>473.6895751953125</c:v>
                </c:pt>
                <c:pt idx="37">
                  <c:v>486.84762573242188</c:v>
                </c:pt>
                <c:pt idx="38">
                  <c:v>500.00564575195313</c:v>
                </c:pt>
                <c:pt idx="39">
                  <c:v>513.1636962890625</c:v>
                </c:pt>
                <c:pt idx="40">
                  <c:v>526.32171630859375</c:v>
                </c:pt>
                <c:pt idx="41">
                  <c:v>539.47979736328125</c:v>
                </c:pt>
                <c:pt idx="42">
                  <c:v>552.6378173828125</c:v>
                </c:pt>
                <c:pt idx="43">
                  <c:v>565.7958984375</c:v>
                </c:pt>
                <c:pt idx="44">
                  <c:v>578.95391845703125</c:v>
                </c:pt>
                <c:pt idx="45">
                  <c:v>592.1119384765625</c:v>
                </c:pt>
                <c:pt idx="46">
                  <c:v>605.27001953125</c:v>
                </c:pt>
                <c:pt idx="47">
                  <c:v>618.42803955078125</c:v>
                </c:pt>
                <c:pt idx="48">
                  <c:v>631.58612060546875</c:v>
                </c:pt>
                <c:pt idx="49">
                  <c:v>644.744140625</c:v>
                </c:pt>
                <c:pt idx="50">
                  <c:v>657.90216064453125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44-4E92-A43A-F86618C52CBD}"/>
            </c:ext>
          </c:extLst>
        </c:ser>
        <c:ser>
          <c:idx val="3"/>
          <c:order val="3"/>
          <c:tx>
            <c:strRef>
              <c:f>Skymaps!$D$57</c:f>
              <c:strCache>
                <c:ptCount val="1"/>
                <c:pt idx="0">
                  <c:v>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Skymaps!$E$57:$BC$57</c:f>
              <c:numCache>
                <c:formatCode>General</c:formatCode>
                <c:ptCount val="51"/>
                <c:pt idx="0">
                  <c:v>0</c:v>
                </c:pt>
                <c:pt idx="1">
                  <c:v>13.112109184265137</c:v>
                </c:pt>
                <c:pt idx="2">
                  <c:v>26.224218368530273</c:v>
                </c:pt>
                <c:pt idx="3">
                  <c:v>39.336326599121094</c:v>
                </c:pt>
                <c:pt idx="4">
                  <c:v>52.448436737060547</c:v>
                </c:pt>
                <c:pt idx="5">
                  <c:v>65.560546875</c:v>
                </c:pt>
                <c:pt idx="6">
                  <c:v>78.672653198242188</c:v>
                </c:pt>
                <c:pt idx="7">
                  <c:v>91.784767150878906</c:v>
                </c:pt>
                <c:pt idx="8">
                  <c:v>104.89687347412109</c:v>
                </c:pt>
                <c:pt idx="9">
                  <c:v>118.00897979736328</c:v>
                </c:pt>
                <c:pt idx="10">
                  <c:v>131.12109375</c:v>
                </c:pt>
                <c:pt idx="11">
                  <c:v>144.23320007324219</c:v>
                </c:pt>
                <c:pt idx="12">
                  <c:v>157.34530639648438</c:v>
                </c:pt>
                <c:pt idx="13">
                  <c:v>170.45742797851563</c:v>
                </c:pt>
                <c:pt idx="14">
                  <c:v>183.56953430175781</c:v>
                </c:pt>
                <c:pt idx="15">
                  <c:v>196.681640625</c:v>
                </c:pt>
                <c:pt idx="16">
                  <c:v>209.79374694824219</c:v>
                </c:pt>
                <c:pt idx="17">
                  <c:v>222.90585327148438</c:v>
                </c:pt>
                <c:pt idx="18">
                  <c:v>236.01795959472656</c:v>
                </c:pt>
                <c:pt idx="19">
                  <c:v>249.13008117675781</c:v>
                </c:pt>
                <c:pt idx="20">
                  <c:v>262.2421875</c:v>
                </c:pt>
                <c:pt idx="21">
                  <c:v>275.35430908203125</c:v>
                </c:pt>
                <c:pt idx="22">
                  <c:v>288.46640014648438</c:v>
                </c:pt>
                <c:pt idx="23">
                  <c:v>301.57852172851563</c:v>
                </c:pt>
                <c:pt idx="24">
                  <c:v>314.69061279296875</c:v>
                </c:pt>
                <c:pt idx="25">
                  <c:v>327.802734375</c:v>
                </c:pt>
                <c:pt idx="26">
                  <c:v>340.91485595703125</c:v>
                </c:pt>
                <c:pt idx="27">
                  <c:v>354.02694702148438</c:v>
                </c:pt>
                <c:pt idx="28">
                  <c:v>367.13906860351563</c:v>
                </c:pt>
                <c:pt idx="29">
                  <c:v>380.25115966796875</c:v>
                </c:pt>
                <c:pt idx="30">
                  <c:v>393.36328125</c:v>
                </c:pt>
                <c:pt idx="31">
                  <c:v>406.47540283203125</c:v>
                </c:pt>
                <c:pt idx="32">
                  <c:v>419.58749389648438</c:v>
                </c:pt>
                <c:pt idx="33">
                  <c:v>432.69961547851563</c:v>
                </c:pt>
                <c:pt idx="34">
                  <c:v>445.81170654296875</c:v>
                </c:pt>
                <c:pt idx="35">
                  <c:v>458.923828125</c:v>
                </c:pt>
                <c:pt idx="36">
                  <c:v>472.03591918945313</c:v>
                </c:pt>
                <c:pt idx="37">
                  <c:v>485.14804077148438</c:v>
                </c:pt>
                <c:pt idx="38">
                  <c:v>498.26016235351563</c:v>
                </c:pt>
                <c:pt idx="39">
                  <c:v>511.37225341796875</c:v>
                </c:pt>
                <c:pt idx="40">
                  <c:v>524.484375</c:v>
                </c:pt>
                <c:pt idx="41">
                  <c:v>537.59649658203125</c:v>
                </c:pt>
                <c:pt idx="42">
                  <c:v>550.7086181640625</c:v>
                </c:pt>
                <c:pt idx="43">
                  <c:v>563.8206787109375</c:v>
                </c:pt>
                <c:pt idx="44">
                  <c:v>576.93280029296875</c:v>
                </c:pt>
                <c:pt idx="45">
                  <c:v>590.044921875</c:v>
                </c:pt>
                <c:pt idx="46">
                  <c:v>603.15704345703125</c:v>
                </c:pt>
                <c:pt idx="47">
                  <c:v>616.2691650390625</c:v>
                </c:pt>
                <c:pt idx="48">
                  <c:v>629.3812255859375</c:v>
                </c:pt>
                <c:pt idx="49">
                  <c:v>642.49334716796875</c:v>
                </c:pt>
                <c:pt idx="50">
                  <c:v>655.60546875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44-4E92-A43A-F86618C52CBD}"/>
            </c:ext>
          </c:extLst>
        </c:ser>
        <c:ser>
          <c:idx val="4"/>
          <c:order val="4"/>
          <c:tx>
            <c:strRef>
              <c:f>Skymaps!$D$58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Skymaps!$E$58:$BC$58</c:f>
              <c:numCache>
                <c:formatCode>General</c:formatCode>
                <c:ptCount val="51"/>
                <c:pt idx="0">
                  <c:v>0</c:v>
                </c:pt>
                <c:pt idx="1">
                  <c:v>13.066017150878906</c:v>
                </c:pt>
                <c:pt idx="2">
                  <c:v>26.132034301757813</c:v>
                </c:pt>
                <c:pt idx="3">
                  <c:v>39.198051452636719</c:v>
                </c:pt>
                <c:pt idx="4">
                  <c:v>52.264068603515625</c:v>
                </c:pt>
                <c:pt idx="5">
                  <c:v>65.330085754394531</c:v>
                </c:pt>
                <c:pt idx="6">
                  <c:v>78.396102905273438</c:v>
                </c:pt>
                <c:pt idx="7">
                  <c:v>91.462120056152344</c:v>
                </c:pt>
                <c:pt idx="8">
                  <c:v>104.52813720703125</c:v>
                </c:pt>
                <c:pt idx="9">
                  <c:v>117.59415435791016</c:v>
                </c:pt>
                <c:pt idx="10">
                  <c:v>130.66017150878906</c:v>
                </c:pt>
                <c:pt idx="11">
                  <c:v>143.72618103027344</c:v>
                </c:pt>
                <c:pt idx="12">
                  <c:v>156.79220581054688</c:v>
                </c:pt>
                <c:pt idx="13">
                  <c:v>169.85821533203125</c:v>
                </c:pt>
                <c:pt idx="14">
                  <c:v>182.92424011230469</c:v>
                </c:pt>
                <c:pt idx="15">
                  <c:v>195.99024963378906</c:v>
                </c:pt>
                <c:pt idx="16">
                  <c:v>209.0562744140625</c:v>
                </c:pt>
                <c:pt idx="17">
                  <c:v>222.12228393554688</c:v>
                </c:pt>
                <c:pt idx="18">
                  <c:v>235.18830871582031</c:v>
                </c:pt>
                <c:pt idx="19">
                  <c:v>248.25431823730469</c:v>
                </c:pt>
                <c:pt idx="20">
                  <c:v>261.32034301757813</c:v>
                </c:pt>
                <c:pt idx="21">
                  <c:v>274.3863525390625</c:v>
                </c:pt>
                <c:pt idx="22">
                  <c:v>287.45236206054688</c:v>
                </c:pt>
                <c:pt idx="23">
                  <c:v>300.51840209960938</c:v>
                </c:pt>
                <c:pt idx="24">
                  <c:v>313.58441162109375</c:v>
                </c:pt>
                <c:pt idx="25">
                  <c:v>326.65042114257813</c:v>
                </c:pt>
                <c:pt idx="26">
                  <c:v>339.7164306640625</c:v>
                </c:pt>
                <c:pt idx="27">
                  <c:v>352.782470703125</c:v>
                </c:pt>
                <c:pt idx="28">
                  <c:v>365.84848022460938</c:v>
                </c:pt>
                <c:pt idx="29">
                  <c:v>378.91448974609375</c:v>
                </c:pt>
                <c:pt idx="30">
                  <c:v>391.98049926757813</c:v>
                </c:pt>
                <c:pt idx="31">
                  <c:v>405.04653930664063</c:v>
                </c:pt>
                <c:pt idx="32">
                  <c:v>418.112548828125</c:v>
                </c:pt>
                <c:pt idx="33">
                  <c:v>431.17855834960938</c:v>
                </c:pt>
                <c:pt idx="34">
                  <c:v>444.24456787109375</c:v>
                </c:pt>
                <c:pt idx="35">
                  <c:v>457.31060791015625</c:v>
                </c:pt>
                <c:pt idx="36">
                  <c:v>470.37661743164063</c:v>
                </c:pt>
                <c:pt idx="37">
                  <c:v>483.442626953125</c:v>
                </c:pt>
                <c:pt idx="38">
                  <c:v>496.50863647460938</c:v>
                </c:pt>
                <c:pt idx="39">
                  <c:v>509.57467651367188</c:v>
                </c:pt>
                <c:pt idx="40">
                  <c:v>522.64068603515625</c:v>
                </c:pt>
                <c:pt idx="41">
                  <c:v>535.70672607421875</c:v>
                </c:pt>
                <c:pt idx="42">
                  <c:v>548.772705078125</c:v>
                </c:pt>
                <c:pt idx="43">
                  <c:v>561.8387451171875</c:v>
                </c:pt>
                <c:pt idx="44">
                  <c:v>574.90472412109375</c:v>
                </c:pt>
                <c:pt idx="45">
                  <c:v>587.97076416015625</c:v>
                </c:pt>
                <c:pt idx="46">
                  <c:v>601.03680419921875</c:v>
                </c:pt>
                <c:pt idx="47">
                  <c:v>614.102783203125</c:v>
                </c:pt>
                <c:pt idx="48">
                  <c:v>627.1688232421875</c:v>
                </c:pt>
                <c:pt idx="49">
                  <c:v>640.23486328125</c:v>
                </c:pt>
                <c:pt idx="50">
                  <c:v>653.30084228515625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44-4E92-A43A-F86618C52CBD}"/>
            </c:ext>
          </c:extLst>
        </c:ser>
        <c:ser>
          <c:idx val="5"/>
          <c:order val="5"/>
          <c:tx>
            <c:strRef>
              <c:f>Skymaps!$D$59</c:f>
              <c:strCache>
                <c:ptCount val="1"/>
                <c:pt idx="0">
                  <c:v>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Skymaps!$E$59:$BC$59</c:f>
              <c:numCache>
                <c:formatCode>General</c:formatCode>
                <c:ptCount val="51"/>
                <c:pt idx="0">
                  <c:v>0</c:v>
                </c:pt>
                <c:pt idx="1">
                  <c:v>13.019766807556152</c:v>
                </c:pt>
                <c:pt idx="2">
                  <c:v>26.039533615112305</c:v>
                </c:pt>
                <c:pt idx="3">
                  <c:v>39.059299468994141</c:v>
                </c:pt>
                <c:pt idx="4">
                  <c:v>52.079067230224609</c:v>
                </c:pt>
                <c:pt idx="5">
                  <c:v>65.098831176757813</c:v>
                </c:pt>
                <c:pt idx="6">
                  <c:v>78.118598937988281</c:v>
                </c:pt>
                <c:pt idx="7">
                  <c:v>91.13836669921875</c:v>
                </c:pt>
                <c:pt idx="8">
                  <c:v>104.15813446044922</c:v>
                </c:pt>
                <c:pt idx="9">
                  <c:v>117.17790222167969</c:v>
                </c:pt>
                <c:pt idx="10">
                  <c:v>130.19766235351563</c:v>
                </c:pt>
                <c:pt idx="11">
                  <c:v>143.21743774414063</c:v>
                </c:pt>
                <c:pt idx="12">
                  <c:v>156.23719787597656</c:v>
                </c:pt>
                <c:pt idx="13">
                  <c:v>169.25697326660156</c:v>
                </c:pt>
                <c:pt idx="14">
                  <c:v>182.2767333984375</c:v>
                </c:pt>
                <c:pt idx="15">
                  <c:v>195.2965087890625</c:v>
                </c:pt>
                <c:pt idx="16">
                  <c:v>208.31626892089844</c:v>
                </c:pt>
                <c:pt idx="17">
                  <c:v>221.33604431152344</c:v>
                </c:pt>
                <c:pt idx="18">
                  <c:v>234.35580444335938</c:v>
                </c:pt>
                <c:pt idx="19">
                  <c:v>247.37556457519531</c:v>
                </c:pt>
                <c:pt idx="20">
                  <c:v>260.39532470703125</c:v>
                </c:pt>
                <c:pt idx="21">
                  <c:v>273.41510009765625</c:v>
                </c:pt>
                <c:pt idx="22">
                  <c:v>286.43487548828125</c:v>
                </c:pt>
                <c:pt idx="23">
                  <c:v>299.45465087890625</c:v>
                </c:pt>
                <c:pt idx="24">
                  <c:v>312.47439575195313</c:v>
                </c:pt>
                <c:pt idx="25">
                  <c:v>325.49417114257813</c:v>
                </c:pt>
                <c:pt idx="26">
                  <c:v>338.51394653320313</c:v>
                </c:pt>
                <c:pt idx="27">
                  <c:v>351.53369140625</c:v>
                </c:pt>
                <c:pt idx="28">
                  <c:v>364.553466796875</c:v>
                </c:pt>
                <c:pt idx="29">
                  <c:v>377.5732421875</c:v>
                </c:pt>
                <c:pt idx="30">
                  <c:v>390.593017578125</c:v>
                </c:pt>
                <c:pt idx="31">
                  <c:v>403.61276245117188</c:v>
                </c:pt>
                <c:pt idx="32">
                  <c:v>416.63253784179688</c:v>
                </c:pt>
                <c:pt idx="33">
                  <c:v>429.65231323242188</c:v>
                </c:pt>
                <c:pt idx="34">
                  <c:v>442.67208862304688</c:v>
                </c:pt>
                <c:pt idx="35">
                  <c:v>455.69183349609375</c:v>
                </c:pt>
                <c:pt idx="36">
                  <c:v>468.71160888671875</c:v>
                </c:pt>
                <c:pt idx="37">
                  <c:v>481.73138427734375</c:v>
                </c:pt>
                <c:pt idx="38">
                  <c:v>494.75112915039063</c:v>
                </c:pt>
                <c:pt idx="39">
                  <c:v>507.77090454101563</c:v>
                </c:pt>
                <c:pt idx="40">
                  <c:v>520.7906494140625</c:v>
                </c:pt>
                <c:pt idx="41">
                  <c:v>533.8104248046875</c:v>
                </c:pt>
                <c:pt idx="42">
                  <c:v>546.8302001953125</c:v>
                </c:pt>
                <c:pt idx="43">
                  <c:v>559.8499755859375</c:v>
                </c:pt>
                <c:pt idx="44">
                  <c:v>572.8697509765625</c:v>
                </c:pt>
                <c:pt idx="45">
                  <c:v>585.8895263671875</c:v>
                </c:pt>
                <c:pt idx="46">
                  <c:v>598.9093017578125</c:v>
                </c:pt>
                <c:pt idx="47">
                  <c:v>611.92901611328125</c:v>
                </c:pt>
                <c:pt idx="48">
                  <c:v>624.94879150390625</c:v>
                </c:pt>
                <c:pt idx="49">
                  <c:v>637.96856689453125</c:v>
                </c:pt>
                <c:pt idx="50">
                  <c:v>650.98834228515625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44-4E92-A43A-F86618C52CBD}"/>
            </c:ext>
          </c:extLst>
        </c:ser>
        <c:ser>
          <c:idx val="6"/>
          <c:order val="6"/>
          <c:tx>
            <c:strRef>
              <c:f>Skymaps!$D$60</c:f>
              <c:strCache>
                <c:ptCount val="1"/>
                <c:pt idx="0">
                  <c:v>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Skymaps!$E$60:$BC$60</c:f>
              <c:numCache>
                <c:formatCode>General</c:formatCode>
                <c:ptCount val="51"/>
                <c:pt idx="0">
                  <c:v>0</c:v>
                </c:pt>
                <c:pt idx="1">
                  <c:v>12.973357200622559</c:v>
                </c:pt>
                <c:pt idx="2">
                  <c:v>25.946714401245117</c:v>
                </c:pt>
                <c:pt idx="3">
                  <c:v>38.920070648193359</c:v>
                </c:pt>
                <c:pt idx="4">
                  <c:v>51.893428802490234</c:v>
                </c:pt>
                <c:pt idx="5">
                  <c:v>64.866790771484375</c:v>
                </c:pt>
                <c:pt idx="6">
                  <c:v>77.840141296386719</c:v>
                </c:pt>
                <c:pt idx="7">
                  <c:v>90.813499450683594</c:v>
                </c:pt>
                <c:pt idx="8">
                  <c:v>103.78685760498047</c:v>
                </c:pt>
                <c:pt idx="9">
                  <c:v>116.76021575927734</c:v>
                </c:pt>
                <c:pt idx="10">
                  <c:v>129.73358154296875</c:v>
                </c:pt>
                <c:pt idx="11">
                  <c:v>142.70692443847656</c:v>
                </c:pt>
                <c:pt idx="12">
                  <c:v>155.68028259277344</c:v>
                </c:pt>
                <c:pt idx="13">
                  <c:v>168.65364074707031</c:v>
                </c:pt>
                <c:pt idx="14">
                  <c:v>181.62699890136719</c:v>
                </c:pt>
                <c:pt idx="15">
                  <c:v>194.60035705566406</c:v>
                </c:pt>
                <c:pt idx="16">
                  <c:v>207.57371520996094</c:v>
                </c:pt>
                <c:pt idx="17">
                  <c:v>220.54707336425781</c:v>
                </c:pt>
                <c:pt idx="18">
                  <c:v>233.52043151855469</c:v>
                </c:pt>
                <c:pt idx="19">
                  <c:v>246.49378967285156</c:v>
                </c:pt>
                <c:pt idx="20">
                  <c:v>259.4671630859375</c:v>
                </c:pt>
                <c:pt idx="21">
                  <c:v>272.44049072265625</c:v>
                </c:pt>
                <c:pt idx="22">
                  <c:v>285.41384887695313</c:v>
                </c:pt>
                <c:pt idx="23">
                  <c:v>298.38720703125</c:v>
                </c:pt>
                <c:pt idx="24">
                  <c:v>311.36056518554688</c:v>
                </c:pt>
                <c:pt idx="25">
                  <c:v>324.33392333984375</c:v>
                </c:pt>
                <c:pt idx="26">
                  <c:v>337.30728149414063</c:v>
                </c:pt>
                <c:pt idx="27">
                  <c:v>350.2806396484375</c:v>
                </c:pt>
                <c:pt idx="28">
                  <c:v>363.25399780273438</c:v>
                </c:pt>
                <c:pt idx="29">
                  <c:v>376.22735595703125</c:v>
                </c:pt>
                <c:pt idx="30">
                  <c:v>389.20071411132813</c:v>
                </c:pt>
                <c:pt idx="31">
                  <c:v>402.174072265625</c:v>
                </c:pt>
                <c:pt idx="32">
                  <c:v>415.14743041992188</c:v>
                </c:pt>
                <c:pt idx="33">
                  <c:v>428.12078857421875</c:v>
                </c:pt>
                <c:pt idx="34">
                  <c:v>441.09414672851563</c:v>
                </c:pt>
                <c:pt idx="35">
                  <c:v>454.0675048828125</c:v>
                </c:pt>
                <c:pt idx="36">
                  <c:v>467.04086303710938</c:v>
                </c:pt>
                <c:pt idx="37">
                  <c:v>480.01422119140625</c:v>
                </c:pt>
                <c:pt idx="38">
                  <c:v>492.98757934570313</c:v>
                </c:pt>
                <c:pt idx="39">
                  <c:v>505.9609375</c:v>
                </c:pt>
                <c:pt idx="40">
                  <c:v>518.934326171875</c:v>
                </c:pt>
                <c:pt idx="41">
                  <c:v>531.90765380859375</c:v>
                </c:pt>
                <c:pt idx="42">
                  <c:v>544.8809814453125</c:v>
                </c:pt>
                <c:pt idx="43">
                  <c:v>557.8543701171875</c:v>
                </c:pt>
                <c:pt idx="44">
                  <c:v>570.82769775390625</c:v>
                </c:pt>
                <c:pt idx="45">
                  <c:v>583.80108642578125</c:v>
                </c:pt>
                <c:pt idx="46">
                  <c:v>596.7744140625</c:v>
                </c:pt>
                <c:pt idx="47">
                  <c:v>609.747802734375</c:v>
                </c:pt>
                <c:pt idx="48">
                  <c:v>622.72113037109375</c:v>
                </c:pt>
                <c:pt idx="49">
                  <c:v>635.69451904296875</c:v>
                </c:pt>
                <c:pt idx="50">
                  <c:v>648.6678466796875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44-4E92-A43A-F86618C52CBD}"/>
            </c:ext>
          </c:extLst>
        </c:ser>
        <c:ser>
          <c:idx val="7"/>
          <c:order val="7"/>
          <c:tx>
            <c:strRef>
              <c:f>Skymaps!$D$61</c:f>
              <c:strCache>
                <c:ptCount val="1"/>
                <c:pt idx="0">
                  <c:v>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Skymaps!$E$61:$BC$61</c:f>
              <c:numCache>
                <c:formatCode>General</c:formatCode>
                <c:ptCount val="51"/>
                <c:pt idx="0">
                  <c:v>0</c:v>
                </c:pt>
                <c:pt idx="1">
                  <c:v>12.926784515380859</c:v>
                </c:pt>
                <c:pt idx="2">
                  <c:v>25.853569030761719</c:v>
                </c:pt>
                <c:pt idx="3">
                  <c:v>38.780353546142578</c:v>
                </c:pt>
                <c:pt idx="4">
                  <c:v>51.707138061523438</c:v>
                </c:pt>
                <c:pt idx="5">
                  <c:v>64.633918762207031</c:v>
                </c:pt>
                <c:pt idx="6">
                  <c:v>77.560707092285156</c:v>
                </c:pt>
                <c:pt idx="7">
                  <c:v>90.48748779296875</c:v>
                </c:pt>
                <c:pt idx="8">
                  <c:v>103.41427612304688</c:v>
                </c:pt>
                <c:pt idx="9">
                  <c:v>116.34105682373047</c:v>
                </c:pt>
                <c:pt idx="10">
                  <c:v>129.26783752441406</c:v>
                </c:pt>
                <c:pt idx="11">
                  <c:v>142.19462585449219</c:v>
                </c:pt>
                <c:pt idx="12">
                  <c:v>155.12141418457031</c:v>
                </c:pt>
                <c:pt idx="13">
                  <c:v>168.04818725585938</c:v>
                </c:pt>
                <c:pt idx="14">
                  <c:v>180.9749755859375</c:v>
                </c:pt>
                <c:pt idx="15">
                  <c:v>193.90176391601563</c:v>
                </c:pt>
                <c:pt idx="16">
                  <c:v>206.82855224609375</c:v>
                </c:pt>
                <c:pt idx="17">
                  <c:v>219.75532531738281</c:v>
                </c:pt>
                <c:pt idx="18">
                  <c:v>232.68211364746094</c:v>
                </c:pt>
                <c:pt idx="19">
                  <c:v>245.60890197753906</c:v>
                </c:pt>
                <c:pt idx="20">
                  <c:v>258.53567504882813</c:v>
                </c:pt>
                <c:pt idx="21">
                  <c:v>271.46246337890625</c:v>
                </c:pt>
                <c:pt idx="22">
                  <c:v>284.38925170898438</c:v>
                </c:pt>
                <c:pt idx="23">
                  <c:v>297.3160400390625</c:v>
                </c:pt>
                <c:pt idx="24">
                  <c:v>310.24282836914063</c:v>
                </c:pt>
                <c:pt idx="25">
                  <c:v>323.16961669921875</c:v>
                </c:pt>
                <c:pt idx="26">
                  <c:v>336.09637451171875</c:v>
                </c:pt>
                <c:pt idx="27">
                  <c:v>349.02316284179688</c:v>
                </c:pt>
                <c:pt idx="28">
                  <c:v>361.949951171875</c:v>
                </c:pt>
                <c:pt idx="29">
                  <c:v>374.87673950195313</c:v>
                </c:pt>
                <c:pt idx="30">
                  <c:v>387.80352783203125</c:v>
                </c:pt>
                <c:pt idx="31">
                  <c:v>400.73031616210938</c:v>
                </c:pt>
                <c:pt idx="32">
                  <c:v>413.6571044921875</c:v>
                </c:pt>
                <c:pt idx="33">
                  <c:v>426.58389282226563</c:v>
                </c:pt>
                <c:pt idx="34">
                  <c:v>439.51065063476563</c:v>
                </c:pt>
                <c:pt idx="35">
                  <c:v>452.43743896484375</c:v>
                </c:pt>
                <c:pt idx="36">
                  <c:v>465.36422729492188</c:v>
                </c:pt>
                <c:pt idx="37">
                  <c:v>478.291015625</c:v>
                </c:pt>
                <c:pt idx="38">
                  <c:v>491.21780395507813</c:v>
                </c:pt>
                <c:pt idx="39">
                  <c:v>504.14459228515625</c:v>
                </c:pt>
                <c:pt idx="40">
                  <c:v>517.07135009765625</c:v>
                </c:pt>
                <c:pt idx="41">
                  <c:v>529.9981689453125</c:v>
                </c:pt>
                <c:pt idx="42">
                  <c:v>542.9249267578125</c:v>
                </c:pt>
                <c:pt idx="43">
                  <c:v>555.85174560546875</c:v>
                </c:pt>
                <c:pt idx="44">
                  <c:v>568.77850341796875</c:v>
                </c:pt>
                <c:pt idx="45">
                  <c:v>581.70526123046875</c:v>
                </c:pt>
                <c:pt idx="46">
                  <c:v>594.632080078125</c:v>
                </c:pt>
                <c:pt idx="47">
                  <c:v>607.558837890625</c:v>
                </c:pt>
                <c:pt idx="48">
                  <c:v>620.48565673828125</c:v>
                </c:pt>
                <c:pt idx="49">
                  <c:v>633.41241455078125</c:v>
                </c:pt>
                <c:pt idx="50">
                  <c:v>646.3392333984375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444-4E92-A43A-F86618C52CBD}"/>
            </c:ext>
          </c:extLst>
        </c:ser>
        <c:ser>
          <c:idx val="8"/>
          <c:order val="8"/>
          <c:tx>
            <c:strRef>
              <c:f>Skymaps!$D$62</c:f>
              <c:strCache>
                <c:ptCount val="1"/>
                <c:pt idx="0">
                  <c:v>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Skymaps!$E$62:$BC$62</c:f>
              <c:numCache>
                <c:formatCode>General</c:formatCode>
                <c:ptCount val="51"/>
                <c:pt idx="0">
                  <c:v>0</c:v>
                </c:pt>
                <c:pt idx="1">
                  <c:v>12.880046844482422</c:v>
                </c:pt>
                <c:pt idx="2">
                  <c:v>25.760093688964844</c:v>
                </c:pt>
                <c:pt idx="3">
                  <c:v>38.640140533447266</c:v>
                </c:pt>
                <c:pt idx="4">
                  <c:v>51.520187377929688</c:v>
                </c:pt>
                <c:pt idx="5">
                  <c:v>64.400238037109375</c:v>
                </c:pt>
                <c:pt idx="6">
                  <c:v>77.280281066894531</c:v>
                </c:pt>
                <c:pt idx="7">
                  <c:v>90.160331726074219</c:v>
                </c:pt>
                <c:pt idx="8">
                  <c:v>103.04037475585938</c:v>
                </c:pt>
                <c:pt idx="9">
                  <c:v>115.92042541503906</c:v>
                </c:pt>
                <c:pt idx="10">
                  <c:v>128.80047607421875</c:v>
                </c:pt>
                <c:pt idx="11">
                  <c:v>141.68052673339844</c:v>
                </c:pt>
                <c:pt idx="12">
                  <c:v>154.56056213378906</c:v>
                </c:pt>
                <c:pt idx="13">
                  <c:v>167.44061279296875</c:v>
                </c:pt>
                <c:pt idx="14">
                  <c:v>180.32066345214844</c:v>
                </c:pt>
                <c:pt idx="15">
                  <c:v>193.20071411132813</c:v>
                </c:pt>
                <c:pt idx="16">
                  <c:v>206.08074951171875</c:v>
                </c:pt>
                <c:pt idx="17">
                  <c:v>218.96080017089844</c:v>
                </c:pt>
                <c:pt idx="18">
                  <c:v>231.84085083007813</c:v>
                </c:pt>
                <c:pt idx="19">
                  <c:v>244.72090148925781</c:v>
                </c:pt>
                <c:pt idx="20">
                  <c:v>257.6009521484375</c:v>
                </c:pt>
                <c:pt idx="21">
                  <c:v>270.48098754882813</c:v>
                </c:pt>
                <c:pt idx="22">
                  <c:v>283.36105346679688</c:v>
                </c:pt>
                <c:pt idx="23">
                  <c:v>296.2410888671875</c:v>
                </c:pt>
                <c:pt idx="24">
                  <c:v>309.12112426757813</c:v>
                </c:pt>
                <c:pt idx="25">
                  <c:v>322.00119018554688</c:v>
                </c:pt>
                <c:pt idx="26">
                  <c:v>334.8812255859375</c:v>
                </c:pt>
                <c:pt idx="27">
                  <c:v>347.76129150390625</c:v>
                </c:pt>
                <c:pt idx="28">
                  <c:v>360.64132690429688</c:v>
                </c:pt>
                <c:pt idx="29">
                  <c:v>373.5213623046875</c:v>
                </c:pt>
                <c:pt idx="30">
                  <c:v>386.40142822265625</c:v>
                </c:pt>
                <c:pt idx="31">
                  <c:v>399.28146362304688</c:v>
                </c:pt>
                <c:pt idx="32">
                  <c:v>412.1614990234375</c:v>
                </c:pt>
                <c:pt idx="33">
                  <c:v>425.04156494140625</c:v>
                </c:pt>
                <c:pt idx="34">
                  <c:v>437.92160034179688</c:v>
                </c:pt>
                <c:pt idx="35">
                  <c:v>450.80166625976563</c:v>
                </c:pt>
                <c:pt idx="36">
                  <c:v>463.68170166015625</c:v>
                </c:pt>
                <c:pt idx="37">
                  <c:v>476.56173706054688</c:v>
                </c:pt>
                <c:pt idx="38">
                  <c:v>489.44180297851563</c:v>
                </c:pt>
                <c:pt idx="39">
                  <c:v>502.32183837890625</c:v>
                </c:pt>
                <c:pt idx="40">
                  <c:v>515.201904296875</c:v>
                </c:pt>
                <c:pt idx="41">
                  <c:v>528.08197021484375</c:v>
                </c:pt>
                <c:pt idx="42">
                  <c:v>540.96197509765625</c:v>
                </c:pt>
                <c:pt idx="43">
                  <c:v>553.842041015625</c:v>
                </c:pt>
                <c:pt idx="44">
                  <c:v>566.72210693359375</c:v>
                </c:pt>
                <c:pt idx="45">
                  <c:v>579.60211181640625</c:v>
                </c:pt>
                <c:pt idx="46">
                  <c:v>592.482177734375</c:v>
                </c:pt>
                <c:pt idx="47">
                  <c:v>605.36224365234375</c:v>
                </c:pt>
                <c:pt idx="48">
                  <c:v>618.24224853515625</c:v>
                </c:pt>
                <c:pt idx="49">
                  <c:v>631.122314453125</c:v>
                </c:pt>
                <c:pt idx="50">
                  <c:v>644.00238037109375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444-4E92-A43A-F86618C52CBD}"/>
            </c:ext>
          </c:extLst>
        </c:ser>
        <c:ser>
          <c:idx val="9"/>
          <c:order val="9"/>
          <c:tx>
            <c:strRef>
              <c:f>Skymaps!$D$63</c:f>
              <c:strCache>
                <c:ptCount val="1"/>
                <c:pt idx="0">
                  <c:v>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Skymaps!$E$63:$BC$63</c:f>
              <c:numCache>
                <c:formatCode>General</c:formatCode>
                <c:ptCount val="51"/>
                <c:pt idx="0">
                  <c:v>0</c:v>
                </c:pt>
                <c:pt idx="1">
                  <c:v>12.833145141601563</c:v>
                </c:pt>
                <c:pt idx="2">
                  <c:v>25.666290283203125</c:v>
                </c:pt>
                <c:pt idx="3">
                  <c:v>38.499435424804688</c:v>
                </c:pt>
                <c:pt idx="4">
                  <c:v>51.33258056640625</c:v>
                </c:pt>
                <c:pt idx="5">
                  <c:v>64.165725708007813</c:v>
                </c:pt>
                <c:pt idx="6">
                  <c:v>76.998870849609375</c:v>
                </c:pt>
                <c:pt idx="7">
                  <c:v>89.832015991210938</c:v>
                </c:pt>
                <c:pt idx="8">
                  <c:v>102.6651611328125</c:v>
                </c:pt>
                <c:pt idx="9">
                  <c:v>115.49830627441406</c:v>
                </c:pt>
                <c:pt idx="10">
                  <c:v>128.33145141601563</c:v>
                </c:pt>
                <c:pt idx="11">
                  <c:v>141.16459655761719</c:v>
                </c:pt>
                <c:pt idx="12">
                  <c:v>153.99774169921875</c:v>
                </c:pt>
                <c:pt idx="13">
                  <c:v>166.83088684082031</c:v>
                </c:pt>
                <c:pt idx="14">
                  <c:v>179.66403198242188</c:v>
                </c:pt>
                <c:pt idx="15">
                  <c:v>192.49717712402344</c:v>
                </c:pt>
                <c:pt idx="16">
                  <c:v>205.330322265625</c:v>
                </c:pt>
                <c:pt idx="17">
                  <c:v>218.16346740722656</c:v>
                </c:pt>
                <c:pt idx="18">
                  <c:v>230.99661254882813</c:v>
                </c:pt>
                <c:pt idx="19">
                  <c:v>243.82975769042969</c:v>
                </c:pt>
                <c:pt idx="20">
                  <c:v>256.66290283203125</c:v>
                </c:pt>
                <c:pt idx="21">
                  <c:v>269.49606323242188</c:v>
                </c:pt>
                <c:pt idx="22">
                  <c:v>282.32919311523438</c:v>
                </c:pt>
                <c:pt idx="23">
                  <c:v>295.162353515625</c:v>
                </c:pt>
                <c:pt idx="24">
                  <c:v>307.9954833984375</c:v>
                </c:pt>
                <c:pt idx="25">
                  <c:v>320.82864379882813</c:v>
                </c:pt>
                <c:pt idx="26">
                  <c:v>333.66177368164063</c:v>
                </c:pt>
                <c:pt idx="27">
                  <c:v>346.49493408203125</c:v>
                </c:pt>
                <c:pt idx="28">
                  <c:v>359.32806396484375</c:v>
                </c:pt>
                <c:pt idx="29">
                  <c:v>372.16122436523438</c:v>
                </c:pt>
                <c:pt idx="30">
                  <c:v>384.99435424804688</c:v>
                </c:pt>
                <c:pt idx="31">
                  <c:v>397.8275146484375</c:v>
                </c:pt>
                <c:pt idx="32">
                  <c:v>410.66064453125</c:v>
                </c:pt>
                <c:pt idx="33">
                  <c:v>423.49380493164063</c:v>
                </c:pt>
                <c:pt idx="34">
                  <c:v>436.32693481445313</c:v>
                </c:pt>
                <c:pt idx="35">
                  <c:v>449.16009521484375</c:v>
                </c:pt>
                <c:pt idx="36">
                  <c:v>461.99322509765625</c:v>
                </c:pt>
                <c:pt idx="37">
                  <c:v>474.82638549804688</c:v>
                </c:pt>
                <c:pt idx="38">
                  <c:v>487.65951538085938</c:v>
                </c:pt>
                <c:pt idx="39">
                  <c:v>500.49267578125</c:v>
                </c:pt>
                <c:pt idx="40">
                  <c:v>513.3258056640625</c:v>
                </c:pt>
                <c:pt idx="41">
                  <c:v>526.158935546875</c:v>
                </c:pt>
                <c:pt idx="42">
                  <c:v>538.99212646484375</c:v>
                </c:pt>
                <c:pt idx="43">
                  <c:v>551.82525634765625</c:v>
                </c:pt>
                <c:pt idx="44">
                  <c:v>564.65838623046875</c:v>
                </c:pt>
                <c:pt idx="45">
                  <c:v>577.49151611328125</c:v>
                </c:pt>
                <c:pt idx="46">
                  <c:v>590.32470703125</c:v>
                </c:pt>
                <c:pt idx="47">
                  <c:v>603.1578369140625</c:v>
                </c:pt>
                <c:pt idx="48">
                  <c:v>615.990966796875</c:v>
                </c:pt>
                <c:pt idx="49">
                  <c:v>628.8240966796875</c:v>
                </c:pt>
                <c:pt idx="50">
                  <c:v>641.65728759765625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444-4E92-A43A-F86618C52CBD}"/>
            </c:ext>
          </c:extLst>
        </c:ser>
        <c:ser>
          <c:idx val="10"/>
          <c:order val="10"/>
          <c:tx>
            <c:strRef>
              <c:f>Skymaps!$D$64</c:f>
              <c:strCache>
                <c:ptCount val="1"/>
                <c:pt idx="0">
                  <c:v>10000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Skymaps!$E$64:$BC$64</c:f>
              <c:numCache>
                <c:formatCode>General</c:formatCode>
                <c:ptCount val="51"/>
                <c:pt idx="0">
                  <c:v>0</c:v>
                </c:pt>
                <c:pt idx="1">
                  <c:v>12.786075592041016</c:v>
                </c:pt>
                <c:pt idx="2">
                  <c:v>25.572151184082031</c:v>
                </c:pt>
                <c:pt idx="3">
                  <c:v>38.358226776123047</c:v>
                </c:pt>
                <c:pt idx="4">
                  <c:v>51.144302368164063</c:v>
                </c:pt>
                <c:pt idx="5">
                  <c:v>63.930374145507813</c:v>
                </c:pt>
                <c:pt idx="6">
                  <c:v>76.716453552246094</c:v>
                </c:pt>
                <c:pt idx="7">
                  <c:v>89.502525329589844</c:v>
                </c:pt>
                <c:pt idx="8">
                  <c:v>102.28860473632813</c:v>
                </c:pt>
                <c:pt idx="9">
                  <c:v>115.07467651367188</c:v>
                </c:pt>
                <c:pt idx="10">
                  <c:v>127.86074829101563</c:v>
                </c:pt>
                <c:pt idx="11">
                  <c:v>140.64682006835938</c:v>
                </c:pt>
                <c:pt idx="12">
                  <c:v>153.43290710449219</c:v>
                </c:pt>
                <c:pt idx="13">
                  <c:v>166.21897888183594</c:v>
                </c:pt>
                <c:pt idx="14">
                  <c:v>179.00505065917969</c:v>
                </c:pt>
                <c:pt idx="15">
                  <c:v>191.79112243652344</c:v>
                </c:pt>
                <c:pt idx="16">
                  <c:v>204.57720947265625</c:v>
                </c:pt>
                <c:pt idx="17">
                  <c:v>217.36328125</c:v>
                </c:pt>
                <c:pt idx="18">
                  <c:v>230.14935302734375</c:v>
                </c:pt>
                <c:pt idx="19">
                  <c:v>242.9354248046875</c:v>
                </c:pt>
                <c:pt idx="20">
                  <c:v>255.72149658203125</c:v>
                </c:pt>
                <c:pt idx="21">
                  <c:v>268.507568359375</c:v>
                </c:pt>
                <c:pt idx="22">
                  <c:v>281.29364013671875</c:v>
                </c:pt>
                <c:pt idx="23">
                  <c:v>294.07974243164063</c:v>
                </c:pt>
                <c:pt idx="24">
                  <c:v>306.86581420898438</c:v>
                </c:pt>
                <c:pt idx="25">
                  <c:v>319.65188598632813</c:v>
                </c:pt>
                <c:pt idx="26">
                  <c:v>332.43795776367188</c:v>
                </c:pt>
                <c:pt idx="27">
                  <c:v>345.22402954101563</c:v>
                </c:pt>
                <c:pt idx="28">
                  <c:v>358.01010131835938</c:v>
                </c:pt>
                <c:pt idx="29">
                  <c:v>370.79617309570313</c:v>
                </c:pt>
                <c:pt idx="30">
                  <c:v>383.58224487304688</c:v>
                </c:pt>
                <c:pt idx="31">
                  <c:v>396.36831665039063</c:v>
                </c:pt>
                <c:pt idx="32">
                  <c:v>409.1544189453125</c:v>
                </c:pt>
                <c:pt idx="33">
                  <c:v>421.94049072265625</c:v>
                </c:pt>
                <c:pt idx="34">
                  <c:v>434.7265625</c:v>
                </c:pt>
                <c:pt idx="35">
                  <c:v>447.51263427734375</c:v>
                </c:pt>
                <c:pt idx="36">
                  <c:v>460.2987060546875</c:v>
                </c:pt>
                <c:pt idx="37">
                  <c:v>473.08477783203125</c:v>
                </c:pt>
                <c:pt idx="38">
                  <c:v>485.870849609375</c:v>
                </c:pt>
                <c:pt idx="39">
                  <c:v>498.65692138671875</c:v>
                </c:pt>
                <c:pt idx="40">
                  <c:v>511.4429931640625</c:v>
                </c:pt>
                <c:pt idx="41">
                  <c:v>524.22906494140625</c:v>
                </c:pt>
                <c:pt idx="42">
                  <c:v>537.01513671875</c:v>
                </c:pt>
                <c:pt idx="43">
                  <c:v>549.80120849609375</c:v>
                </c:pt>
                <c:pt idx="44">
                  <c:v>562.5872802734375</c:v>
                </c:pt>
                <c:pt idx="45">
                  <c:v>575.3734130859375</c:v>
                </c:pt>
                <c:pt idx="46">
                  <c:v>588.15948486328125</c:v>
                </c:pt>
                <c:pt idx="47">
                  <c:v>600.945556640625</c:v>
                </c:pt>
                <c:pt idx="48">
                  <c:v>613.73162841796875</c:v>
                </c:pt>
                <c:pt idx="49">
                  <c:v>626.5177001953125</c:v>
                </c:pt>
                <c:pt idx="50">
                  <c:v>639.30377197265625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444-4E92-A43A-F86618C52CBD}"/>
            </c:ext>
          </c:extLst>
        </c:ser>
        <c:ser>
          <c:idx val="11"/>
          <c:order val="11"/>
          <c:tx>
            <c:strRef>
              <c:f>Skymaps!$D$65</c:f>
              <c:strCache>
                <c:ptCount val="1"/>
                <c:pt idx="0">
                  <c:v>11000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Skymaps!$E$65:$BC$65</c:f>
              <c:numCache>
                <c:formatCode>General</c:formatCode>
                <c:ptCount val="51"/>
                <c:pt idx="0">
                  <c:v>0</c:v>
                </c:pt>
                <c:pt idx="1">
                  <c:v>12.738835334777832</c:v>
                </c:pt>
                <c:pt idx="2">
                  <c:v>25.477670669555664</c:v>
                </c:pt>
                <c:pt idx="3">
                  <c:v>38.216506958007813</c:v>
                </c:pt>
                <c:pt idx="4">
                  <c:v>50.955341339111328</c:v>
                </c:pt>
                <c:pt idx="5">
                  <c:v>63.694179534912109</c:v>
                </c:pt>
                <c:pt idx="6">
                  <c:v>76.433013916015625</c:v>
                </c:pt>
                <c:pt idx="7">
                  <c:v>89.171852111816406</c:v>
                </c:pt>
                <c:pt idx="8">
                  <c:v>101.91068267822266</c:v>
                </c:pt>
                <c:pt idx="9">
                  <c:v>114.64952087402344</c:v>
                </c:pt>
                <c:pt idx="10">
                  <c:v>127.38835906982422</c:v>
                </c:pt>
                <c:pt idx="11">
                  <c:v>140.127197265625</c:v>
                </c:pt>
                <c:pt idx="12">
                  <c:v>152.86602783203125</c:v>
                </c:pt>
                <c:pt idx="13">
                  <c:v>165.6048583984375</c:v>
                </c:pt>
                <c:pt idx="14">
                  <c:v>178.34370422363281</c:v>
                </c:pt>
                <c:pt idx="15">
                  <c:v>191.08253479003906</c:v>
                </c:pt>
                <c:pt idx="16">
                  <c:v>203.82136535644531</c:v>
                </c:pt>
                <c:pt idx="17">
                  <c:v>216.56021118164063</c:v>
                </c:pt>
                <c:pt idx="18">
                  <c:v>229.29904174804688</c:v>
                </c:pt>
                <c:pt idx="19">
                  <c:v>242.03787231445313</c:v>
                </c:pt>
                <c:pt idx="20">
                  <c:v>254.77671813964844</c:v>
                </c:pt>
                <c:pt idx="21">
                  <c:v>267.51553344726563</c:v>
                </c:pt>
                <c:pt idx="22">
                  <c:v>280.25439453125</c:v>
                </c:pt>
                <c:pt idx="23">
                  <c:v>292.99322509765625</c:v>
                </c:pt>
                <c:pt idx="24">
                  <c:v>305.7320556640625</c:v>
                </c:pt>
                <c:pt idx="25">
                  <c:v>318.47088623046875</c:v>
                </c:pt>
                <c:pt idx="26">
                  <c:v>331.209716796875</c:v>
                </c:pt>
                <c:pt idx="27">
                  <c:v>343.94854736328125</c:v>
                </c:pt>
                <c:pt idx="28">
                  <c:v>356.68740844726563</c:v>
                </c:pt>
                <c:pt idx="29">
                  <c:v>369.42623901367188</c:v>
                </c:pt>
                <c:pt idx="30">
                  <c:v>382.16506958007813</c:v>
                </c:pt>
                <c:pt idx="31">
                  <c:v>394.90390014648438</c:v>
                </c:pt>
                <c:pt idx="32">
                  <c:v>407.64273071289063</c:v>
                </c:pt>
                <c:pt idx="33">
                  <c:v>420.38156127929688</c:v>
                </c:pt>
                <c:pt idx="34">
                  <c:v>433.12042236328125</c:v>
                </c:pt>
                <c:pt idx="35">
                  <c:v>445.8592529296875</c:v>
                </c:pt>
                <c:pt idx="36">
                  <c:v>458.59808349609375</c:v>
                </c:pt>
                <c:pt idx="37">
                  <c:v>471.3369140625</c:v>
                </c:pt>
                <c:pt idx="38">
                  <c:v>484.07574462890625</c:v>
                </c:pt>
                <c:pt idx="39">
                  <c:v>496.8145751953125</c:v>
                </c:pt>
                <c:pt idx="40">
                  <c:v>509.55343627929688</c:v>
                </c:pt>
                <c:pt idx="41">
                  <c:v>522.292236328125</c:v>
                </c:pt>
                <c:pt idx="42">
                  <c:v>535.03106689453125</c:v>
                </c:pt>
                <c:pt idx="43">
                  <c:v>547.76995849609375</c:v>
                </c:pt>
                <c:pt idx="44">
                  <c:v>560.5087890625</c:v>
                </c:pt>
                <c:pt idx="45">
                  <c:v>573.24761962890625</c:v>
                </c:pt>
                <c:pt idx="46">
                  <c:v>585.9864501953125</c:v>
                </c:pt>
                <c:pt idx="47">
                  <c:v>598.72528076171875</c:v>
                </c:pt>
                <c:pt idx="48">
                  <c:v>611.464111328125</c:v>
                </c:pt>
                <c:pt idx="49">
                  <c:v>624.20294189453125</c:v>
                </c:pt>
                <c:pt idx="50">
                  <c:v>636.9417724609375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44-4E92-A43A-F86618C52CBD}"/>
            </c:ext>
          </c:extLst>
        </c:ser>
        <c:ser>
          <c:idx val="12"/>
          <c:order val="12"/>
          <c:tx>
            <c:strRef>
              <c:f>Skymaps!$D$66</c:f>
              <c:strCache>
                <c:ptCount val="1"/>
                <c:pt idx="0">
                  <c:v>12000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Skymaps!$E$66:$BC$66</c:f>
              <c:numCache>
                <c:formatCode>General</c:formatCode>
                <c:ptCount val="51"/>
                <c:pt idx="0">
                  <c:v>0</c:v>
                </c:pt>
                <c:pt idx="1">
                  <c:v>12.691425323486328</c:v>
                </c:pt>
                <c:pt idx="2">
                  <c:v>25.382850646972656</c:v>
                </c:pt>
                <c:pt idx="3">
                  <c:v>38.074275970458984</c:v>
                </c:pt>
                <c:pt idx="4">
                  <c:v>50.765701293945313</c:v>
                </c:pt>
                <c:pt idx="5">
                  <c:v>63.457126617431641</c:v>
                </c:pt>
                <c:pt idx="6">
                  <c:v>76.148551940917969</c:v>
                </c:pt>
                <c:pt idx="7">
                  <c:v>88.839973449707031</c:v>
                </c:pt>
                <c:pt idx="8">
                  <c:v>101.53140258789063</c:v>
                </c:pt>
                <c:pt idx="9">
                  <c:v>114.22282409667969</c:v>
                </c:pt>
                <c:pt idx="10">
                  <c:v>126.91425323486328</c:v>
                </c:pt>
                <c:pt idx="11">
                  <c:v>139.60568237304688</c:v>
                </c:pt>
                <c:pt idx="12">
                  <c:v>152.29710388183594</c:v>
                </c:pt>
                <c:pt idx="13">
                  <c:v>164.988525390625</c:v>
                </c:pt>
                <c:pt idx="14">
                  <c:v>177.67994689941406</c:v>
                </c:pt>
                <c:pt idx="15">
                  <c:v>190.37138366699219</c:v>
                </c:pt>
                <c:pt idx="16">
                  <c:v>203.06280517578125</c:v>
                </c:pt>
                <c:pt idx="17">
                  <c:v>215.75422668457031</c:v>
                </c:pt>
                <c:pt idx="18">
                  <c:v>228.44564819335938</c:v>
                </c:pt>
                <c:pt idx="19">
                  <c:v>241.13706970214844</c:v>
                </c:pt>
                <c:pt idx="20">
                  <c:v>253.82850646972656</c:v>
                </c:pt>
                <c:pt idx="21">
                  <c:v>266.51992797851563</c:v>
                </c:pt>
                <c:pt idx="22">
                  <c:v>279.21136474609375</c:v>
                </c:pt>
                <c:pt idx="23">
                  <c:v>291.90277099609375</c:v>
                </c:pt>
                <c:pt idx="24">
                  <c:v>304.59420776367188</c:v>
                </c:pt>
                <c:pt idx="25">
                  <c:v>317.28561401367188</c:v>
                </c:pt>
                <c:pt idx="26">
                  <c:v>329.97705078125</c:v>
                </c:pt>
                <c:pt idx="27">
                  <c:v>342.66848754882813</c:v>
                </c:pt>
                <c:pt idx="28">
                  <c:v>355.35989379882813</c:v>
                </c:pt>
                <c:pt idx="29">
                  <c:v>368.05133056640625</c:v>
                </c:pt>
                <c:pt idx="30">
                  <c:v>380.74276733398438</c:v>
                </c:pt>
                <c:pt idx="31">
                  <c:v>393.43417358398438</c:v>
                </c:pt>
                <c:pt idx="32">
                  <c:v>406.1256103515625</c:v>
                </c:pt>
                <c:pt idx="33">
                  <c:v>418.8170166015625</c:v>
                </c:pt>
                <c:pt idx="34">
                  <c:v>431.50845336914063</c:v>
                </c:pt>
                <c:pt idx="35">
                  <c:v>444.19989013671875</c:v>
                </c:pt>
                <c:pt idx="36">
                  <c:v>456.89129638671875</c:v>
                </c:pt>
                <c:pt idx="37">
                  <c:v>469.58273315429688</c:v>
                </c:pt>
                <c:pt idx="38">
                  <c:v>482.27413940429688</c:v>
                </c:pt>
                <c:pt idx="39">
                  <c:v>494.965576171875</c:v>
                </c:pt>
                <c:pt idx="40">
                  <c:v>507.65701293945313</c:v>
                </c:pt>
                <c:pt idx="41">
                  <c:v>520.34844970703125</c:v>
                </c:pt>
                <c:pt idx="42">
                  <c:v>533.03985595703125</c:v>
                </c:pt>
                <c:pt idx="43">
                  <c:v>545.73126220703125</c:v>
                </c:pt>
                <c:pt idx="44">
                  <c:v>558.4227294921875</c:v>
                </c:pt>
                <c:pt idx="45">
                  <c:v>571.1141357421875</c:v>
                </c:pt>
                <c:pt idx="46">
                  <c:v>583.8055419921875</c:v>
                </c:pt>
                <c:pt idx="47">
                  <c:v>596.49700927734375</c:v>
                </c:pt>
                <c:pt idx="48">
                  <c:v>609.18841552734375</c:v>
                </c:pt>
                <c:pt idx="49">
                  <c:v>621.87982177734375</c:v>
                </c:pt>
                <c:pt idx="50">
                  <c:v>634.57122802734375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444-4E92-A43A-F86618C52CBD}"/>
            </c:ext>
          </c:extLst>
        </c:ser>
        <c:ser>
          <c:idx val="13"/>
          <c:order val="13"/>
          <c:tx>
            <c:strRef>
              <c:f>Skymaps!$D$67</c:f>
              <c:strCache>
                <c:ptCount val="1"/>
                <c:pt idx="0">
                  <c:v>13000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Skymaps!$E$67:$BC$67</c:f>
              <c:numCache>
                <c:formatCode>General</c:formatCode>
                <c:ptCount val="51"/>
                <c:pt idx="0">
                  <c:v>0</c:v>
                </c:pt>
                <c:pt idx="1">
                  <c:v>12.643840789794922</c:v>
                </c:pt>
                <c:pt idx="2">
                  <c:v>25.287681579589844</c:v>
                </c:pt>
                <c:pt idx="3">
                  <c:v>37.931522369384766</c:v>
                </c:pt>
                <c:pt idx="4">
                  <c:v>50.575363159179688</c:v>
                </c:pt>
                <c:pt idx="5">
                  <c:v>63.219203948974609</c:v>
                </c:pt>
                <c:pt idx="6">
                  <c:v>75.863044738769531</c:v>
                </c:pt>
                <c:pt idx="7">
                  <c:v>88.506881713867188</c:v>
                </c:pt>
                <c:pt idx="8">
                  <c:v>101.15072631835938</c:v>
                </c:pt>
                <c:pt idx="9">
                  <c:v>113.79456329345703</c:v>
                </c:pt>
                <c:pt idx="10">
                  <c:v>126.43840789794922</c:v>
                </c:pt>
                <c:pt idx="11">
                  <c:v>139.08224487304688</c:v>
                </c:pt>
                <c:pt idx="12">
                  <c:v>151.72608947753906</c:v>
                </c:pt>
                <c:pt idx="13">
                  <c:v>164.36993408203125</c:v>
                </c:pt>
                <c:pt idx="14">
                  <c:v>177.01376342773438</c:v>
                </c:pt>
                <c:pt idx="15">
                  <c:v>189.65760803222656</c:v>
                </c:pt>
                <c:pt idx="16">
                  <c:v>202.30145263671875</c:v>
                </c:pt>
                <c:pt idx="17">
                  <c:v>214.94529724121094</c:v>
                </c:pt>
                <c:pt idx="18">
                  <c:v>227.58912658691406</c:v>
                </c:pt>
                <c:pt idx="19">
                  <c:v>240.23297119140625</c:v>
                </c:pt>
                <c:pt idx="20">
                  <c:v>252.87681579589844</c:v>
                </c:pt>
                <c:pt idx="21">
                  <c:v>265.52066040039063</c:v>
                </c:pt>
                <c:pt idx="22">
                  <c:v>278.16448974609375</c:v>
                </c:pt>
                <c:pt idx="23">
                  <c:v>290.808349609375</c:v>
                </c:pt>
                <c:pt idx="24">
                  <c:v>303.45217895507813</c:v>
                </c:pt>
                <c:pt idx="25">
                  <c:v>316.09600830078125</c:v>
                </c:pt>
                <c:pt idx="26">
                  <c:v>328.7398681640625</c:v>
                </c:pt>
                <c:pt idx="27">
                  <c:v>341.38369750976563</c:v>
                </c:pt>
                <c:pt idx="28">
                  <c:v>354.02752685546875</c:v>
                </c:pt>
                <c:pt idx="29">
                  <c:v>366.67138671875</c:v>
                </c:pt>
                <c:pt idx="30">
                  <c:v>379.31521606445313</c:v>
                </c:pt>
                <c:pt idx="31">
                  <c:v>391.95907592773438</c:v>
                </c:pt>
                <c:pt idx="32">
                  <c:v>404.6029052734375</c:v>
                </c:pt>
                <c:pt idx="33">
                  <c:v>417.24673461914063</c:v>
                </c:pt>
                <c:pt idx="34">
                  <c:v>429.89059448242188</c:v>
                </c:pt>
                <c:pt idx="35">
                  <c:v>442.534423828125</c:v>
                </c:pt>
                <c:pt idx="36">
                  <c:v>455.17825317382813</c:v>
                </c:pt>
                <c:pt idx="37">
                  <c:v>467.82211303710938</c:v>
                </c:pt>
                <c:pt idx="38">
                  <c:v>480.4659423828125</c:v>
                </c:pt>
                <c:pt idx="39">
                  <c:v>493.10980224609375</c:v>
                </c:pt>
                <c:pt idx="40">
                  <c:v>505.75363159179688</c:v>
                </c:pt>
                <c:pt idx="41">
                  <c:v>518.3974609375</c:v>
                </c:pt>
                <c:pt idx="42">
                  <c:v>531.04132080078125</c:v>
                </c:pt>
                <c:pt idx="43">
                  <c:v>543.6851806640625</c:v>
                </c:pt>
                <c:pt idx="44">
                  <c:v>556.3289794921875</c:v>
                </c:pt>
                <c:pt idx="45">
                  <c:v>568.97283935546875</c:v>
                </c:pt>
                <c:pt idx="46">
                  <c:v>581.61669921875</c:v>
                </c:pt>
                <c:pt idx="47">
                  <c:v>594.260498046875</c:v>
                </c:pt>
                <c:pt idx="48">
                  <c:v>606.90435791015625</c:v>
                </c:pt>
                <c:pt idx="49">
                  <c:v>619.5482177734375</c:v>
                </c:pt>
                <c:pt idx="50">
                  <c:v>632.1920166015625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44-4E92-A43A-F86618C52CBD}"/>
            </c:ext>
          </c:extLst>
        </c:ser>
        <c:ser>
          <c:idx val="14"/>
          <c:order val="14"/>
          <c:tx>
            <c:strRef>
              <c:f>Skymaps!$D$68</c:f>
              <c:strCache>
                <c:ptCount val="1"/>
                <c:pt idx="0">
                  <c:v>14000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Skymaps!$E$68:$BC$68</c:f>
              <c:numCache>
                <c:formatCode>General</c:formatCode>
                <c:ptCount val="51"/>
                <c:pt idx="0">
                  <c:v>0</c:v>
                </c:pt>
                <c:pt idx="1">
                  <c:v>12.59608268737793</c:v>
                </c:pt>
                <c:pt idx="2">
                  <c:v>25.192165374755859</c:v>
                </c:pt>
                <c:pt idx="3">
                  <c:v>37.788246154785156</c:v>
                </c:pt>
                <c:pt idx="4">
                  <c:v>50.384330749511719</c:v>
                </c:pt>
                <c:pt idx="5">
                  <c:v>62.980411529541016</c:v>
                </c:pt>
                <c:pt idx="6">
                  <c:v>75.576492309570313</c:v>
                </c:pt>
                <c:pt idx="7">
                  <c:v>88.172576904296875</c:v>
                </c:pt>
                <c:pt idx="8">
                  <c:v>100.76866149902344</c:v>
                </c:pt>
                <c:pt idx="9">
                  <c:v>113.36474609375</c:v>
                </c:pt>
                <c:pt idx="10">
                  <c:v>125.96082305908203</c:v>
                </c:pt>
                <c:pt idx="11">
                  <c:v>138.55691528320313</c:v>
                </c:pt>
                <c:pt idx="12">
                  <c:v>151.15298461914063</c:v>
                </c:pt>
                <c:pt idx="13">
                  <c:v>163.74906921386719</c:v>
                </c:pt>
                <c:pt idx="14">
                  <c:v>176.34515380859375</c:v>
                </c:pt>
                <c:pt idx="15">
                  <c:v>188.94123840332031</c:v>
                </c:pt>
                <c:pt idx="16">
                  <c:v>201.53732299804688</c:v>
                </c:pt>
                <c:pt idx="17">
                  <c:v>214.13340759277344</c:v>
                </c:pt>
                <c:pt idx="18">
                  <c:v>226.7294921875</c:v>
                </c:pt>
                <c:pt idx="19">
                  <c:v>239.3255615234375</c:v>
                </c:pt>
                <c:pt idx="20">
                  <c:v>251.92164611816406</c:v>
                </c:pt>
                <c:pt idx="21">
                  <c:v>264.51773071289063</c:v>
                </c:pt>
                <c:pt idx="22">
                  <c:v>277.11383056640625</c:v>
                </c:pt>
                <c:pt idx="23">
                  <c:v>289.70989990234375</c:v>
                </c:pt>
                <c:pt idx="24">
                  <c:v>302.30596923828125</c:v>
                </c:pt>
                <c:pt idx="25">
                  <c:v>314.90206909179688</c:v>
                </c:pt>
                <c:pt idx="26">
                  <c:v>327.49813842773438</c:v>
                </c:pt>
                <c:pt idx="27">
                  <c:v>340.09423828125</c:v>
                </c:pt>
                <c:pt idx="28">
                  <c:v>352.6903076171875</c:v>
                </c:pt>
                <c:pt idx="29">
                  <c:v>365.28640747070313</c:v>
                </c:pt>
                <c:pt idx="30">
                  <c:v>377.88247680664063</c:v>
                </c:pt>
                <c:pt idx="31">
                  <c:v>390.47854614257813</c:v>
                </c:pt>
                <c:pt idx="32">
                  <c:v>403.07464599609375</c:v>
                </c:pt>
                <c:pt idx="33">
                  <c:v>415.67071533203125</c:v>
                </c:pt>
                <c:pt idx="34">
                  <c:v>428.26681518554688</c:v>
                </c:pt>
                <c:pt idx="35">
                  <c:v>440.86288452148438</c:v>
                </c:pt>
                <c:pt idx="36">
                  <c:v>453.458984375</c:v>
                </c:pt>
                <c:pt idx="37">
                  <c:v>466.0550537109375</c:v>
                </c:pt>
                <c:pt idx="38">
                  <c:v>478.651123046875</c:v>
                </c:pt>
                <c:pt idx="39">
                  <c:v>491.24722290039063</c:v>
                </c:pt>
                <c:pt idx="40">
                  <c:v>503.84329223632813</c:v>
                </c:pt>
                <c:pt idx="41">
                  <c:v>516.43939208984375</c:v>
                </c:pt>
                <c:pt idx="42">
                  <c:v>529.03546142578125</c:v>
                </c:pt>
                <c:pt idx="43">
                  <c:v>541.63153076171875</c:v>
                </c:pt>
                <c:pt idx="44">
                  <c:v>554.2276611328125</c:v>
                </c:pt>
                <c:pt idx="45">
                  <c:v>566.82373046875</c:v>
                </c:pt>
                <c:pt idx="46">
                  <c:v>579.4197998046875</c:v>
                </c:pt>
                <c:pt idx="47">
                  <c:v>592.015869140625</c:v>
                </c:pt>
                <c:pt idx="48">
                  <c:v>604.6119384765625</c:v>
                </c:pt>
                <c:pt idx="49">
                  <c:v>617.20806884765625</c:v>
                </c:pt>
                <c:pt idx="50">
                  <c:v>629.80413818359375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444-4E92-A43A-F86618C52CBD}"/>
            </c:ext>
          </c:extLst>
        </c:ser>
        <c:ser>
          <c:idx val="15"/>
          <c:order val="15"/>
          <c:tx>
            <c:strRef>
              <c:f>Skymaps!$D$69</c:f>
              <c:strCache>
                <c:ptCount val="1"/>
                <c:pt idx="0">
                  <c:v>15000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Skymaps!$E$69:$BC$69</c:f>
              <c:numCache>
                <c:formatCode>General</c:formatCode>
                <c:ptCount val="51"/>
                <c:pt idx="0">
                  <c:v>0</c:v>
                </c:pt>
                <c:pt idx="1">
                  <c:v>12.54814624786377</c:v>
                </c:pt>
                <c:pt idx="2">
                  <c:v>25.096292495727539</c:v>
                </c:pt>
                <c:pt idx="3">
                  <c:v>37.644439697265625</c:v>
                </c:pt>
                <c:pt idx="4">
                  <c:v>50.192584991455078</c:v>
                </c:pt>
                <c:pt idx="5">
                  <c:v>62.740730285644531</c:v>
                </c:pt>
                <c:pt idx="6">
                  <c:v>75.28887939453125</c:v>
                </c:pt>
                <c:pt idx="7">
                  <c:v>87.837020874023438</c:v>
                </c:pt>
                <c:pt idx="8">
                  <c:v>100.38516998291016</c:v>
                </c:pt>
                <c:pt idx="9">
                  <c:v>112.93331146240234</c:v>
                </c:pt>
                <c:pt idx="10">
                  <c:v>125.48146057128906</c:v>
                </c:pt>
                <c:pt idx="11">
                  <c:v>138.02960205078125</c:v>
                </c:pt>
                <c:pt idx="12">
                  <c:v>150.5777587890625</c:v>
                </c:pt>
                <c:pt idx="13">
                  <c:v>163.12590026855469</c:v>
                </c:pt>
                <c:pt idx="14">
                  <c:v>175.67404174804688</c:v>
                </c:pt>
                <c:pt idx="15">
                  <c:v>188.22219848632813</c:v>
                </c:pt>
                <c:pt idx="16">
                  <c:v>200.77033996582031</c:v>
                </c:pt>
                <c:pt idx="17">
                  <c:v>213.3184814453125</c:v>
                </c:pt>
                <c:pt idx="18">
                  <c:v>225.86662292480469</c:v>
                </c:pt>
                <c:pt idx="19">
                  <c:v>238.41477966308594</c:v>
                </c:pt>
                <c:pt idx="20">
                  <c:v>250.96292114257813</c:v>
                </c:pt>
                <c:pt idx="21">
                  <c:v>263.51107788085938</c:v>
                </c:pt>
                <c:pt idx="22">
                  <c:v>276.0592041015625</c:v>
                </c:pt>
                <c:pt idx="23">
                  <c:v>288.60736083984375</c:v>
                </c:pt>
                <c:pt idx="24">
                  <c:v>301.155517578125</c:v>
                </c:pt>
                <c:pt idx="25">
                  <c:v>313.70364379882813</c:v>
                </c:pt>
                <c:pt idx="26">
                  <c:v>326.25180053710938</c:v>
                </c:pt>
                <c:pt idx="27">
                  <c:v>338.79995727539063</c:v>
                </c:pt>
                <c:pt idx="28">
                  <c:v>351.34808349609375</c:v>
                </c:pt>
                <c:pt idx="29">
                  <c:v>363.896240234375</c:v>
                </c:pt>
                <c:pt idx="30">
                  <c:v>376.44439697265625</c:v>
                </c:pt>
                <c:pt idx="31">
                  <c:v>388.99252319335938</c:v>
                </c:pt>
                <c:pt idx="32">
                  <c:v>401.54067993164063</c:v>
                </c:pt>
                <c:pt idx="33">
                  <c:v>414.08883666992188</c:v>
                </c:pt>
                <c:pt idx="34">
                  <c:v>426.636962890625</c:v>
                </c:pt>
                <c:pt idx="35">
                  <c:v>439.18511962890625</c:v>
                </c:pt>
                <c:pt idx="36">
                  <c:v>451.73324584960938</c:v>
                </c:pt>
                <c:pt idx="37">
                  <c:v>464.28140258789063</c:v>
                </c:pt>
                <c:pt idx="38">
                  <c:v>476.82955932617188</c:v>
                </c:pt>
                <c:pt idx="39">
                  <c:v>489.377685546875</c:v>
                </c:pt>
                <c:pt idx="40">
                  <c:v>501.92584228515625</c:v>
                </c:pt>
                <c:pt idx="41">
                  <c:v>514.4739990234375</c:v>
                </c:pt>
                <c:pt idx="42">
                  <c:v>527.02215576171875</c:v>
                </c:pt>
                <c:pt idx="43">
                  <c:v>539.5703125</c:v>
                </c:pt>
                <c:pt idx="44">
                  <c:v>552.118408203125</c:v>
                </c:pt>
                <c:pt idx="45">
                  <c:v>564.66656494140625</c:v>
                </c:pt>
                <c:pt idx="46">
                  <c:v>577.2147216796875</c:v>
                </c:pt>
                <c:pt idx="47">
                  <c:v>589.76287841796875</c:v>
                </c:pt>
                <c:pt idx="48">
                  <c:v>602.31103515625</c:v>
                </c:pt>
                <c:pt idx="49">
                  <c:v>614.859130859375</c:v>
                </c:pt>
                <c:pt idx="50">
                  <c:v>627.40728759765625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444-4E92-A43A-F86618C52CBD}"/>
            </c:ext>
          </c:extLst>
        </c:ser>
        <c:ser>
          <c:idx val="16"/>
          <c:order val="16"/>
          <c:tx>
            <c:strRef>
              <c:f>Skymaps!$D$70</c:f>
              <c:strCache>
                <c:ptCount val="1"/>
                <c:pt idx="0">
                  <c:v>16000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Skymaps!$E$70:$BC$70</c:f>
              <c:numCache>
                <c:formatCode>General</c:formatCode>
                <c:ptCount val="51"/>
                <c:pt idx="0">
                  <c:v>0</c:v>
                </c:pt>
                <c:pt idx="1">
                  <c:v>12.500030517578125</c:v>
                </c:pt>
                <c:pt idx="2">
                  <c:v>25.00006103515625</c:v>
                </c:pt>
                <c:pt idx="3">
                  <c:v>37.500091552734375</c:v>
                </c:pt>
                <c:pt idx="4">
                  <c:v>50.0001220703125</c:v>
                </c:pt>
                <c:pt idx="5">
                  <c:v>62.500148773193359</c:v>
                </c:pt>
                <c:pt idx="6">
                  <c:v>75.00018310546875</c:v>
                </c:pt>
                <c:pt idx="7">
                  <c:v>87.500213623046875</c:v>
                </c:pt>
                <c:pt idx="8">
                  <c:v>100.000244140625</c:v>
                </c:pt>
                <c:pt idx="9">
                  <c:v>112.50027465820313</c:v>
                </c:pt>
                <c:pt idx="10">
                  <c:v>125.00029754638672</c:v>
                </c:pt>
                <c:pt idx="11">
                  <c:v>137.50033569335938</c:v>
                </c:pt>
                <c:pt idx="12">
                  <c:v>150.0003662109375</c:v>
                </c:pt>
                <c:pt idx="13">
                  <c:v>162.50039672851563</c:v>
                </c:pt>
                <c:pt idx="14">
                  <c:v>175.00042724609375</c:v>
                </c:pt>
                <c:pt idx="15">
                  <c:v>187.50045776367188</c:v>
                </c:pt>
                <c:pt idx="16">
                  <c:v>200.00048828125</c:v>
                </c:pt>
                <c:pt idx="17">
                  <c:v>212.50051879882813</c:v>
                </c:pt>
                <c:pt idx="18">
                  <c:v>225.00054931640625</c:v>
                </c:pt>
                <c:pt idx="19">
                  <c:v>237.50056457519531</c:v>
                </c:pt>
                <c:pt idx="20">
                  <c:v>250.00059509277344</c:v>
                </c:pt>
                <c:pt idx="21">
                  <c:v>262.50064086914063</c:v>
                </c:pt>
                <c:pt idx="22">
                  <c:v>275.00067138671875</c:v>
                </c:pt>
                <c:pt idx="23">
                  <c:v>287.50070190429688</c:v>
                </c:pt>
                <c:pt idx="24">
                  <c:v>300.000732421875</c:v>
                </c:pt>
                <c:pt idx="25">
                  <c:v>312.50076293945313</c:v>
                </c:pt>
                <c:pt idx="26">
                  <c:v>325.00079345703125</c:v>
                </c:pt>
                <c:pt idx="27">
                  <c:v>337.50082397460938</c:v>
                </c:pt>
                <c:pt idx="28">
                  <c:v>350.0008544921875</c:v>
                </c:pt>
                <c:pt idx="29">
                  <c:v>362.50088500976563</c:v>
                </c:pt>
                <c:pt idx="30">
                  <c:v>375.00091552734375</c:v>
                </c:pt>
                <c:pt idx="31">
                  <c:v>387.50094604492188</c:v>
                </c:pt>
                <c:pt idx="32">
                  <c:v>400.0009765625</c:v>
                </c:pt>
                <c:pt idx="33">
                  <c:v>412.50100708007813</c:v>
                </c:pt>
                <c:pt idx="34">
                  <c:v>425.00103759765625</c:v>
                </c:pt>
                <c:pt idx="35">
                  <c:v>437.50106811523438</c:v>
                </c:pt>
                <c:pt idx="36">
                  <c:v>450.0010986328125</c:v>
                </c:pt>
                <c:pt idx="37">
                  <c:v>462.5010986328125</c:v>
                </c:pt>
                <c:pt idx="38">
                  <c:v>475.00112915039063</c:v>
                </c:pt>
                <c:pt idx="39">
                  <c:v>487.50115966796875</c:v>
                </c:pt>
                <c:pt idx="40">
                  <c:v>500.00119018554688</c:v>
                </c:pt>
                <c:pt idx="41">
                  <c:v>512.501220703125</c:v>
                </c:pt>
                <c:pt idx="42">
                  <c:v>525.00128173828125</c:v>
                </c:pt>
                <c:pt idx="43">
                  <c:v>537.50128173828125</c:v>
                </c:pt>
                <c:pt idx="44">
                  <c:v>550.0013427734375</c:v>
                </c:pt>
                <c:pt idx="45">
                  <c:v>562.5013427734375</c:v>
                </c:pt>
                <c:pt idx="46">
                  <c:v>575.00140380859375</c:v>
                </c:pt>
                <c:pt idx="47">
                  <c:v>587.50140380859375</c:v>
                </c:pt>
                <c:pt idx="48">
                  <c:v>600.00146484375</c:v>
                </c:pt>
                <c:pt idx="49">
                  <c:v>612.50146484375</c:v>
                </c:pt>
                <c:pt idx="50">
                  <c:v>625.00152587890625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444-4E92-A43A-F86618C52CBD}"/>
            </c:ext>
          </c:extLst>
        </c:ser>
        <c:ser>
          <c:idx val="17"/>
          <c:order val="17"/>
          <c:tx>
            <c:strRef>
              <c:f>Skymaps!$D$71</c:f>
              <c:strCache>
                <c:ptCount val="1"/>
                <c:pt idx="0">
                  <c:v>17000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Skymaps!$E$71:$BC$71</c:f>
              <c:numCache>
                <c:formatCode>General</c:formatCode>
                <c:ptCount val="51"/>
                <c:pt idx="0">
                  <c:v>0</c:v>
                </c:pt>
                <c:pt idx="1">
                  <c:v>12.45173454284668</c:v>
                </c:pt>
                <c:pt idx="2">
                  <c:v>24.903469085693359</c:v>
                </c:pt>
                <c:pt idx="3">
                  <c:v>37.355201721191406</c:v>
                </c:pt>
                <c:pt idx="4">
                  <c:v>49.806938171386719</c:v>
                </c:pt>
                <c:pt idx="5">
                  <c:v>62.258670806884766</c:v>
                </c:pt>
                <c:pt idx="6">
                  <c:v>74.710403442382813</c:v>
                </c:pt>
                <c:pt idx="7">
                  <c:v>87.162139892578125</c:v>
                </c:pt>
                <c:pt idx="8">
                  <c:v>99.613876342773438</c:v>
                </c:pt>
                <c:pt idx="9">
                  <c:v>112.06561279296875</c:v>
                </c:pt>
                <c:pt idx="10">
                  <c:v>124.51734161376953</c:v>
                </c:pt>
                <c:pt idx="11">
                  <c:v>136.96908569335938</c:v>
                </c:pt>
                <c:pt idx="12">
                  <c:v>149.42080688476563</c:v>
                </c:pt>
                <c:pt idx="13">
                  <c:v>161.87254333496094</c:v>
                </c:pt>
                <c:pt idx="14">
                  <c:v>174.32427978515625</c:v>
                </c:pt>
                <c:pt idx="15">
                  <c:v>186.77601623535156</c:v>
                </c:pt>
                <c:pt idx="16">
                  <c:v>199.22775268554688</c:v>
                </c:pt>
                <c:pt idx="17">
                  <c:v>211.67948913574219</c:v>
                </c:pt>
                <c:pt idx="18">
                  <c:v>224.1312255859375</c:v>
                </c:pt>
                <c:pt idx="19">
                  <c:v>236.58294677734375</c:v>
                </c:pt>
                <c:pt idx="20">
                  <c:v>249.03468322753906</c:v>
                </c:pt>
                <c:pt idx="21">
                  <c:v>261.48641967773438</c:v>
                </c:pt>
                <c:pt idx="22">
                  <c:v>273.93817138671875</c:v>
                </c:pt>
                <c:pt idx="23">
                  <c:v>286.389892578125</c:v>
                </c:pt>
                <c:pt idx="24">
                  <c:v>298.84161376953125</c:v>
                </c:pt>
                <c:pt idx="25">
                  <c:v>311.29336547851563</c:v>
                </c:pt>
                <c:pt idx="26">
                  <c:v>323.74508666992188</c:v>
                </c:pt>
                <c:pt idx="27">
                  <c:v>336.19683837890625</c:v>
                </c:pt>
                <c:pt idx="28">
                  <c:v>348.6485595703125</c:v>
                </c:pt>
                <c:pt idx="29">
                  <c:v>361.10031127929688</c:v>
                </c:pt>
                <c:pt idx="30">
                  <c:v>373.55203247070313</c:v>
                </c:pt>
                <c:pt idx="31">
                  <c:v>386.00375366210938</c:v>
                </c:pt>
                <c:pt idx="32">
                  <c:v>398.45550537109375</c:v>
                </c:pt>
                <c:pt idx="33">
                  <c:v>410.9072265625</c:v>
                </c:pt>
                <c:pt idx="34">
                  <c:v>423.35897827148438</c:v>
                </c:pt>
                <c:pt idx="35">
                  <c:v>435.81069946289063</c:v>
                </c:pt>
                <c:pt idx="36">
                  <c:v>448.262451171875</c:v>
                </c:pt>
                <c:pt idx="37">
                  <c:v>460.71417236328125</c:v>
                </c:pt>
                <c:pt idx="38">
                  <c:v>473.1658935546875</c:v>
                </c:pt>
                <c:pt idx="39">
                  <c:v>485.61764526367188</c:v>
                </c:pt>
                <c:pt idx="40">
                  <c:v>498.06936645507813</c:v>
                </c:pt>
                <c:pt idx="41">
                  <c:v>510.5211181640625</c:v>
                </c:pt>
                <c:pt idx="42">
                  <c:v>522.97283935546875</c:v>
                </c:pt>
                <c:pt idx="43">
                  <c:v>535.424560546875</c:v>
                </c:pt>
                <c:pt idx="44">
                  <c:v>547.8763427734375</c:v>
                </c:pt>
                <c:pt idx="45">
                  <c:v>560.32806396484375</c:v>
                </c:pt>
                <c:pt idx="46">
                  <c:v>572.77978515625</c:v>
                </c:pt>
                <c:pt idx="47">
                  <c:v>585.23150634765625</c:v>
                </c:pt>
                <c:pt idx="48">
                  <c:v>597.6832275390625</c:v>
                </c:pt>
                <c:pt idx="49">
                  <c:v>610.135009765625</c:v>
                </c:pt>
                <c:pt idx="50">
                  <c:v>622.58673095703125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444-4E92-A43A-F86618C52CBD}"/>
            </c:ext>
          </c:extLst>
        </c:ser>
        <c:ser>
          <c:idx val="18"/>
          <c:order val="18"/>
          <c:tx>
            <c:strRef>
              <c:f>Skymaps!$D$72</c:f>
              <c:strCache>
                <c:ptCount val="1"/>
                <c:pt idx="0">
                  <c:v>18000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Skymaps!$E$72:$BC$72</c:f>
              <c:numCache>
                <c:formatCode>General</c:formatCode>
                <c:ptCount val="51"/>
                <c:pt idx="0">
                  <c:v>0</c:v>
                </c:pt>
                <c:pt idx="1">
                  <c:v>12.403253555297852</c:v>
                </c:pt>
                <c:pt idx="2">
                  <c:v>24.806507110595703</c:v>
                </c:pt>
                <c:pt idx="3">
                  <c:v>37.209758758544922</c:v>
                </c:pt>
                <c:pt idx="4">
                  <c:v>49.613014221191406</c:v>
                </c:pt>
                <c:pt idx="5">
                  <c:v>62.016265869140625</c:v>
                </c:pt>
                <c:pt idx="6">
                  <c:v>74.419517517089844</c:v>
                </c:pt>
                <c:pt idx="7">
                  <c:v>86.822776794433594</c:v>
                </c:pt>
                <c:pt idx="8">
                  <c:v>99.226028442382813</c:v>
                </c:pt>
                <c:pt idx="9">
                  <c:v>111.62928009033203</c:v>
                </c:pt>
                <c:pt idx="10">
                  <c:v>124.03253173828125</c:v>
                </c:pt>
                <c:pt idx="11">
                  <c:v>136.435791015625</c:v>
                </c:pt>
                <c:pt idx="12">
                  <c:v>148.83903503417969</c:v>
                </c:pt>
                <c:pt idx="13">
                  <c:v>161.24229431152344</c:v>
                </c:pt>
                <c:pt idx="14">
                  <c:v>173.64555358886719</c:v>
                </c:pt>
                <c:pt idx="15">
                  <c:v>186.04879760742188</c:v>
                </c:pt>
                <c:pt idx="16">
                  <c:v>198.45205688476563</c:v>
                </c:pt>
                <c:pt idx="17">
                  <c:v>210.85530090332031</c:v>
                </c:pt>
                <c:pt idx="18">
                  <c:v>223.25856018066406</c:v>
                </c:pt>
                <c:pt idx="19">
                  <c:v>235.66181945800781</c:v>
                </c:pt>
                <c:pt idx="20">
                  <c:v>248.0650634765625</c:v>
                </c:pt>
                <c:pt idx="21">
                  <c:v>260.46832275390625</c:v>
                </c:pt>
                <c:pt idx="22">
                  <c:v>272.87158203125</c:v>
                </c:pt>
                <c:pt idx="23">
                  <c:v>285.27484130859375</c:v>
                </c:pt>
                <c:pt idx="24">
                  <c:v>297.67807006835938</c:v>
                </c:pt>
                <c:pt idx="25">
                  <c:v>310.08132934570313</c:v>
                </c:pt>
                <c:pt idx="26">
                  <c:v>322.48458862304688</c:v>
                </c:pt>
                <c:pt idx="27">
                  <c:v>334.88784790039063</c:v>
                </c:pt>
                <c:pt idx="28">
                  <c:v>347.29110717773438</c:v>
                </c:pt>
                <c:pt idx="29">
                  <c:v>359.6943359375</c:v>
                </c:pt>
                <c:pt idx="30">
                  <c:v>372.09759521484375</c:v>
                </c:pt>
                <c:pt idx="31">
                  <c:v>384.5008544921875</c:v>
                </c:pt>
                <c:pt idx="32">
                  <c:v>396.90411376953125</c:v>
                </c:pt>
                <c:pt idx="33">
                  <c:v>409.307373046875</c:v>
                </c:pt>
                <c:pt idx="34">
                  <c:v>421.71060180664063</c:v>
                </c:pt>
                <c:pt idx="35">
                  <c:v>434.11386108398438</c:v>
                </c:pt>
                <c:pt idx="36">
                  <c:v>446.51712036132813</c:v>
                </c:pt>
                <c:pt idx="37">
                  <c:v>458.92037963867188</c:v>
                </c:pt>
                <c:pt idx="38">
                  <c:v>471.32363891601563</c:v>
                </c:pt>
                <c:pt idx="39">
                  <c:v>483.72686767578125</c:v>
                </c:pt>
                <c:pt idx="40">
                  <c:v>496.130126953125</c:v>
                </c:pt>
                <c:pt idx="41">
                  <c:v>508.53338623046875</c:v>
                </c:pt>
                <c:pt idx="42">
                  <c:v>520.9366455078125</c:v>
                </c:pt>
                <c:pt idx="43">
                  <c:v>533.33990478515625</c:v>
                </c:pt>
                <c:pt idx="44">
                  <c:v>545.7431640625</c:v>
                </c:pt>
                <c:pt idx="45">
                  <c:v>558.14642333984375</c:v>
                </c:pt>
                <c:pt idx="46">
                  <c:v>570.5496826171875</c:v>
                </c:pt>
                <c:pt idx="47">
                  <c:v>582.952880859375</c:v>
                </c:pt>
                <c:pt idx="48">
                  <c:v>595.35614013671875</c:v>
                </c:pt>
                <c:pt idx="49">
                  <c:v>607.7593994140625</c:v>
                </c:pt>
                <c:pt idx="50">
                  <c:v>620.16265869140625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444-4E92-A43A-F86618C52CBD}"/>
            </c:ext>
          </c:extLst>
        </c:ser>
        <c:ser>
          <c:idx val="19"/>
          <c:order val="19"/>
          <c:tx>
            <c:strRef>
              <c:f>Skymaps!$D$73</c:f>
              <c:strCache>
                <c:ptCount val="1"/>
                <c:pt idx="0">
                  <c:v>19000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Skymaps!$E$73:$BC$73</c:f>
              <c:numCache>
                <c:formatCode>General</c:formatCode>
                <c:ptCount val="51"/>
                <c:pt idx="0">
                  <c:v>0</c:v>
                </c:pt>
                <c:pt idx="1">
                  <c:v>12.354588508605957</c:v>
                </c:pt>
                <c:pt idx="2">
                  <c:v>24.709177017211914</c:v>
                </c:pt>
                <c:pt idx="3">
                  <c:v>37.063766479492188</c:v>
                </c:pt>
                <c:pt idx="4">
                  <c:v>49.418354034423828</c:v>
                </c:pt>
                <c:pt idx="5">
                  <c:v>61.772941589355469</c:v>
                </c:pt>
                <c:pt idx="6">
                  <c:v>74.127532958984375</c:v>
                </c:pt>
                <c:pt idx="7">
                  <c:v>86.48211669921875</c:v>
                </c:pt>
                <c:pt idx="8">
                  <c:v>98.836708068847656</c:v>
                </c:pt>
                <c:pt idx="9">
                  <c:v>111.19129180908203</c:v>
                </c:pt>
                <c:pt idx="10">
                  <c:v>123.54588317871094</c:v>
                </c:pt>
                <c:pt idx="11">
                  <c:v>135.90046691894531</c:v>
                </c:pt>
                <c:pt idx="12">
                  <c:v>148.25506591796875</c:v>
                </c:pt>
                <c:pt idx="13">
                  <c:v>160.60964965820313</c:v>
                </c:pt>
                <c:pt idx="14">
                  <c:v>172.9642333984375</c:v>
                </c:pt>
                <c:pt idx="15">
                  <c:v>185.31881713867188</c:v>
                </c:pt>
                <c:pt idx="16">
                  <c:v>197.67341613769531</c:v>
                </c:pt>
                <c:pt idx="17">
                  <c:v>210.02799987792969</c:v>
                </c:pt>
                <c:pt idx="18">
                  <c:v>222.38258361816406</c:v>
                </c:pt>
                <c:pt idx="19">
                  <c:v>234.7371826171875</c:v>
                </c:pt>
                <c:pt idx="20">
                  <c:v>247.09176635742188</c:v>
                </c:pt>
                <c:pt idx="21">
                  <c:v>259.44635009765625</c:v>
                </c:pt>
                <c:pt idx="22">
                  <c:v>271.80093383789063</c:v>
                </c:pt>
                <c:pt idx="23">
                  <c:v>284.155517578125</c:v>
                </c:pt>
                <c:pt idx="24">
                  <c:v>296.5101318359375</c:v>
                </c:pt>
                <c:pt idx="25">
                  <c:v>308.86471557617188</c:v>
                </c:pt>
                <c:pt idx="26">
                  <c:v>321.21929931640625</c:v>
                </c:pt>
                <c:pt idx="27">
                  <c:v>333.57388305664063</c:v>
                </c:pt>
                <c:pt idx="28">
                  <c:v>345.928466796875</c:v>
                </c:pt>
                <c:pt idx="29">
                  <c:v>358.28305053710938</c:v>
                </c:pt>
                <c:pt idx="30">
                  <c:v>370.63763427734375</c:v>
                </c:pt>
                <c:pt idx="31">
                  <c:v>382.99224853515625</c:v>
                </c:pt>
                <c:pt idx="32">
                  <c:v>395.34683227539063</c:v>
                </c:pt>
                <c:pt idx="33">
                  <c:v>407.701416015625</c:v>
                </c:pt>
                <c:pt idx="34">
                  <c:v>420.05599975585938</c:v>
                </c:pt>
                <c:pt idx="35">
                  <c:v>432.41058349609375</c:v>
                </c:pt>
                <c:pt idx="36">
                  <c:v>444.76516723632813</c:v>
                </c:pt>
                <c:pt idx="37">
                  <c:v>457.11978149414063</c:v>
                </c:pt>
                <c:pt idx="38">
                  <c:v>469.474365234375</c:v>
                </c:pt>
                <c:pt idx="39">
                  <c:v>481.82894897460938</c:v>
                </c:pt>
                <c:pt idx="40">
                  <c:v>494.18353271484375</c:v>
                </c:pt>
                <c:pt idx="41">
                  <c:v>506.53811645507813</c:v>
                </c:pt>
                <c:pt idx="42">
                  <c:v>518.8927001953125</c:v>
                </c:pt>
                <c:pt idx="43">
                  <c:v>531.247314453125</c:v>
                </c:pt>
                <c:pt idx="44">
                  <c:v>543.60186767578125</c:v>
                </c:pt>
                <c:pt idx="45">
                  <c:v>555.95648193359375</c:v>
                </c:pt>
                <c:pt idx="46">
                  <c:v>568.31103515625</c:v>
                </c:pt>
                <c:pt idx="47">
                  <c:v>580.6656494140625</c:v>
                </c:pt>
                <c:pt idx="48">
                  <c:v>593.020263671875</c:v>
                </c:pt>
                <c:pt idx="49">
                  <c:v>605.37481689453125</c:v>
                </c:pt>
                <c:pt idx="50">
                  <c:v>617.72943115234375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444-4E92-A43A-F86618C52CBD}"/>
            </c:ext>
          </c:extLst>
        </c:ser>
        <c:ser>
          <c:idx val="20"/>
          <c:order val="20"/>
          <c:tx>
            <c:strRef>
              <c:f>Skymaps!$D$74</c:f>
              <c:strCache>
                <c:ptCount val="1"/>
                <c:pt idx="0">
                  <c:v>20000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Skymaps!$E$74:$BC$74</c:f>
              <c:numCache>
                <c:formatCode>General</c:formatCode>
                <c:ptCount val="51"/>
                <c:pt idx="0">
                  <c:v>0</c:v>
                </c:pt>
                <c:pt idx="1">
                  <c:v>12.305734634399414</c:v>
                </c:pt>
                <c:pt idx="2">
                  <c:v>24.611469268798828</c:v>
                </c:pt>
                <c:pt idx="3">
                  <c:v>36.917205810546875</c:v>
                </c:pt>
                <c:pt idx="4">
                  <c:v>49.222938537597656</c:v>
                </c:pt>
                <c:pt idx="5">
                  <c:v>61.528675079345703</c:v>
                </c:pt>
                <c:pt idx="6">
                  <c:v>73.83441162109375</c:v>
                </c:pt>
                <c:pt idx="7">
                  <c:v>86.140144348144531</c:v>
                </c:pt>
                <c:pt idx="8">
                  <c:v>98.445877075195313</c:v>
                </c:pt>
                <c:pt idx="9">
                  <c:v>110.75161743164063</c:v>
                </c:pt>
                <c:pt idx="10">
                  <c:v>123.05735015869141</c:v>
                </c:pt>
                <c:pt idx="11">
                  <c:v>135.36308288574219</c:v>
                </c:pt>
                <c:pt idx="12">
                  <c:v>147.6688232421875</c:v>
                </c:pt>
                <c:pt idx="13">
                  <c:v>159.97454833984375</c:v>
                </c:pt>
                <c:pt idx="14">
                  <c:v>172.28028869628906</c:v>
                </c:pt>
                <c:pt idx="15">
                  <c:v>184.58602905273438</c:v>
                </c:pt>
                <c:pt idx="16">
                  <c:v>196.89175415039063</c:v>
                </c:pt>
                <c:pt idx="17">
                  <c:v>209.19749450683594</c:v>
                </c:pt>
                <c:pt idx="18">
                  <c:v>221.50323486328125</c:v>
                </c:pt>
                <c:pt idx="19">
                  <c:v>233.8089599609375</c:v>
                </c:pt>
                <c:pt idx="20">
                  <c:v>246.11470031738281</c:v>
                </c:pt>
                <c:pt idx="21">
                  <c:v>258.42044067382813</c:v>
                </c:pt>
                <c:pt idx="22">
                  <c:v>270.72616577148438</c:v>
                </c:pt>
                <c:pt idx="23">
                  <c:v>283.03189086914063</c:v>
                </c:pt>
                <c:pt idx="24">
                  <c:v>295.337646484375</c:v>
                </c:pt>
                <c:pt idx="25">
                  <c:v>307.64337158203125</c:v>
                </c:pt>
                <c:pt idx="26">
                  <c:v>319.9490966796875</c:v>
                </c:pt>
                <c:pt idx="27">
                  <c:v>332.25485229492188</c:v>
                </c:pt>
                <c:pt idx="28">
                  <c:v>344.56057739257813</c:v>
                </c:pt>
                <c:pt idx="29">
                  <c:v>356.86630249023438</c:v>
                </c:pt>
                <c:pt idx="30">
                  <c:v>369.17205810546875</c:v>
                </c:pt>
                <c:pt idx="31">
                  <c:v>381.477783203125</c:v>
                </c:pt>
                <c:pt idx="32">
                  <c:v>393.78350830078125</c:v>
                </c:pt>
                <c:pt idx="33">
                  <c:v>406.08926391601563</c:v>
                </c:pt>
                <c:pt idx="34">
                  <c:v>418.39498901367188</c:v>
                </c:pt>
                <c:pt idx="35">
                  <c:v>430.70071411132813</c:v>
                </c:pt>
                <c:pt idx="36">
                  <c:v>443.0064697265625</c:v>
                </c:pt>
                <c:pt idx="37">
                  <c:v>455.31219482421875</c:v>
                </c:pt>
                <c:pt idx="38">
                  <c:v>467.617919921875</c:v>
                </c:pt>
                <c:pt idx="39">
                  <c:v>479.92367553710938</c:v>
                </c:pt>
                <c:pt idx="40">
                  <c:v>492.22940063476563</c:v>
                </c:pt>
                <c:pt idx="41">
                  <c:v>504.53512573242188</c:v>
                </c:pt>
                <c:pt idx="42">
                  <c:v>516.84088134765625</c:v>
                </c:pt>
                <c:pt idx="43">
                  <c:v>529.1466064453125</c:v>
                </c:pt>
                <c:pt idx="44">
                  <c:v>541.45233154296875</c:v>
                </c:pt>
                <c:pt idx="45">
                  <c:v>553.758056640625</c:v>
                </c:pt>
                <c:pt idx="46">
                  <c:v>566.06378173828125</c:v>
                </c:pt>
                <c:pt idx="47">
                  <c:v>578.36956787109375</c:v>
                </c:pt>
                <c:pt idx="48">
                  <c:v>590.67529296875</c:v>
                </c:pt>
                <c:pt idx="49">
                  <c:v>602.98101806640625</c:v>
                </c:pt>
                <c:pt idx="50">
                  <c:v>615.2867431640625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444-4E92-A43A-F86618C52CBD}"/>
            </c:ext>
          </c:extLst>
        </c:ser>
        <c:ser>
          <c:idx val="21"/>
          <c:order val="21"/>
          <c:tx>
            <c:strRef>
              <c:f>Skymaps!$D$75</c:f>
              <c:strCache>
                <c:ptCount val="1"/>
                <c:pt idx="0">
                  <c:v>21000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Skymaps!$E$75:$BC$75</c:f>
              <c:numCache>
                <c:formatCode>General</c:formatCode>
                <c:ptCount val="51"/>
                <c:pt idx="0">
                  <c:v>0</c:v>
                </c:pt>
                <c:pt idx="1">
                  <c:v>12.256691932678223</c:v>
                </c:pt>
                <c:pt idx="2">
                  <c:v>24.513383865356445</c:v>
                </c:pt>
                <c:pt idx="3">
                  <c:v>36.770076751708984</c:v>
                </c:pt>
                <c:pt idx="4">
                  <c:v>49.026767730712891</c:v>
                </c:pt>
                <c:pt idx="5">
                  <c:v>61.283458709716797</c:v>
                </c:pt>
                <c:pt idx="6">
                  <c:v>73.540153503417969</c:v>
                </c:pt>
                <c:pt idx="7">
                  <c:v>85.796844482421875</c:v>
                </c:pt>
                <c:pt idx="8">
                  <c:v>98.053535461425781</c:v>
                </c:pt>
                <c:pt idx="9">
                  <c:v>110.31022644042969</c:v>
                </c:pt>
                <c:pt idx="10">
                  <c:v>122.56691741943359</c:v>
                </c:pt>
                <c:pt idx="11">
                  <c:v>134.8236083984375</c:v>
                </c:pt>
                <c:pt idx="12">
                  <c:v>147.08030700683594</c:v>
                </c:pt>
                <c:pt idx="13">
                  <c:v>159.33699035644531</c:v>
                </c:pt>
                <c:pt idx="14">
                  <c:v>171.59368896484375</c:v>
                </c:pt>
                <c:pt idx="15">
                  <c:v>183.85037231445313</c:v>
                </c:pt>
                <c:pt idx="16">
                  <c:v>196.10707092285156</c:v>
                </c:pt>
                <c:pt idx="17">
                  <c:v>208.36375427246094</c:v>
                </c:pt>
                <c:pt idx="18">
                  <c:v>220.62045288085938</c:v>
                </c:pt>
                <c:pt idx="19">
                  <c:v>232.87713623046875</c:v>
                </c:pt>
                <c:pt idx="20">
                  <c:v>245.13383483886719</c:v>
                </c:pt>
                <c:pt idx="21">
                  <c:v>257.39053344726563</c:v>
                </c:pt>
                <c:pt idx="22">
                  <c:v>269.647216796875</c:v>
                </c:pt>
                <c:pt idx="23">
                  <c:v>281.90390014648438</c:v>
                </c:pt>
                <c:pt idx="24">
                  <c:v>294.16061401367188</c:v>
                </c:pt>
                <c:pt idx="25">
                  <c:v>306.41729736328125</c:v>
                </c:pt>
                <c:pt idx="26">
                  <c:v>318.67398071289063</c:v>
                </c:pt>
                <c:pt idx="27">
                  <c:v>330.9306640625</c:v>
                </c:pt>
                <c:pt idx="28">
                  <c:v>343.1873779296875</c:v>
                </c:pt>
                <c:pt idx="29">
                  <c:v>355.44406127929688</c:v>
                </c:pt>
                <c:pt idx="30">
                  <c:v>367.70074462890625</c:v>
                </c:pt>
                <c:pt idx="31">
                  <c:v>379.95742797851563</c:v>
                </c:pt>
                <c:pt idx="32">
                  <c:v>392.21414184570313</c:v>
                </c:pt>
                <c:pt idx="33">
                  <c:v>404.4708251953125</c:v>
                </c:pt>
                <c:pt idx="34">
                  <c:v>416.72750854492188</c:v>
                </c:pt>
                <c:pt idx="35">
                  <c:v>428.98422241210938</c:v>
                </c:pt>
                <c:pt idx="36">
                  <c:v>441.24090576171875</c:v>
                </c:pt>
                <c:pt idx="37">
                  <c:v>453.49758911132813</c:v>
                </c:pt>
                <c:pt idx="38">
                  <c:v>465.7542724609375</c:v>
                </c:pt>
                <c:pt idx="39">
                  <c:v>478.010986328125</c:v>
                </c:pt>
                <c:pt idx="40">
                  <c:v>490.26766967773438</c:v>
                </c:pt>
                <c:pt idx="41">
                  <c:v>502.52435302734375</c:v>
                </c:pt>
                <c:pt idx="42">
                  <c:v>514.78106689453125</c:v>
                </c:pt>
                <c:pt idx="43">
                  <c:v>527.0377197265625</c:v>
                </c:pt>
                <c:pt idx="44">
                  <c:v>539.29443359375</c:v>
                </c:pt>
                <c:pt idx="45">
                  <c:v>551.5511474609375</c:v>
                </c:pt>
                <c:pt idx="46">
                  <c:v>563.80780029296875</c:v>
                </c:pt>
                <c:pt idx="47">
                  <c:v>576.06451416015625</c:v>
                </c:pt>
                <c:pt idx="48">
                  <c:v>588.32122802734375</c:v>
                </c:pt>
                <c:pt idx="49">
                  <c:v>600.577880859375</c:v>
                </c:pt>
                <c:pt idx="50">
                  <c:v>612.8345947265625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444-4E92-A43A-F86618C52CBD}"/>
            </c:ext>
          </c:extLst>
        </c:ser>
        <c:ser>
          <c:idx val="22"/>
          <c:order val="22"/>
          <c:tx>
            <c:strRef>
              <c:f>Skymaps!$D$76</c:f>
              <c:strCache>
                <c:ptCount val="1"/>
                <c:pt idx="0">
                  <c:v>22000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Skymaps!$E$76:$BC$76</c:f>
              <c:numCache>
                <c:formatCode>General</c:formatCode>
                <c:ptCount val="51"/>
                <c:pt idx="0">
                  <c:v>0</c:v>
                </c:pt>
                <c:pt idx="1">
                  <c:v>12.207455635070801</c:v>
                </c:pt>
                <c:pt idx="2">
                  <c:v>24.414911270141602</c:v>
                </c:pt>
                <c:pt idx="3">
                  <c:v>36.622367858886719</c:v>
                </c:pt>
                <c:pt idx="4">
                  <c:v>48.829822540283203</c:v>
                </c:pt>
                <c:pt idx="5">
                  <c:v>61.037281036376953</c:v>
                </c:pt>
                <c:pt idx="6">
                  <c:v>73.244735717773438</c:v>
                </c:pt>
                <c:pt idx="7">
                  <c:v>85.452194213867188</c:v>
                </c:pt>
                <c:pt idx="8">
                  <c:v>97.659645080566406</c:v>
                </c:pt>
                <c:pt idx="9">
                  <c:v>109.86710357666016</c:v>
                </c:pt>
                <c:pt idx="10">
                  <c:v>122.07456207275391</c:v>
                </c:pt>
                <c:pt idx="11">
                  <c:v>134.28201293945313</c:v>
                </c:pt>
                <c:pt idx="12">
                  <c:v>146.48947143554688</c:v>
                </c:pt>
                <c:pt idx="13">
                  <c:v>158.69692993164063</c:v>
                </c:pt>
                <c:pt idx="14">
                  <c:v>170.90438842773438</c:v>
                </c:pt>
                <c:pt idx="15">
                  <c:v>183.11183166503906</c:v>
                </c:pt>
                <c:pt idx="16">
                  <c:v>195.31929016113281</c:v>
                </c:pt>
                <c:pt idx="17">
                  <c:v>207.52674865722656</c:v>
                </c:pt>
                <c:pt idx="18">
                  <c:v>219.73420715332031</c:v>
                </c:pt>
                <c:pt idx="19">
                  <c:v>231.94166564941406</c:v>
                </c:pt>
                <c:pt idx="20">
                  <c:v>244.14912414550781</c:v>
                </c:pt>
                <c:pt idx="21">
                  <c:v>256.3565673828125</c:v>
                </c:pt>
                <c:pt idx="22">
                  <c:v>268.56402587890625</c:v>
                </c:pt>
                <c:pt idx="23">
                  <c:v>280.771484375</c:v>
                </c:pt>
                <c:pt idx="24">
                  <c:v>292.97894287109375</c:v>
                </c:pt>
                <c:pt idx="25">
                  <c:v>305.1864013671875</c:v>
                </c:pt>
                <c:pt idx="26">
                  <c:v>317.39385986328125</c:v>
                </c:pt>
                <c:pt idx="27">
                  <c:v>329.601318359375</c:v>
                </c:pt>
                <c:pt idx="28">
                  <c:v>341.80877685546875</c:v>
                </c:pt>
                <c:pt idx="29">
                  <c:v>354.0162353515625</c:v>
                </c:pt>
                <c:pt idx="30">
                  <c:v>366.22366333007813</c:v>
                </c:pt>
                <c:pt idx="31">
                  <c:v>378.43112182617188</c:v>
                </c:pt>
                <c:pt idx="32">
                  <c:v>390.63858032226563</c:v>
                </c:pt>
                <c:pt idx="33">
                  <c:v>402.84603881835938</c:v>
                </c:pt>
                <c:pt idx="34">
                  <c:v>415.05349731445313</c:v>
                </c:pt>
                <c:pt idx="35">
                  <c:v>427.26095581054688</c:v>
                </c:pt>
                <c:pt idx="36">
                  <c:v>439.46841430664063</c:v>
                </c:pt>
                <c:pt idx="37">
                  <c:v>451.67587280273438</c:v>
                </c:pt>
                <c:pt idx="38">
                  <c:v>463.88333129882813</c:v>
                </c:pt>
                <c:pt idx="39">
                  <c:v>476.09078979492188</c:v>
                </c:pt>
                <c:pt idx="40">
                  <c:v>488.29824829101563</c:v>
                </c:pt>
                <c:pt idx="41">
                  <c:v>500.50567626953125</c:v>
                </c:pt>
                <c:pt idx="42">
                  <c:v>512.713134765625</c:v>
                </c:pt>
                <c:pt idx="43">
                  <c:v>524.92059326171875</c:v>
                </c:pt>
                <c:pt idx="44">
                  <c:v>537.1280517578125</c:v>
                </c:pt>
                <c:pt idx="45">
                  <c:v>549.33551025390625</c:v>
                </c:pt>
                <c:pt idx="46">
                  <c:v>561.54296875</c:v>
                </c:pt>
                <c:pt idx="47">
                  <c:v>573.75042724609375</c:v>
                </c:pt>
                <c:pt idx="48">
                  <c:v>585.9578857421875</c:v>
                </c:pt>
                <c:pt idx="49">
                  <c:v>598.16534423828125</c:v>
                </c:pt>
                <c:pt idx="50">
                  <c:v>610.372802734375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444-4E92-A43A-F86618C52CBD}"/>
            </c:ext>
          </c:extLst>
        </c:ser>
        <c:ser>
          <c:idx val="23"/>
          <c:order val="23"/>
          <c:tx>
            <c:strRef>
              <c:f>Skymaps!$D$77</c:f>
              <c:strCache>
                <c:ptCount val="1"/>
                <c:pt idx="0">
                  <c:v>23000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Skymaps!$E$77:$BC$77</c:f>
              <c:numCache>
                <c:formatCode>General</c:formatCode>
                <c:ptCount val="51"/>
                <c:pt idx="0">
                  <c:v>0</c:v>
                </c:pt>
                <c:pt idx="1">
                  <c:v>12.158025741577148</c:v>
                </c:pt>
                <c:pt idx="2">
                  <c:v>24.316051483154297</c:v>
                </c:pt>
                <c:pt idx="3">
                  <c:v>36.474079132080078</c:v>
                </c:pt>
                <c:pt idx="4">
                  <c:v>48.632102966308594</c:v>
                </c:pt>
                <c:pt idx="5">
                  <c:v>60.790130615234375</c:v>
                </c:pt>
                <c:pt idx="6">
                  <c:v>72.948158264160156</c:v>
                </c:pt>
                <c:pt idx="7">
                  <c:v>85.106178283691406</c:v>
                </c:pt>
                <c:pt idx="8">
                  <c:v>97.264205932617188</c:v>
                </c:pt>
                <c:pt idx="9">
                  <c:v>109.42223358154297</c:v>
                </c:pt>
                <c:pt idx="10">
                  <c:v>121.58026123046875</c:v>
                </c:pt>
                <c:pt idx="11">
                  <c:v>133.73828125</c:v>
                </c:pt>
                <c:pt idx="12">
                  <c:v>145.89631652832031</c:v>
                </c:pt>
                <c:pt idx="13">
                  <c:v>158.05433654785156</c:v>
                </c:pt>
                <c:pt idx="14">
                  <c:v>170.21235656738281</c:v>
                </c:pt>
                <c:pt idx="15">
                  <c:v>182.37039184570313</c:v>
                </c:pt>
                <c:pt idx="16">
                  <c:v>194.52841186523438</c:v>
                </c:pt>
                <c:pt idx="17">
                  <c:v>206.68644714355469</c:v>
                </c:pt>
                <c:pt idx="18">
                  <c:v>218.84446716308594</c:v>
                </c:pt>
                <c:pt idx="19">
                  <c:v>231.00248718261719</c:v>
                </c:pt>
                <c:pt idx="20">
                  <c:v>243.1605224609375</c:v>
                </c:pt>
                <c:pt idx="21">
                  <c:v>255.31854248046875</c:v>
                </c:pt>
                <c:pt idx="22">
                  <c:v>267.4765625</c:v>
                </c:pt>
                <c:pt idx="23">
                  <c:v>279.63458251953125</c:v>
                </c:pt>
                <c:pt idx="24">
                  <c:v>291.79263305664063</c:v>
                </c:pt>
                <c:pt idx="25">
                  <c:v>303.95065307617188</c:v>
                </c:pt>
                <c:pt idx="26">
                  <c:v>316.10867309570313</c:v>
                </c:pt>
                <c:pt idx="27">
                  <c:v>328.26669311523438</c:v>
                </c:pt>
                <c:pt idx="28">
                  <c:v>340.42471313476563</c:v>
                </c:pt>
                <c:pt idx="29">
                  <c:v>352.582763671875</c:v>
                </c:pt>
                <c:pt idx="30">
                  <c:v>364.74078369140625</c:v>
                </c:pt>
                <c:pt idx="31">
                  <c:v>376.8988037109375</c:v>
                </c:pt>
                <c:pt idx="32">
                  <c:v>389.05682373046875</c:v>
                </c:pt>
                <c:pt idx="33">
                  <c:v>401.21484375</c:v>
                </c:pt>
                <c:pt idx="34">
                  <c:v>413.37289428710938</c:v>
                </c:pt>
                <c:pt idx="35">
                  <c:v>425.53091430664063</c:v>
                </c:pt>
                <c:pt idx="36">
                  <c:v>437.68893432617188</c:v>
                </c:pt>
                <c:pt idx="37">
                  <c:v>449.84695434570313</c:v>
                </c:pt>
                <c:pt idx="38">
                  <c:v>462.00497436523438</c:v>
                </c:pt>
                <c:pt idx="39">
                  <c:v>474.16302490234375</c:v>
                </c:pt>
                <c:pt idx="40">
                  <c:v>486.321044921875</c:v>
                </c:pt>
                <c:pt idx="41">
                  <c:v>498.47906494140625</c:v>
                </c:pt>
                <c:pt idx="42">
                  <c:v>510.6370849609375</c:v>
                </c:pt>
                <c:pt idx="43">
                  <c:v>522.79510498046875</c:v>
                </c:pt>
                <c:pt idx="44">
                  <c:v>534.953125</c:v>
                </c:pt>
                <c:pt idx="45">
                  <c:v>547.11114501953125</c:v>
                </c:pt>
                <c:pt idx="46">
                  <c:v>559.2691650390625</c:v>
                </c:pt>
                <c:pt idx="47">
                  <c:v>571.42724609375</c:v>
                </c:pt>
                <c:pt idx="48">
                  <c:v>583.58526611328125</c:v>
                </c:pt>
                <c:pt idx="49">
                  <c:v>595.7432861328125</c:v>
                </c:pt>
                <c:pt idx="50">
                  <c:v>607.90130615234375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444-4E92-A43A-F86618C52CBD}"/>
            </c:ext>
          </c:extLst>
        </c:ser>
        <c:ser>
          <c:idx val="24"/>
          <c:order val="24"/>
          <c:tx>
            <c:strRef>
              <c:f>Skymaps!$D$78</c:f>
              <c:strCache>
                <c:ptCount val="1"/>
                <c:pt idx="0">
                  <c:v>24000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Skymaps!$E$78:$BC$78</c:f>
              <c:numCache>
                <c:formatCode>General</c:formatCode>
                <c:ptCount val="51"/>
                <c:pt idx="0">
                  <c:v>0</c:v>
                </c:pt>
                <c:pt idx="1">
                  <c:v>12.1083984375</c:v>
                </c:pt>
                <c:pt idx="2">
                  <c:v>24.216796875</c:v>
                </c:pt>
                <c:pt idx="3">
                  <c:v>36.3251953125</c:v>
                </c:pt>
                <c:pt idx="4">
                  <c:v>48.43359375</c:v>
                </c:pt>
                <c:pt idx="5">
                  <c:v>60.5419921875</c:v>
                </c:pt>
                <c:pt idx="6">
                  <c:v>72.650390625</c:v>
                </c:pt>
                <c:pt idx="7">
                  <c:v>84.7587890625</c:v>
                </c:pt>
                <c:pt idx="8">
                  <c:v>96.8671875</c:v>
                </c:pt>
                <c:pt idx="9">
                  <c:v>108.9755859375</c:v>
                </c:pt>
                <c:pt idx="10">
                  <c:v>121.083984375</c:v>
                </c:pt>
                <c:pt idx="11">
                  <c:v>133.1923828125</c:v>
                </c:pt>
                <c:pt idx="12">
                  <c:v>145.30078125</c:v>
                </c:pt>
                <c:pt idx="13">
                  <c:v>157.4091796875</c:v>
                </c:pt>
                <c:pt idx="14">
                  <c:v>169.517578125</c:v>
                </c:pt>
                <c:pt idx="15">
                  <c:v>181.6259765625</c:v>
                </c:pt>
                <c:pt idx="16">
                  <c:v>193.734375</c:v>
                </c:pt>
                <c:pt idx="17">
                  <c:v>205.8427734375</c:v>
                </c:pt>
                <c:pt idx="18">
                  <c:v>217.951171875</c:v>
                </c:pt>
                <c:pt idx="19">
                  <c:v>230.0595703125</c:v>
                </c:pt>
                <c:pt idx="20">
                  <c:v>242.16796875</c:v>
                </c:pt>
                <c:pt idx="21">
                  <c:v>254.2763671875</c:v>
                </c:pt>
                <c:pt idx="22">
                  <c:v>266.384765625</c:v>
                </c:pt>
                <c:pt idx="23">
                  <c:v>278.4931640625</c:v>
                </c:pt>
                <c:pt idx="24">
                  <c:v>290.6015625</c:v>
                </c:pt>
                <c:pt idx="25">
                  <c:v>302.7099609375</c:v>
                </c:pt>
                <c:pt idx="26">
                  <c:v>314.818359375</c:v>
                </c:pt>
                <c:pt idx="27">
                  <c:v>326.9267578125</c:v>
                </c:pt>
                <c:pt idx="28">
                  <c:v>339.03515625</c:v>
                </c:pt>
                <c:pt idx="29">
                  <c:v>351.1435546875</c:v>
                </c:pt>
                <c:pt idx="30">
                  <c:v>363.251953125</c:v>
                </c:pt>
                <c:pt idx="31">
                  <c:v>375.3603515625</c:v>
                </c:pt>
                <c:pt idx="32">
                  <c:v>387.46875</c:v>
                </c:pt>
                <c:pt idx="33">
                  <c:v>399.5771484375</c:v>
                </c:pt>
                <c:pt idx="34">
                  <c:v>411.685546875</c:v>
                </c:pt>
                <c:pt idx="35">
                  <c:v>423.7939453125</c:v>
                </c:pt>
                <c:pt idx="36">
                  <c:v>435.90234375</c:v>
                </c:pt>
                <c:pt idx="37">
                  <c:v>448.0107421875</c:v>
                </c:pt>
                <c:pt idx="38">
                  <c:v>460.119140625</c:v>
                </c:pt>
                <c:pt idx="39">
                  <c:v>472.2275390625</c:v>
                </c:pt>
                <c:pt idx="40">
                  <c:v>484.3359375</c:v>
                </c:pt>
                <c:pt idx="41">
                  <c:v>496.4443359375</c:v>
                </c:pt>
                <c:pt idx="42">
                  <c:v>508.552734375</c:v>
                </c:pt>
                <c:pt idx="43">
                  <c:v>520.6611328125</c:v>
                </c:pt>
                <c:pt idx="44">
                  <c:v>532.76953125</c:v>
                </c:pt>
                <c:pt idx="45">
                  <c:v>544.8779296875</c:v>
                </c:pt>
                <c:pt idx="46">
                  <c:v>556.986328125</c:v>
                </c:pt>
                <c:pt idx="47">
                  <c:v>569.0947265625</c:v>
                </c:pt>
                <c:pt idx="48">
                  <c:v>581.203125</c:v>
                </c:pt>
                <c:pt idx="49">
                  <c:v>593.3115234375</c:v>
                </c:pt>
                <c:pt idx="50">
                  <c:v>605.419921875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444-4E92-A43A-F86618C52CBD}"/>
            </c:ext>
          </c:extLst>
        </c:ser>
        <c:ser>
          <c:idx val="25"/>
          <c:order val="25"/>
          <c:tx>
            <c:strRef>
              <c:f>Skymaps!$D$79</c:f>
              <c:strCache>
                <c:ptCount val="1"/>
                <c:pt idx="0">
                  <c:v>25000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Skymaps!$E$79:$BC$79</c:f>
              <c:numCache>
                <c:formatCode>General</c:formatCode>
                <c:ptCount val="51"/>
                <c:pt idx="0">
                  <c:v>0</c:v>
                </c:pt>
                <c:pt idx="1">
                  <c:v>12.058570861816406</c:v>
                </c:pt>
                <c:pt idx="2">
                  <c:v>24.117141723632813</c:v>
                </c:pt>
                <c:pt idx="3">
                  <c:v>36.175712585449219</c:v>
                </c:pt>
                <c:pt idx="4">
                  <c:v>48.234283447265625</c:v>
                </c:pt>
                <c:pt idx="5">
                  <c:v>60.292858123779297</c:v>
                </c:pt>
                <c:pt idx="6">
                  <c:v>72.351425170898438</c:v>
                </c:pt>
                <c:pt idx="7">
                  <c:v>84.409996032714844</c:v>
                </c:pt>
                <c:pt idx="8">
                  <c:v>96.46856689453125</c:v>
                </c:pt>
                <c:pt idx="9">
                  <c:v>108.52714538574219</c:v>
                </c:pt>
                <c:pt idx="10">
                  <c:v>120.58571624755859</c:v>
                </c:pt>
                <c:pt idx="11">
                  <c:v>132.644287109375</c:v>
                </c:pt>
                <c:pt idx="12">
                  <c:v>144.70285034179688</c:v>
                </c:pt>
                <c:pt idx="13">
                  <c:v>156.76142883300781</c:v>
                </c:pt>
                <c:pt idx="14">
                  <c:v>168.81999206542969</c:v>
                </c:pt>
                <c:pt idx="15">
                  <c:v>180.87857055664063</c:v>
                </c:pt>
                <c:pt idx="16">
                  <c:v>192.9371337890625</c:v>
                </c:pt>
                <c:pt idx="17">
                  <c:v>204.99571228027344</c:v>
                </c:pt>
                <c:pt idx="18">
                  <c:v>217.05429077148438</c:v>
                </c:pt>
                <c:pt idx="19">
                  <c:v>229.11285400390625</c:v>
                </c:pt>
                <c:pt idx="20">
                  <c:v>241.17143249511719</c:v>
                </c:pt>
                <c:pt idx="21">
                  <c:v>253.22999572753906</c:v>
                </c:pt>
                <c:pt idx="22">
                  <c:v>265.28857421875</c:v>
                </c:pt>
                <c:pt idx="23">
                  <c:v>277.34713745117188</c:v>
                </c:pt>
                <c:pt idx="24">
                  <c:v>289.40570068359375</c:v>
                </c:pt>
                <c:pt idx="25">
                  <c:v>301.46429443359375</c:v>
                </c:pt>
                <c:pt idx="26">
                  <c:v>313.52285766601563</c:v>
                </c:pt>
                <c:pt idx="27">
                  <c:v>325.5814208984375</c:v>
                </c:pt>
                <c:pt idx="28">
                  <c:v>337.63998413085938</c:v>
                </c:pt>
                <c:pt idx="29">
                  <c:v>349.69857788085938</c:v>
                </c:pt>
                <c:pt idx="30">
                  <c:v>361.75714111328125</c:v>
                </c:pt>
                <c:pt idx="31">
                  <c:v>373.81570434570313</c:v>
                </c:pt>
                <c:pt idx="32">
                  <c:v>385.874267578125</c:v>
                </c:pt>
                <c:pt idx="33">
                  <c:v>397.932861328125</c:v>
                </c:pt>
                <c:pt idx="34">
                  <c:v>409.99142456054688</c:v>
                </c:pt>
                <c:pt idx="35">
                  <c:v>422.04998779296875</c:v>
                </c:pt>
                <c:pt idx="36">
                  <c:v>434.10858154296875</c:v>
                </c:pt>
                <c:pt idx="37">
                  <c:v>446.16714477539063</c:v>
                </c:pt>
                <c:pt idx="38">
                  <c:v>458.2257080078125</c:v>
                </c:pt>
                <c:pt idx="39">
                  <c:v>470.28427124023438</c:v>
                </c:pt>
                <c:pt idx="40">
                  <c:v>482.34286499023438</c:v>
                </c:pt>
                <c:pt idx="41">
                  <c:v>494.40142822265625</c:v>
                </c:pt>
                <c:pt idx="42">
                  <c:v>506.45999145507813</c:v>
                </c:pt>
                <c:pt idx="43">
                  <c:v>518.5185546875</c:v>
                </c:pt>
                <c:pt idx="44">
                  <c:v>530.5771484375</c:v>
                </c:pt>
                <c:pt idx="45">
                  <c:v>542.63568115234375</c:v>
                </c:pt>
                <c:pt idx="46">
                  <c:v>554.69427490234375</c:v>
                </c:pt>
                <c:pt idx="47">
                  <c:v>566.75286865234375</c:v>
                </c:pt>
                <c:pt idx="48">
                  <c:v>578.8114013671875</c:v>
                </c:pt>
                <c:pt idx="49">
                  <c:v>590.8699951171875</c:v>
                </c:pt>
                <c:pt idx="50">
                  <c:v>602.9285888671875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444-4E92-A43A-F86618C52CBD}"/>
            </c:ext>
          </c:extLst>
        </c:ser>
        <c:ser>
          <c:idx val="26"/>
          <c:order val="26"/>
          <c:tx>
            <c:strRef>
              <c:f>Skymaps!$D$80</c:f>
              <c:strCache>
                <c:ptCount val="1"/>
                <c:pt idx="0">
                  <c:v>26000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Skymaps!$E$80:$BC$80</c:f>
              <c:numCache>
                <c:formatCode>General</c:formatCode>
                <c:ptCount val="51"/>
                <c:pt idx="0">
                  <c:v>0</c:v>
                </c:pt>
                <c:pt idx="1">
                  <c:v>12.008542060852051</c:v>
                </c:pt>
                <c:pt idx="2">
                  <c:v>24.017084121704102</c:v>
                </c:pt>
                <c:pt idx="3">
                  <c:v>36.025627136230469</c:v>
                </c:pt>
                <c:pt idx="4">
                  <c:v>48.034168243408203</c:v>
                </c:pt>
                <c:pt idx="5">
                  <c:v>60.042713165283203</c:v>
                </c:pt>
                <c:pt idx="6">
                  <c:v>72.051254272460938</c:v>
                </c:pt>
                <c:pt idx="7">
                  <c:v>84.059799194335938</c:v>
                </c:pt>
                <c:pt idx="8">
                  <c:v>96.068336486816406</c:v>
                </c:pt>
                <c:pt idx="9">
                  <c:v>108.07688140869141</c:v>
                </c:pt>
                <c:pt idx="10">
                  <c:v>120.08542633056641</c:v>
                </c:pt>
                <c:pt idx="11">
                  <c:v>132.09396362304688</c:v>
                </c:pt>
                <c:pt idx="12">
                  <c:v>144.10250854492188</c:v>
                </c:pt>
                <c:pt idx="13">
                  <c:v>156.11105346679688</c:v>
                </c:pt>
                <c:pt idx="14">
                  <c:v>168.11959838867188</c:v>
                </c:pt>
                <c:pt idx="15">
                  <c:v>180.12812805175781</c:v>
                </c:pt>
                <c:pt idx="16">
                  <c:v>192.13667297363281</c:v>
                </c:pt>
                <c:pt idx="17">
                  <c:v>204.14521789550781</c:v>
                </c:pt>
                <c:pt idx="18">
                  <c:v>216.15376281738281</c:v>
                </c:pt>
                <c:pt idx="19">
                  <c:v>228.16230773925781</c:v>
                </c:pt>
                <c:pt idx="20">
                  <c:v>240.17085266113281</c:v>
                </c:pt>
                <c:pt idx="21">
                  <c:v>252.17938232421875</c:v>
                </c:pt>
                <c:pt idx="22">
                  <c:v>264.18792724609375</c:v>
                </c:pt>
                <c:pt idx="23">
                  <c:v>276.19647216796875</c:v>
                </c:pt>
                <c:pt idx="24">
                  <c:v>288.20501708984375</c:v>
                </c:pt>
                <c:pt idx="25">
                  <c:v>300.21356201171875</c:v>
                </c:pt>
                <c:pt idx="26">
                  <c:v>312.22210693359375</c:v>
                </c:pt>
                <c:pt idx="27">
                  <c:v>324.23065185546875</c:v>
                </c:pt>
                <c:pt idx="28">
                  <c:v>336.23919677734375</c:v>
                </c:pt>
                <c:pt idx="29">
                  <c:v>348.24774169921875</c:v>
                </c:pt>
                <c:pt idx="30">
                  <c:v>360.25625610351563</c:v>
                </c:pt>
                <c:pt idx="31">
                  <c:v>372.26480102539063</c:v>
                </c:pt>
                <c:pt idx="32">
                  <c:v>384.27334594726563</c:v>
                </c:pt>
                <c:pt idx="33">
                  <c:v>396.28189086914063</c:v>
                </c:pt>
                <c:pt idx="34">
                  <c:v>408.29043579101563</c:v>
                </c:pt>
                <c:pt idx="35">
                  <c:v>420.29898071289063</c:v>
                </c:pt>
                <c:pt idx="36">
                  <c:v>432.30752563476563</c:v>
                </c:pt>
                <c:pt idx="37">
                  <c:v>444.31607055664063</c:v>
                </c:pt>
                <c:pt idx="38">
                  <c:v>456.32461547851563</c:v>
                </c:pt>
                <c:pt idx="39">
                  <c:v>468.33316040039063</c:v>
                </c:pt>
                <c:pt idx="40">
                  <c:v>480.34170532226563</c:v>
                </c:pt>
                <c:pt idx="41">
                  <c:v>492.3502197265625</c:v>
                </c:pt>
                <c:pt idx="42">
                  <c:v>504.3587646484375</c:v>
                </c:pt>
                <c:pt idx="43">
                  <c:v>516.3673095703125</c:v>
                </c:pt>
                <c:pt idx="44">
                  <c:v>528.3758544921875</c:v>
                </c:pt>
                <c:pt idx="45">
                  <c:v>540.3843994140625</c:v>
                </c:pt>
                <c:pt idx="46">
                  <c:v>552.3929443359375</c:v>
                </c:pt>
                <c:pt idx="47">
                  <c:v>564.4014892578125</c:v>
                </c:pt>
                <c:pt idx="48">
                  <c:v>576.4100341796875</c:v>
                </c:pt>
                <c:pt idx="49">
                  <c:v>588.4185791015625</c:v>
                </c:pt>
                <c:pt idx="50">
                  <c:v>600.4271240234375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444-4E92-A43A-F86618C52CBD}"/>
            </c:ext>
          </c:extLst>
        </c:ser>
        <c:ser>
          <c:idx val="27"/>
          <c:order val="27"/>
          <c:tx>
            <c:strRef>
              <c:f>Skymaps!$D$81</c:f>
              <c:strCache>
                <c:ptCount val="1"/>
                <c:pt idx="0">
                  <c:v>27000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Skymaps!$E$81:$BC$81</c:f>
              <c:numCache>
                <c:formatCode>General</c:formatCode>
                <c:ptCount val="51"/>
                <c:pt idx="0">
                  <c:v>0</c:v>
                </c:pt>
                <c:pt idx="1">
                  <c:v>11.958309173583984</c:v>
                </c:pt>
                <c:pt idx="2">
                  <c:v>23.916618347167969</c:v>
                </c:pt>
                <c:pt idx="3">
                  <c:v>35.874927520751953</c:v>
                </c:pt>
                <c:pt idx="4">
                  <c:v>47.833236694335938</c:v>
                </c:pt>
                <c:pt idx="5">
                  <c:v>59.791545867919922</c:v>
                </c:pt>
                <c:pt idx="6">
                  <c:v>71.749855041503906</c:v>
                </c:pt>
                <c:pt idx="7">
                  <c:v>83.708160400390625</c:v>
                </c:pt>
                <c:pt idx="8">
                  <c:v>95.666473388671875</c:v>
                </c:pt>
                <c:pt idx="9">
                  <c:v>107.62477874755859</c:v>
                </c:pt>
                <c:pt idx="10">
                  <c:v>119.58309173583984</c:v>
                </c:pt>
                <c:pt idx="11">
                  <c:v>131.54139709472656</c:v>
                </c:pt>
                <c:pt idx="12">
                  <c:v>143.49971008300781</c:v>
                </c:pt>
                <c:pt idx="13">
                  <c:v>155.45802307128906</c:v>
                </c:pt>
                <c:pt idx="14">
                  <c:v>167.41632080078125</c:v>
                </c:pt>
                <c:pt idx="15">
                  <c:v>179.3746337890625</c:v>
                </c:pt>
                <c:pt idx="16">
                  <c:v>191.33294677734375</c:v>
                </c:pt>
                <c:pt idx="17">
                  <c:v>203.291259765625</c:v>
                </c:pt>
                <c:pt idx="18">
                  <c:v>215.24955749511719</c:v>
                </c:pt>
                <c:pt idx="19">
                  <c:v>227.20787048339844</c:v>
                </c:pt>
                <c:pt idx="20">
                  <c:v>239.16618347167969</c:v>
                </c:pt>
                <c:pt idx="21">
                  <c:v>251.12449645996094</c:v>
                </c:pt>
                <c:pt idx="22">
                  <c:v>263.08279418945313</c:v>
                </c:pt>
                <c:pt idx="23">
                  <c:v>275.04110717773438</c:v>
                </c:pt>
                <c:pt idx="24">
                  <c:v>286.99942016601563</c:v>
                </c:pt>
                <c:pt idx="25">
                  <c:v>298.95773315429688</c:v>
                </c:pt>
                <c:pt idx="26">
                  <c:v>310.91604614257813</c:v>
                </c:pt>
                <c:pt idx="27">
                  <c:v>322.87435913085938</c:v>
                </c:pt>
                <c:pt idx="28">
                  <c:v>334.8326416015625</c:v>
                </c:pt>
                <c:pt idx="29">
                  <c:v>346.79095458984375</c:v>
                </c:pt>
                <c:pt idx="30">
                  <c:v>358.749267578125</c:v>
                </c:pt>
                <c:pt idx="31">
                  <c:v>370.70758056640625</c:v>
                </c:pt>
                <c:pt idx="32">
                  <c:v>382.6658935546875</c:v>
                </c:pt>
                <c:pt idx="33">
                  <c:v>394.62420654296875</c:v>
                </c:pt>
                <c:pt idx="34">
                  <c:v>406.58251953125</c:v>
                </c:pt>
                <c:pt idx="35">
                  <c:v>418.54080200195313</c:v>
                </c:pt>
                <c:pt idx="36">
                  <c:v>430.49911499023438</c:v>
                </c:pt>
                <c:pt idx="37">
                  <c:v>442.45742797851563</c:v>
                </c:pt>
                <c:pt idx="38">
                  <c:v>454.41574096679688</c:v>
                </c:pt>
                <c:pt idx="39">
                  <c:v>466.37405395507813</c:v>
                </c:pt>
                <c:pt idx="40">
                  <c:v>478.33236694335938</c:v>
                </c:pt>
                <c:pt idx="41">
                  <c:v>490.29067993164063</c:v>
                </c:pt>
                <c:pt idx="42">
                  <c:v>502.24899291992188</c:v>
                </c:pt>
                <c:pt idx="43">
                  <c:v>514.207275390625</c:v>
                </c:pt>
                <c:pt idx="44">
                  <c:v>526.16558837890625</c:v>
                </c:pt>
                <c:pt idx="45">
                  <c:v>538.1239013671875</c:v>
                </c:pt>
                <c:pt idx="46">
                  <c:v>550.08221435546875</c:v>
                </c:pt>
                <c:pt idx="47">
                  <c:v>562.04052734375</c:v>
                </c:pt>
                <c:pt idx="48">
                  <c:v>573.99884033203125</c:v>
                </c:pt>
                <c:pt idx="49">
                  <c:v>585.9571533203125</c:v>
                </c:pt>
                <c:pt idx="50">
                  <c:v>597.91546630859375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444-4E92-A43A-F86618C52CBD}"/>
            </c:ext>
          </c:extLst>
        </c:ser>
        <c:ser>
          <c:idx val="28"/>
          <c:order val="28"/>
          <c:tx>
            <c:strRef>
              <c:f>Skymaps!$D$82</c:f>
              <c:strCache>
                <c:ptCount val="1"/>
                <c:pt idx="0">
                  <c:v>28000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Skymaps!$E$82:$BC$82</c:f>
              <c:numCache>
                <c:formatCode>General</c:formatCode>
                <c:ptCount val="51"/>
                <c:pt idx="0">
                  <c:v>0</c:v>
                </c:pt>
                <c:pt idx="1">
                  <c:v>11.907868385314941</c:v>
                </c:pt>
                <c:pt idx="2">
                  <c:v>23.815736770629883</c:v>
                </c:pt>
                <c:pt idx="3">
                  <c:v>35.723606109619141</c:v>
                </c:pt>
                <c:pt idx="4">
                  <c:v>47.631473541259766</c:v>
                </c:pt>
                <c:pt idx="5">
                  <c:v>59.539344787597656</c:v>
                </c:pt>
                <c:pt idx="6">
                  <c:v>71.447212219238281</c:v>
                </c:pt>
                <c:pt idx="7">
                  <c:v>83.355079650878906</c:v>
                </c:pt>
                <c:pt idx="8">
                  <c:v>95.262947082519531</c:v>
                </c:pt>
                <c:pt idx="9">
                  <c:v>107.17081451416016</c:v>
                </c:pt>
                <c:pt idx="10">
                  <c:v>119.07868957519531</c:v>
                </c:pt>
                <c:pt idx="11">
                  <c:v>130.98655700683594</c:v>
                </c:pt>
                <c:pt idx="12">
                  <c:v>142.89442443847656</c:v>
                </c:pt>
                <c:pt idx="13">
                  <c:v>154.80229187011719</c:v>
                </c:pt>
                <c:pt idx="14">
                  <c:v>166.71015930175781</c:v>
                </c:pt>
                <c:pt idx="15">
                  <c:v>178.61802673339844</c:v>
                </c:pt>
                <c:pt idx="16">
                  <c:v>190.52589416503906</c:v>
                </c:pt>
                <c:pt idx="17">
                  <c:v>202.43376159667969</c:v>
                </c:pt>
                <c:pt idx="18">
                  <c:v>214.34162902832031</c:v>
                </c:pt>
                <c:pt idx="19">
                  <c:v>226.24951171875</c:v>
                </c:pt>
                <c:pt idx="20">
                  <c:v>238.15737915039063</c:v>
                </c:pt>
                <c:pt idx="21">
                  <c:v>250.06524658203125</c:v>
                </c:pt>
                <c:pt idx="22">
                  <c:v>261.97311401367188</c:v>
                </c:pt>
                <c:pt idx="23">
                  <c:v>273.8809814453125</c:v>
                </c:pt>
                <c:pt idx="24">
                  <c:v>285.78884887695313</c:v>
                </c:pt>
                <c:pt idx="25">
                  <c:v>297.69671630859375</c:v>
                </c:pt>
                <c:pt idx="26">
                  <c:v>309.60458374023438</c:v>
                </c:pt>
                <c:pt idx="27">
                  <c:v>321.512451171875</c:v>
                </c:pt>
                <c:pt idx="28">
                  <c:v>333.42031860351563</c:v>
                </c:pt>
                <c:pt idx="29">
                  <c:v>345.32818603515625</c:v>
                </c:pt>
                <c:pt idx="30">
                  <c:v>357.23605346679688</c:v>
                </c:pt>
                <c:pt idx="31">
                  <c:v>369.1439208984375</c:v>
                </c:pt>
                <c:pt idx="32">
                  <c:v>381.05178833007813</c:v>
                </c:pt>
                <c:pt idx="33">
                  <c:v>392.95965576171875</c:v>
                </c:pt>
                <c:pt idx="34">
                  <c:v>404.86752319335938</c:v>
                </c:pt>
                <c:pt idx="35">
                  <c:v>416.775390625</c:v>
                </c:pt>
                <c:pt idx="36">
                  <c:v>428.68325805664063</c:v>
                </c:pt>
                <c:pt idx="37">
                  <c:v>440.59112548828125</c:v>
                </c:pt>
                <c:pt idx="38">
                  <c:v>452.4990234375</c:v>
                </c:pt>
                <c:pt idx="39">
                  <c:v>464.40689086914063</c:v>
                </c:pt>
                <c:pt idx="40">
                  <c:v>476.31475830078125</c:v>
                </c:pt>
                <c:pt idx="41">
                  <c:v>488.22262573242188</c:v>
                </c:pt>
                <c:pt idx="42">
                  <c:v>500.1304931640625</c:v>
                </c:pt>
                <c:pt idx="43">
                  <c:v>512.038330078125</c:v>
                </c:pt>
                <c:pt idx="44">
                  <c:v>523.94622802734375</c:v>
                </c:pt>
                <c:pt idx="45">
                  <c:v>535.85406494140625</c:v>
                </c:pt>
                <c:pt idx="46">
                  <c:v>547.761962890625</c:v>
                </c:pt>
                <c:pt idx="47">
                  <c:v>559.6697998046875</c:v>
                </c:pt>
                <c:pt idx="48">
                  <c:v>571.57769775390625</c:v>
                </c:pt>
                <c:pt idx="49">
                  <c:v>583.48553466796875</c:v>
                </c:pt>
                <c:pt idx="50">
                  <c:v>595.3934326171875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444-4E92-A43A-F86618C52CBD}"/>
            </c:ext>
          </c:extLst>
        </c:ser>
        <c:ser>
          <c:idx val="29"/>
          <c:order val="29"/>
          <c:tx>
            <c:strRef>
              <c:f>Skymaps!$D$83</c:f>
              <c:strCache>
                <c:ptCount val="1"/>
                <c:pt idx="0">
                  <c:v>29000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Skymaps!$E$83:$BC$83</c:f>
              <c:numCache>
                <c:formatCode>General</c:formatCode>
                <c:ptCount val="51"/>
                <c:pt idx="0">
                  <c:v>0</c:v>
                </c:pt>
                <c:pt idx="1">
                  <c:v>11.857218742370605</c:v>
                </c:pt>
                <c:pt idx="2">
                  <c:v>23.714437484741211</c:v>
                </c:pt>
                <c:pt idx="3">
                  <c:v>35.5716552734375</c:v>
                </c:pt>
                <c:pt idx="4">
                  <c:v>47.428874969482422</c:v>
                </c:pt>
                <c:pt idx="5">
                  <c:v>59.286094665527344</c:v>
                </c:pt>
                <c:pt idx="6">
                  <c:v>71.143310546875</c:v>
                </c:pt>
                <c:pt idx="7">
                  <c:v>83.000534057617188</c:v>
                </c:pt>
                <c:pt idx="8">
                  <c:v>94.857749938964844</c:v>
                </c:pt>
                <c:pt idx="9">
                  <c:v>106.71497344970703</c:v>
                </c:pt>
                <c:pt idx="10">
                  <c:v>118.57218933105469</c:v>
                </c:pt>
                <c:pt idx="11">
                  <c:v>130.42941284179688</c:v>
                </c:pt>
                <c:pt idx="12">
                  <c:v>142.28662109375</c:v>
                </c:pt>
                <c:pt idx="13">
                  <c:v>154.14384460449219</c:v>
                </c:pt>
                <c:pt idx="14">
                  <c:v>166.00106811523438</c:v>
                </c:pt>
                <c:pt idx="15">
                  <c:v>177.8582763671875</c:v>
                </c:pt>
                <c:pt idx="16">
                  <c:v>189.71549987792969</c:v>
                </c:pt>
                <c:pt idx="17">
                  <c:v>201.57272338867188</c:v>
                </c:pt>
                <c:pt idx="18">
                  <c:v>213.42994689941406</c:v>
                </c:pt>
                <c:pt idx="19">
                  <c:v>225.28715515136719</c:v>
                </c:pt>
                <c:pt idx="20">
                  <c:v>237.14437866210938</c:v>
                </c:pt>
                <c:pt idx="21">
                  <c:v>249.00160217285156</c:v>
                </c:pt>
                <c:pt idx="22">
                  <c:v>260.85882568359375</c:v>
                </c:pt>
                <c:pt idx="23">
                  <c:v>272.71603393554688</c:v>
                </c:pt>
                <c:pt idx="24">
                  <c:v>284.5732421875</c:v>
                </c:pt>
                <c:pt idx="25">
                  <c:v>296.43048095703125</c:v>
                </c:pt>
                <c:pt idx="26">
                  <c:v>308.28768920898438</c:v>
                </c:pt>
                <c:pt idx="27">
                  <c:v>320.1448974609375</c:v>
                </c:pt>
                <c:pt idx="28">
                  <c:v>332.00213623046875</c:v>
                </c:pt>
                <c:pt idx="29">
                  <c:v>343.85934448242188</c:v>
                </c:pt>
                <c:pt idx="30">
                  <c:v>355.716552734375</c:v>
                </c:pt>
                <c:pt idx="31">
                  <c:v>367.57379150390625</c:v>
                </c:pt>
                <c:pt idx="32">
                  <c:v>379.43099975585938</c:v>
                </c:pt>
                <c:pt idx="33">
                  <c:v>391.28823852539063</c:v>
                </c:pt>
                <c:pt idx="34">
                  <c:v>403.14544677734375</c:v>
                </c:pt>
                <c:pt idx="35">
                  <c:v>415.00265502929688</c:v>
                </c:pt>
                <c:pt idx="36">
                  <c:v>426.85989379882813</c:v>
                </c:pt>
                <c:pt idx="37">
                  <c:v>438.71710205078125</c:v>
                </c:pt>
                <c:pt idx="38">
                  <c:v>450.57431030273438</c:v>
                </c:pt>
                <c:pt idx="39">
                  <c:v>462.43154907226563</c:v>
                </c:pt>
                <c:pt idx="40">
                  <c:v>474.28875732421875</c:v>
                </c:pt>
                <c:pt idx="41">
                  <c:v>486.14596557617188</c:v>
                </c:pt>
                <c:pt idx="42">
                  <c:v>498.00320434570313</c:v>
                </c:pt>
                <c:pt idx="43">
                  <c:v>509.86041259765625</c:v>
                </c:pt>
                <c:pt idx="44">
                  <c:v>521.7176513671875</c:v>
                </c:pt>
                <c:pt idx="45">
                  <c:v>533.5748291015625</c:v>
                </c:pt>
                <c:pt idx="46">
                  <c:v>545.43206787109375</c:v>
                </c:pt>
                <c:pt idx="47">
                  <c:v>557.289306640625</c:v>
                </c:pt>
                <c:pt idx="48">
                  <c:v>569.146484375</c:v>
                </c:pt>
                <c:pt idx="49">
                  <c:v>581.00372314453125</c:v>
                </c:pt>
                <c:pt idx="50">
                  <c:v>592.8609619140625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444-4E92-A43A-F86618C52CBD}"/>
            </c:ext>
          </c:extLst>
        </c:ser>
        <c:ser>
          <c:idx val="30"/>
          <c:order val="30"/>
          <c:tx>
            <c:strRef>
              <c:f>Skymaps!$D$84</c:f>
              <c:strCache>
                <c:ptCount val="1"/>
                <c:pt idx="0">
                  <c:v>30000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Skymaps!$E$84:$BC$84</c:f>
              <c:numCache>
                <c:formatCode>General</c:formatCode>
                <c:ptCount val="51"/>
                <c:pt idx="0">
                  <c:v>0</c:v>
                </c:pt>
                <c:pt idx="1">
                  <c:v>11.806356430053711</c:v>
                </c:pt>
                <c:pt idx="2">
                  <c:v>23.612712860107422</c:v>
                </c:pt>
                <c:pt idx="3">
                  <c:v>35.4190673828125</c:v>
                </c:pt>
                <c:pt idx="4">
                  <c:v>47.225425720214844</c:v>
                </c:pt>
                <c:pt idx="5">
                  <c:v>59.031780242919922</c:v>
                </c:pt>
                <c:pt idx="6">
                  <c:v>70.838134765625</c:v>
                </c:pt>
                <c:pt idx="7">
                  <c:v>82.644493103027344</c:v>
                </c:pt>
                <c:pt idx="8">
                  <c:v>94.450851440429688</c:v>
                </c:pt>
                <c:pt idx="9">
                  <c:v>106.2572021484375</c:v>
                </c:pt>
                <c:pt idx="10">
                  <c:v>118.06356048583984</c:v>
                </c:pt>
                <c:pt idx="11">
                  <c:v>129.86991882324219</c:v>
                </c:pt>
                <c:pt idx="12">
                  <c:v>141.67626953125</c:v>
                </c:pt>
                <c:pt idx="13">
                  <c:v>153.48263549804688</c:v>
                </c:pt>
                <c:pt idx="14">
                  <c:v>165.28898620605469</c:v>
                </c:pt>
                <c:pt idx="15">
                  <c:v>177.0953369140625</c:v>
                </c:pt>
                <c:pt idx="16">
                  <c:v>188.90170288085938</c:v>
                </c:pt>
                <c:pt idx="17">
                  <c:v>200.70805358886719</c:v>
                </c:pt>
                <c:pt idx="18">
                  <c:v>212.514404296875</c:v>
                </c:pt>
                <c:pt idx="19">
                  <c:v>224.32077026367188</c:v>
                </c:pt>
                <c:pt idx="20">
                  <c:v>236.12712097167969</c:v>
                </c:pt>
                <c:pt idx="21">
                  <c:v>247.93348693847656</c:v>
                </c:pt>
                <c:pt idx="22">
                  <c:v>259.73983764648438</c:v>
                </c:pt>
                <c:pt idx="23">
                  <c:v>271.54620361328125</c:v>
                </c:pt>
                <c:pt idx="24">
                  <c:v>283.3525390625</c:v>
                </c:pt>
                <c:pt idx="25">
                  <c:v>295.15890502929688</c:v>
                </c:pt>
                <c:pt idx="26">
                  <c:v>306.96527099609375</c:v>
                </c:pt>
                <c:pt idx="27">
                  <c:v>318.7716064453125</c:v>
                </c:pt>
                <c:pt idx="28">
                  <c:v>330.57797241210938</c:v>
                </c:pt>
                <c:pt idx="29">
                  <c:v>342.38433837890625</c:v>
                </c:pt>
                <c:pt idx="30">
                  <c:v>354.190673828125</c:v>
                </c:pt>
                <c:pt idx="31">
                  <c:v>365.99703979492188</c:v>
                </c:pt>
                <c:pt idx="32">
                  <c:v>377.80340576171875</c:v>
                </c:pt>
                <c:pt idx="33">
                  <c:v>389.6097412109375</c:v>
                </c:pt>
                <c:pt idx="34">
                  <c:v>401.41610717773438</c:v>
                </c:pt>
                <c:pt idx="35">
                  <c:v>413.22247314453125</c:v>
                </c:pt>
                <c:pt idx="36">
                  <c:v>425.02880859375</c:v>
                </c:pt>
                <c:pt idx="37">
                  <c:v>436.83517456054688</c:v>
                </c:pt>
                <c:pt idx="38">
                  <c:v>448.64154052734375</c:v>
                </c:pt>
                <c:pt idx="39">
                  <c:v>460.44790649414063</c:v>
                </c:pt>
                <c:pt idx="40">
                  <c:v>472.25424194335938</c:v>
                </c:pt>
                <c:pt idx="41">
                  <c:v>484.06060791015625</c:v>
                </c:pt>
                <c:pt idx="42">
                  <c:v>495.86697387695313</c:v>
                </c:pt>
                <c:pt idx="43">
                  <c:v>507.67330932617188</c:v>
                </c:pt>
                <c:pt idx="44">
                  <c:v>519.47967529296875</c:v>
                </c:pt>
                <c:pt idx="45">
                  <c:v>531.2860107421875</c:v>
                </c:pt>
                <c:pt idx="46">
                  <c:v>543.0924072265625</c:v>
                </c:pt>
                <c:pt idx="47">
                  <c:v>554.89874267578125</c:v>
                </c:pt>
                <c:pt idx="48">
                  <c:v>566.705078125</c:v>
                </c:pt>
                <c:pt idx="49">
                  <c:v>578.511474609375</c:v>
                </c:pt>
                <c:pt idx="50">
                  <c:v>590.31781005859375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C444-4E92-A43A-F86618C52CBD}"/>
            </c:ext>
          </c:extLst>
        </c:ser>
        <c:ser>
          <c:idx val="31"/>
          <c:order val="31"/>
          <c:tx>
            <c:strRef>
              <c:f>Skymaps!$D$85</c:f>
              <c:strCache>
                <c:ptCount val="1"/>
                <c:pt idx="0">
                  <c:v>31000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Skymaps!$E$85:$BC$85</c:f>
              <c:numCache>
                <c:formatCode>General</c:formatCode>
                <c:ptCount val="51"/>
                <c:pt idx="0">
                  <c:v>0</c:v>
                </c:pt>
                <c:pt idx="1">
                  <c:v>11.755278587341309</c:v>
                </c:pt>
                <c:pt idx="2">
                  <c:v>23.510557174682617</c:v>
                </c:pt>
                <c:pt idx="3">
                  <c:v>35.265834808349609</c:v>
                </c:pt>
                <c:pt idx="4">
                  <c:v>47.021114349365234</c:v>
                </c:pt>
                <c:pt idx="5">
                  <c:v>58.776390075683594</c:v>
                </c:pt>
                <c:pt idx="6">
                  <c:v>70.531669616699219</c:v>
                </c:pt>
                <c:pt idx="7">
                  <c:v>82.286949157714844</c:v>
                </c:pt>
                <c:pt idx="8">
                  <c:v>94.042228698730469</c:v>
                </c:pt>
                <c:pt idx="9">
                  <c:v>105.79750823974609</c:v>
                </c:pt>
                <c:pt idx="10">
                  <c:v>117.55278015136719</c:v>
                </c:pt>
                <c:pt idx="11">
                  <c:v>129.30805969238281</c:v>
                </c:pt>
                <c:pt idx="12">
                  <c:v>141.06333923339844</c:v>
                </c:pt>
                <c:pt idx="13">
                  <c:v>152.81861877441406</c:v>
                </c:pt>
                <c:pt idx="14">
                  <c:v>164.57389831542969</c:v>
                </c:pt>
                <c:pt idx="15">
                  <c:v>176.32917785644531</c:v>
                </c:pt>
                <c:pt idx="16">
                  <c:v>188.08445739746094</c:v>
                </c:pt>
                <c:pt idx="17">
                  <c:v>199.83973693847656</c:v>
                </c:pt>
                <c:pt idx="18">
                  <c:v>211.59501647949219</c:v>
                </c:pt>
                <c:pt idx="19">
                  <c:v>223.35029602050781</c:v>
                </c:pt>
                <c:pt idx="20">
                  <c:v>235.10556030273438</c:v>
                </c:pt>
                <c:pt idx="21">
                  <c:v>246.86083984375</c:v>
                </c:pt>
                <c:pt idx="22">
                  <c:v>258.61611938476563</c:v>
                </c:pt>
                <c:pt idx="23">
                  <c:v>270.37139892578125</c:v>
                </c:pt>
                <c:pt idx="24">
                  <c:v>282.12667846679688</c:v>
                </c:pt>
                <c:pt idx="25">
                  <c:v>293.8819580078125</c:v>
                </c:pt>
                <c:pt idx="26">
                  <c:v>305.63723754882813</c:v>
                </c:pt>
                <c:pt idx="27">
                  <c:v>317.39251708984375</c:v>
                </c:pt>
                <c:pt idx="28">
                  <c:v>329.14779663085938</c:v>
                </c:pt>
                <c:pt idx="29">
                  <c:v>340.903076171875</c:v>
                </c:pt>
                <c:pt idx="30">
                  <c:v>352.65835571289063</c:v>
                </c:pt>
                <c:pt idx="31">
                  <c:v>364.41363525390625</c:v>
                </c:pt>
                <c:pt idx="32">
                  <c:v>376.16891479492188</c:v>
                </c:pt>
                <c:pt idx="33">
                  <c:v>387.9241943359375</c:v>
                </c:pt>
                <c:pt idx="34">
                  <c:v>399.67947387695313</c:v>
                </c:pt>
                <c:pt idx="35">
                  <c:v>411.43475341796875</c:v>
                </c:pt>
                <c:pt idx="36">
                  <c:v>423.19003295898438</c:v>
                </c:pt>
                <c:pt idx="37">
                  <c:v>434.9453125</c:v>
                </c:pt>
                <c:pt idx="38">
                  <c:v>446.70059204101563</c:v>
                </c:pt>
                <c:pt idx="39">
                  <c:v>458.45587158203125</c:v>
                </c:pt>
                <c:pt idx="40">
                  <c:v>470.21112060546875</c:v>
                </c:pt>
                <c:pt idx="41">
                  <c:v>481.96640014648438</c:v>
                </c:pt>
                <c:pt idx="42">
                  <c:v>493.7216796875</c:v>
                </c:pt>
                <c:pt idx="43">
                  <c:v>505.47695922851563</c:v>
                </c:pt>
                <c:pt idx="44">
                  <c:v>517.23223876953125</c:v>
                </c:pt>
                <c:pt idx="45">
                  <c:v>528.987548828125</c:v>
                </c:pt>
                <c:pt idx="46">
                  <c:v>540.7427978515625</c:v>
                </c:pt>
                <c:pt idx="47">
                  <c:v>552.49810791015625</c:v>
                </c:pt>
                <c:pt idx="48">
                  <c:v>564.25335693359375</c:v>
                </c:pt>
                <c:pt idx="49">
                  <c:v>576.0086669921875</c:v>
                </c:pt>
                <c:pt idx="50">
                  <c:v>587.763916015625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C444-4E92-A43A-F86618C52CBD}"/>
            </c:ext>
          </c:extLst>
        </c:ser>
        <c:ser>
          <c:idx val="32"/>
          <c:order val="32"/>
          <c:tx>
            <c:strRef>
              <c:f>Skymaps!$D$86</c:f>
              <c:strCache>
                <c:ptCount val="1"/>
                <c:pt idx="0">
                  <c:v>32000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Skymaps!$E$86:$BC$86</c:f>
              <c:numCache>
                <c:formatCode>General</c:formatCode>
                <c:ptCount val="51"/>
                <c:pt idx="0">
                  <c:v>0</c:v>
                </c:pt>
                <c:pt idx="1">
                  <c:v>11.703983306884766</c:v>
                </c:pt>
                <c:pt idx="2">
                  <c:v>23.407966613769531</c:v>
                </c:pt>
                <c:pt idx="3">
                  <c:v>35.111949920654297</c:v>
                </c:pt>
                <c:pt idx="4">
                  <c:v>46.815933227539063</c:v>
                </c:pt>
                <c:pt idx="5">
                  <c:v>58.519916534423828</c:v>
                </c:pt>
                <c:pt idx="6">
                  <c:v>70.223899841308594</c:v>
                </c:pt>
                <c:pt idx="7">
                  <c:v>81.927879333496094</c:v>
                </c:pt>
                <c:pt idx="8">
                  <c:v>93.631866455078125</c:v>
                </c:pt>
                <c:pt idx="9">
                  <c:v>105.33584594726563</c:v>
                </c:pt>
                <c:pt idx="10">
                  <c:v>117.03983306884766</c:v>
                </c:pt>
                <c:pt idx="11">
                  <c:v>128.74382019042969</c:v>
                </c:pt>
                <c:pt idx="12">
                  <c:v>140.44779968261719</c:v>
                </c:pt>
                <c:pt idx="13">
                  <c:v>152.15177917480469</c:v>
                </c:pt>
                <c:pt idx="14">
                  <c:v>163.85575866699219</c:v>
                </c:pt>
                <c:pt idx="15">
                  <c:v>175.55975341796875</c:v>
                </c:pt>
                <c:pt idx="16">
                  <c:v>187.26373291015625</c:v>
                </c:pt>
                <c:pt idx="17">
                  <c:v>198.96771240234375</c:v>
                </c:pt>
                <c:pt idx="18">
                  <c:v>210.67169189453125</c:v>
                </c:pt>
                <c:pt idx="19">
                  <c:v>222.37568664550781</c:v>
                </c:pt>
                <c:pt idx="20">
                  <c:v>234.07966613769531</c:v>
                </c:pt>
                <c:pt idx="21">
                  <c:v>245.78364562988281</c:v>
                </c:pt>
                <c:pt idx="22">
                  <c:v>257.48764038085938</c:v>
                </c:pt>
                <c:pt idx="23">
                  <c:v>269.19161987304688</c:v>
                </c:pt>
                <c:pt idx="24">
                  <c:v>280.89559936523438</c:v>
                </c:pt>
                <c:pt idx="25">
                  <c:v>292.59957885742188</c:v>
                </c:pt>
                <c:pt idx="26">
                  <c:v>304.30355834960938</c:v>
                </c:pt>
                <c:pt idx="27">
                  <c:v>316.00753784179688</c:v>
                </c:pt>
                <c:pt idx="28">
                  <c:v>327.71151733398438</c:v>
                </c:pt>
                <c:pt idx="29">
                  <c:v>339.41552734375</c:v>
                </c:pt>
                <c:pt idx="30">
                  <c:v>351.1195068359375</c:v>
                </c:pt>
                <c:pt idx="31">
                  <c:v>362.823486328125</c:v>
                </c:pt>
                <c:pt idx="32">
                  <c:v>374.5274658203125</c:v>
                </c:pt>
                <c:pt idx="33">
                  <c:v>386.2314453125</c:v>
                </c:pt>
                <c:pt idx="34">
                  <c:v>397.9354248046875</c:v>
                </c:pt>
                <c:pt idx="35">
                  <c:v>409.639404296875</c:v>
                </c:pt>
                <c:pt idx="36">
                  <c:v>421.3433837890625</c:v>
                </c:pt>
                <c:pt idx="37">
                  <c:v>433.04739379882813</c:v>
                </c:pt>
                <c:pt idx="38">
                  <c:v>444.75137329101563</c:v>
                </c:pt>
                <c:pt idx="39">
                  <c:v>456.45535278320313</c:v>
                </c:pt>
                <c:pt idx="40">
                  <c:v>468.15933227539063</c:v>
                </c:pt>
                <c:pt idx="41">
                  <c:v>479.86331176757813</c:v>
                </c:pt>
                <c:pt idx="42">
                  <c:v>491.56729125976563</c:v>
                </c:pt>
                <c:pt idx="43">
                  <c:v>503.27127075195313</c:v>
                </c:pt>
                <c:pt idx="44">
                  <c:v>514.97528076171875</c:v>
                </c:pt>
                <c:pt idx="45">
                  <c:v>526.67926025390625</c:v>
                </c:pt>
                <c:pt idx="46">
                  <c:v>538.38323974609375</c:v>
                </c:pt>
                <c:pt idx="47">
                  <c:v>550.08721923828125</c:v>
                </c:pt>
                <c:pt idx="48">
                  <c:v>561.79119873046875</c:v>
                </c:pt>
                <c:pt idx="49">
                  <c:v>573.49517822265625</c:v>
                </c:pt>
                <c:pt idx="50">
                  <c:v>585.19915771484375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C444-4E92-A43A-F86618C52CBD}"/>
            </c:ext>
          </c:extLst>
        </c:ser>
        <c:ser>
          <c:idx val="33"/>
          <c:order val="33"/>
          <c:tx>
            <c:strRef>
              <c:f>Skymaps!$D$87</c:f>
              <c:strCache>
                <c:ptCount val="1"/>
                <c:pt idx="0">
                  <c:v>33000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Skymaps!$E$87:$BC$87</c:f>
              <c:numCache>
                <c:formatCode>General</c:formatCode>
                <c:ptCount val="51"/>
                <c:pt idx="0">
                  <c:v>0</c:v>
                </c:pt>
                <c:pt idx="1">
                  <c:v>11.652466773986816</c:v>
                </c:pt>
                <c:pt idx="2">
                  <c:v>23.304933547973633</c:v>
                </c:pt>
                <c:pt idx="3">
                  <c:v>34.957401275634766</c:v>
                </c:pt>
                <c:pt idx="4">
                  <c:v>46.609867095947266</c:v>
                </c:pt>
                <c:pt idx="5">
                  <c:v>58.262332916259766</c:v>
                </c:pt>
                <c:pt idx="6">
                  <c:v>69.914802551269531</c:v>
                </c:pt>
                <c:pt idx="7">
                  <c:v>81.567268371582031</c:v>
                </c:pt>
                <c:pt idx="8">
                  <c:v>93.219734191894531</c:v>
                </c:pt>
                <c:pt idx="9">
                  <c:v>104.87220001220703</c:v>
                </c:pt>
                <c:pt idx="10">
                  <c:v>116.52466583251953</c:v>
                </c:pt>
                <c:pt idx="11">
                  <c:v>128.1771240234375</c:v>
                </c:pt>
                <c:pt idx="12">
                  <c:v>139.82960510253906</c:v>
                </c:pt>
                <c:pt idx="13">
                  <c:v>151.48207092285156</c:v>
                </c:pt>
                <c:pt idx="14">
                  <c:v>163.13453674316406</c:v>
                </c:pt>
                <c:pt idx="15">
                  <c:v>174.78700256347656</c:v>
                </c:pt>
                <c:pt idx="16">
                  <c:v>186.43946838378906</c:v>
                </c:pt>
                <c:pt idx="17">
                  <c:v>198.09193420410156</c:v>
                </c:pt>
                <c:pt idx="18">
                  <c:v>209.74440002441406</c:v>
                </c:pt>
                <c:pt idx="19">
                  <c:v>221.39686584472656</c:v>
                </c:pt>
                <c:pt idx="20">
                  <c:v>233.04933166503906</c:v>
                </c:pt>
                <c:pt idx="21">
                  <c:v>244.70179748535156</c:v>
                </c:pt>
                <c:pt idx="22">
                  <c:v>256.354248046875</c:v>
                </c:pt>
                <c:pt idx="23">
                  <c:v>268.00674438476563</c:v>
                </c:pt>
                <c:pt idx="24">
                  <c:v>279.65921020507813</c:v>
                </c:pt>
                <c:pt idx="25">
                  <c:v>291.31167602539063</c:v>
                </c:pt>
                <c:pt idx="26">
                  <c:v>302.96414184570313</c:v>
                </c:pt>
                <c:pt idx="27">
                  <c:v>314.61660766601563</c:v>
                </c:pt>
                <c:pt idx="28">
                  <c:v>326.26907348632813</c:v>
                </c:pt>
                <c:pt idx="29">
                  <c:v>337.92153930664063</c:v>
                </c:pt>
                <c:pt idx="30">
                  <c:v>349.57400512695313</c:v>
                </c:pt>
                <c:pt idx="31">
                  <c:v>361.22647094726563</c:v>
                </c:pt>
                <c:pt idx="32">
                  <c:v>372.87893676757813</c:v>
                </c:pt>
                <c:pt idx="33">
                  <c:v>384.53140258789063</c:v>
                </c:pt>
                <c:pt idx="34">
                  <c:v>396.18386840820313</c:v>
                </c:pt>
                <c:pt idx="35">
                  <c:v>407.83633422851563</c:v>
                </c:pt>
                <c:pt idx="36">
                  <c:v>419.48880004882813</c:v>
                </c:pt>
                <c:pt idx="37">
                  <c:v>431.14126586914063</c:v>
                </c:pt>
                <c:pt idx="38">
                  <c:v>442.79373168945313</c:v>
                </c:pt>
                <c:pt idx="39">
                  <c:v>454.44619750976563</c:v>
                </c:pt>
                <c:pt idx="40">
                  <c:v>466.09866333007813</c:v>
                </c:pt>
                <c:pt idx="41">
                  <c:v>477.75112915039063</c:v>
                </c:pt>
                <c:pt idx="42">
                  <c:v>489.40359497070313</c:v>
                </c:pt>
                <c:pt idx="43">
                  <c:v>501.05606079101563</c:v>
                </c:pt>
                <c:pt idx="44">
                  <c:v>512.70849609375</c:v>
                </c:pt>
                <c:pt idx="45">
                  <c:v>524.3609619140625</c:v>
                </c:pt>
                <c:pt idx="46">
                  <c:v>536.01348876953125</c:v>
                </c:pt>
                <c:pt idx="47">
                  <c:v>547.66595458984375</c:v>
                </c:pt>
                <c:pt idx="48">
                  <c:v>559.31842041015625</c:v>
                </c:pt>
                <c:pt idx="49">
                  <c:v>570.97088623046875</c:v>
                </c:pt>
                <c:pt idx="50">
                  <c:v>582.62335205078125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C444-4E92-A43A-F86618C52CBD}"/>
            </c:ext>
          </c:extLst>
        </c:ser>
        <c:ser>
          <c:idx val="34"/>
          <c:order val="34"/>
          <c:tx>
            <c:strRef>
              <c:f>Skymaps!$D$88</c:f>
              <c:strCache>
                <c:ptCount val="1"/>
                <c:pt idx="0">
                  <c:v>34000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Skymaps!$E$88:$BC$88</c:f>
              <c:numCache>
                <c:formatCode>General</c:formatCode>
                <c:ptCount val="51"/>
                <c:pt idx="0">
                  <c:v>0</c:v>
                </c:pt>
                <c:pt idx="1">
                  <c:v>11.600727081298828</c:v>
                </c:pt>
                <c:pt idx="2">
                  <c:v>23.201454162597656</c:v>
                </c:pt>
                <c:pt idx="3">
                  <c:v>34.802181243896484</c:v>
                </c:pt>
                <c:pt idx="4">
                  <c:v>46.402908325195313</c:v>
                </c:pt>
                <c:pt idx="5">
                  <c:v>58.003631591796875</c:v>
                </c:pt>
                <c:pt idx="6">
                  <c:v>69.604362487792969</c:v>
                </c:pt>
                <c:pt idx="7">
                  <c:v>81.205085754394531</c:v>
                </c:pt>
                <c:pt idx="8">
                  <c:v>92.805816650390625</c:v>
                </c:pt>
                <c:pt idx="9">
                  <c:v>104.40653991699219</c:v>
                </c:pt>
                <c:pt idx="10">
                  <c:v>116.00726318359375</c:v>
                </c:pt>
                <c:pt idx="11">
                  <c:v>127.60799407958984</c:v>
                </c:pt>
                <c:pt idx="12">
                  <c:v>139.20872497558594</c:v>
                </c:pt>
                <c:pt idx="13">
                  <c:v>150.8094482421875</c:v>
                </c:pt>
                <c:pt idx="14">
                  <c:v>162.41017150878906</c:v>
                </c:pt>
                <c:pt idx="15">
                  <c:v>174.01089477539063</c:v>
                </c:pt>
                <c:pt idx="16">
                  <c:v>185.61163330078125</c:v>
                </c:pt>
                <c:pt idx="17">
                  <c:v>197.21235656738281</c:v>
                </c:pt>
                <c:pt idx="18">
                  <c:v>208.81307983398438</c:v>
                </c:pt>
                <c:pt idx="19">
                  <c:v>220.41380310058594</c:v>
                </c:pt>
                <c:pt idx="20">
                  <c:v>232.0145263671875</c:v>
                </c:pt>
                <c:pt idx="21">
                  <c:v>243.61526489257813</c:v>
                </c:pt>
                <c:pt idx="22">
                  <c:v>255.21598815917969</c:v>
                </c:pt>
                <c:pt idx="23">
                  <c:v>266.81671142578125</c:v>
                </c:pt>
                <c:pt idx="24">
                  <c:v>278.41744995117188</c:v>
                </c:pt>
                <c:pt idx="25">
                  <c:v>290.01815795898438</c:v>
                </c:pt>
                <c:pt idx="26">
                  <c:v>301.618896484375</c:v>
                </c:pt>
                <c:pt idx="27">
                  <c:v>313.2196044921875</c:v>
                </c:pt>
                <c:pt idx="28">
                  <c:v>324.82034301757813</c:v>
                </c:pt>
                <c:pt idx="29">
                  <c:v>336.42108154296875</c:v>
                </c:pt>
                <c:pt idx="30">
                  <c:v>348.02178955078125</c:v>
                </c:pt>
                <c:pt idx="31">
                  <c:v>359.62252807617188</c:v>
                </c:pt>
                <c:pt idx="32">
                  <c:v>371.2232666015625</c:v>
                </c:pt>
                <c:pt idx="33">
                  <c:v>382.823974609375</c:v>
                </c:pt>
                <c:pt idx="34">
                  <c:v>394.42471313476563</c:v>
                </c:pt>
                <c:pt idx="35">
                  <c:v>406.02542114257813</c:v>
                </c:pt>
                <c:pt idx="36">
                  <c:v>417.62615966796875</c:v>
                </c:pt>
                <c:pt idx="37">
                  <c:v>429.22689819335938</c:v>
                </c:pt>
                <c:pt idx="38">
                  <c:v>440.82760620117188</c:v>
                </c:pt>
                <c:pt idx="39">
                  <c:v>452.4283447265625</c:v>
                </c:pt>
                <c:pt idx="40">
                  <c:v>464.029052734375</c:v>
                </c:pt>
                <c:pt idx="41">
                  <c:v>475.62979125976563</c:v>
                </c:pt>
                <c:pt idx="42">
                  <c:v>487.23052978515625</c:v>
                </c:pt>
                <c:pt idx="43">
                  <c:v>498.83123779296875</c:v>
                </c:pt>
                <c:pt idx="44">
                  <c:v>510.43197631835938</c:v>
                </c:pt>
                <c:pt idx="45">
                  <c:v>522.03271484375</c:v>
                </c:pt>
                <c:pt idx="46">
                  <c:v>533.6334228515625</c:v>
                </c:pt>
                <c:pt idx="47">
                  <c:v>545.234130859375</c:v>
                </c:pt>
                <c:pt idx="48">
                  <c:v>556.83489990234375</c:v>
                </c:pt>
                <c:pt idx="49">
                  <c:v>568.43560791015625</c:v>
                </c:pt>
                <c:pt idx="50">
                  <c:v>580.03631591796875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C444-4E92-A43A-F86618C52CBD}"/>
            </c:ext>
          </c:extLst>
        </c:ser>
        <c:ser>
          <c:idx val="35"/>
          <c:order val="35"/>
          <c:tx>
            <c:strRef>
              <c:f>Skymaps!$D$89</c:f>
              <c:strCache>
                <c:ptCount val="1"/>
                <c:pt idx="0">
                  <c:v>35000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Skymaps!$E$89:$BC$89</c:f>
              <c:numCache>
                <c:formatCode>General</c:formatCode>
                <c:ptCount val="51"/>
                <c:pt idx="0">
                  <c:v>0</c:v>
                </c:pt>
                <c:pt idx="1">
                  <c:v>11.548759460449219</c:v>
                </c:pt>
                <c:pt idx="2">
                  <c:v>23.097518920898438</c:v>
                </c:pt>
                <c:pt idx="3">
                  <c:v>34.646278381347656</c:v>
                </c:pt>
                <c:pt idx="4">
                  <c:v>46.195037841796875</c:v>
                </c:pt>
                <c:pt idx="5">
                  <c:v>57.743797302246094</c:v>
                </c:pt>
                <c:pt idx="6">
                  <c:v>69.292556762695313</c:v>
                </c:pt>
                <c:pt idx="7">
                  <c:v>80.841316223144531</c:v>
                </c:pt>
                <c:pt idx="8">
                  <c:v>92.39007568359375</c:v>
                </c:pt>
                <c:pt idx="9">
                  <c:v>103.93883514404297</c:v>
                </c:pt>
                <c:pt idx="10">
                  <c:v>115.48759460449219</c:v>
                </c:pt>
                <c:pt idx="11">
                  <c:v>127.03635406494141</c:v>
                </c:pt>
                <c:pt idx="12">
                  <c:v>138.58511352539063</c:v>
                </c:pt>
                <c:pt idx="13">
                  <c:v>150.13386535644531</c:v>
                </c:pt>
                <c:pt idx="14">
                  <c:v>161.68263244628906</c:v>
                </c:pt>
                <c:pt idx="15">
                  <c:v>173.23138427734375</c:v>
                </c:pt>
                <c:pt idx="16">
                  <c:v>184.7801513671875</c:v>
                </c:pt>
                <c:pt idx="17">
                  <c:v>196.32890319824219</c:v>
                </c:pt>
                <c:pt idx="18">
                  <c:v>207.87767028808594</c:v>
                </c:pt>
                <c:pt idx="19">
                  <c:v>219.42642211914063</c:v>
                </c:pt>
                <c:pt idx="20">
                  <c:v>230.97518920898438</c:v>
                </c:pt>
                <c:pt idx="21">
                  <c:v>242.52394104003906</c:v>
                </c:pt>
                <c:pt idx="22">
                  <c:v>254.07270812988281</c:v>
                </c:pt>
                <c:pt idx="23">
                  <c:v>265.6214599609375</c:v>
                </c:pt>
                <c:pt idx="24">
                  <c:v>277.17022705078125</c:v>
                </c:pt>
                <c:pt idx="25">
                  <c:v>288.718994140625</c:v>
                </c:pt>
                <c:pt idx="26">
                  <c:v>300.26773071289063</c:v>
                </c:pt>
                <c:pt idx="27">
                  <c:v>311.81649780273438</c:v>
                </c:pt>
                <c:pt idx="28">
                  <c:v>323.36526489257813</c:v>
                </c:pt>
                <c:pt idx="29">
                  <c:v>334.91403198242188</c:v>
                </c:pt>
                <c:pt idx="30">
                  <c:v>346.4627685546875</c:v>
                </c:pt>
                <c:pt idx="31">
                  <c:v>358.01153564453125</c:v>
                </c:pt>
                <c:pt idx="32">
                  <c:v>369.560302734375</c:v>
                </c:pt>
                <c:pt idx="33">
                  <c:v>381.10906982421875</c:v>
                </c:pt>
                <c:pt idx="34">
                  <c:v>392.65780639648438</c:v>
                </c:pt>
                <c:pt idx="35">
                  <c:v>404.20657348632813</c:v>
                </c:pt>
                <c:pt idx="36">
                  <c:v>415.75534057617188</c:v>
                </c:pt>
                <c:pt idx="37">
                  <c:v>427.30410766601563</c:v>
                </c:pt>
                <c:pt idx="38">
                  <c:v>438.85284423828125</c:v>
                </c:pt>
                <c:pt idx="39">
                  <c:v>450.401611328125</c:v>
                </c:pt>
                <c:pt idx="40">
                  <c:v>461.95037841796875</c:v>
                </c:pt>
                <c:pt idx="41">
                  <c:v>473.4991455078125</c:v>
                </c:pt>
                <c:pt idx="42">
                  <c:v>485.04788208007813</c:v>
                </c:pt>
                <c:pt idx="43">
                  <c:v>496.59664916992188</c:v>
                </c:pt>
                <c:pt idx="44">
                  <c:v>508.14541625976563</c:v>
                </c:pt>
                <c:pt idx="45">
                  <c:v>519.69415283203125</c:v>
                </c:pt>
                <c:pt idx="46">
                  <c:v>531.242919921875</c:v>
                </c:pt>
                <c:pt idx="47">
                  <c:v>542.79168701171875</c:v>
                </c:pt>
                <c:pt idx="48">
                  <c:v>554.3404541015625</c:v>
                </c:pt>
                <c:pt idx="49">
                  <c:v>565.88922119140625</c:v>
                </c:pt>
                <c:pt idx="50">
                  <c:v>577.43798828125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C444-4E92-A43A-F86618C52CBD}"/>
            </c:ext>
          </c:extLst>
        </c:ser>
        <c:ser>
          <c:idx val="36"/>
          <c:order val="36"/>
          <c:tx>
            <c:strRef>
              <c:f>Skymaps!$D$90</c:f>
              <c:strCache>
                <c:ptCount val="1"/>
                <c:pt idx="0">
                  <c:v>36000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Skymaps!$E$90:$BC$90</c:f>
              <c:numCache>
                <c:formatCode>General</c:formatCode>
                <c:ptCount val="51"/>
                <c:pt idx="0">
                  <c:v>0</c:v>
                </c:pt>
                <c:pt idx="1">
                  <c:v>11.496562004089355</c:v>
                </c:pt>
                <c:pt idx="2">
                  <c:v>22.993124008178711</c:v>
                </c:pt>
                <c:pt idx="3">
                  <c:v>34.489688873291016</c:v>
                </c:pt>
                <c:pt idx="4">
                  <c:v>45.986248016357422</c:v>
                </c:pt>
                <c:pt idx="5">
                  <c:v>57.482810974121094</c:v>
                </c:pt>
                <c:pt idx="6">
                  <c:v>68.979377746582031</c:v>
                </c:pt>
                <c:pt idx="7">
                  <c:v>80.475936889648438</c:v>
                </c:pt>
                <c:pt idx="8">
                  <c:v>91.972496032714844</c:v>
                </c:pt>
                <c:pt idx="9">
                  <c:v>103.46906280517578</c:v>
                </c:pt>
                <c:pt idx="10">
                  <c:v>114.96562194824219</c:v>
                </c:pt>
                <c:pt idx="11">
                  <c:v>126.46218872070313</c:v>
                </c:pt>
                <c:pt idx="12">
                  <c:v>137.95875549316406</c:v>
                </c:pt>
                <c:pt idx="13">
                  <c:v>149.45530700683594</c:v>
                </c:pt>
                <c:pt idx="14">
                  <c:v>160.95187377929688</c:v>
                </c:pt>
                <c:pt idx="15">
                  <c:v>172.44844055175781</c:v>
                </c:pt>
                <c:pt idx="16">
                  <c:v>183.94499206542969</c:v>
                </c:pt>
                <c:pt idx="17">
                  <c:v>195.44155883789063</c:v>
                </c:pt>
                <c:pt idx="18">
                  <c:v>206.93812561035156</c:v>
                </c:pt>
                <c:pt idx="19">
                  <c:v>218.4346923828125</c:v>
                </c:pt>
                <c:pt idx="20">
                  <c:v>229.93124389648438</c:v>
                </c:pt>
                <c:pt idx="21">
                  <c:v>241.42781066894531</c:v>
                </c:pt>
                <c:pt idx="22">
                  <c:v>252.92437744140625</c:v>
                </c:pt>
                <c:pt idx="23">
                  <c:v>264.42092895507813</c:v>
                </c:pt>
                <c:pt idx="24">
                  <c:v>275.91751098632813</c:v>
                </c:pt>
                <c:pt idx="25">
                  <c:v>287.4140625</c:v>
                </c:pt>
                <c:pt idx="26">
                  <c:v>298.91061401367188</c:v>
                </c:pt>
                <c:pt idx="27">
                  <c:v>310.40719604492188</c:v>
                </c:pt>
                <c:pt idx="28">
                  <c:v>321.90374755859375</c:v>
                </c:pt>
                <c:pt idx="29">
                  <c:v>333.40029907226563</c:v>
                </c:pt>
                <c:pt idx="30">
                  <c:v>344.89688110351563</c:v>
                </c:pt>
                <c:pt idx="31">
                  <c:v>356.3934326171875</c:v>
                </c:pt>
                <c:pt idx="32">
                  <c:v>367.88998413085938</c:v>
                </c:pt>
                <c:pt idx="33">
                  <c:v>379.38656616210938</c:v>
                </c:pt>
                <c:pt idx="34">
                  <c:v>390.88311767578125</c:v>
                </c:pt>
                <c:pt idx="35">
                  <c:v>402.37966918945313</c:v>
                </c:pt>
                <c:pt idx="36">
                  <c:v>413.87625122070313</c:v>
                </c:pt>
                <c:pt idx="37">
                  <c:v>425.372802734375</c:v>
                </c:pt>
                <c:pt idx="38">
                  <c:v>436.869384765625</c:v>
                </c:pt>
                <c:pt idx="39">
                  <c:v>448.36593627929688</c:v>
                </c:pt>
                <c:pt idx="40">
                  <c:v>459.86248779296875</c:v>
                </c:pt>
                <c:pt idx="41">
                  <c:v>471.35906982421875</c:v>
                </c:pt>
                <c:pt idx="42">
                  <c:v>482.85562133789063</c:v>
                </c:pt>
                <c:pt idx="43">
                  <c:v>494.3521728515625</c:v>
                </c:pt>
                <c:pt idx="44">
                  <c:v>505.8487548828125</c:v>
                </c:pt>
                <c:pt idx="45">
                  <c:v>517.3453369140625</c:v>
                </c:pt>
                <c:pt idx="46">
                  <c:v>528.84185791015625</c:v>
                </c:pt>
                <c:pt idx="47">
                  <c:v>540.33843994140625</c:v>
                </c:pt>
                <c:pt idx="48">
                  <c:v>551.83502197265625</c:v>
                </c:pt>
                <c:pt idx="49">
                  <c:v>563.33154296875</c:v>
                </c:pt>
                <c:pt idx="50">
                  <c:v>574.828125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444-4E92-A43A-F86618C52CBD}"/>
            </c:ext>
          </c:extLst>
        </c:ser>
        <c:ser>
          <c:idx val="37"/>
          <c:order val="37"/>
          <c:tx>
            <c:strRef>
              <c:f>Skymaps!$D$91</c:f>
              <c:strCache>
                <c:ptCount val="1"/>
                <c:pt idx="0">
                  <c:v>37000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Skymaps!$E$91:$BC$91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C444-4E92-A43A-F86618C52CBD}"/>
            </c:ext>
          </c:extLst>
        </c:ser>
        <c:ser>
          <c:idx val="38"/>
          <c:order val="38"/>
          <c:tx>
            <c:strRef>
              <c:f>Skymaps!$D$92</c:f>
              <c:strCache>
                <c:ptCount val="1"/>
                <c:pt idx="0">
                  <c:v>38000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Skymaps!$E$92:$BC$92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C444-4E92-A43A-F86618C52CBD}"/>
            </c:ext>
          </c:extLst>
        </c:ser>
        <c:ser>
          <c:idx val="39"/>
          <c:order val="39"/>
          <c:tx>
            <c:strRef>
              <c:f>Skymaps!$D$93</c:f>
              <c:strCache>
                <c:ptCount val="1"/>
                <c:pt idx="0">
                  <c:v>39000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Skymaps!$E$93:$BC$93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C444-4E92-A43A-F86618C52CBD}"/>
            </c:ext>
          </c:extLst>
        </c:ser>
        <c:ser>
          <c:idx val="40"/>
          <c:order val="40"/>
          <c:tx>
            <c:strRef>
              <c:f>Skymaps!$D$94</c:f>
              <c:strCache>
                <c:ptCount val="1"/>
                <c:pt idx="0">
                  <c:v>40000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Skymaps!$E$94:$BC$94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C444-4E92-A43A-F86618C52CBD}"/>
            </c:ext>
          </c:extLst>
        </c:ser>
        <c:ser>
          <c:idx val="41"/>
          <c:order val="41"/>
          <c:tx>
            <c:strRef>
              <c:f>Skymaps!$D$95</c:f>
              <c:strCache>
                <c:ptCount val="1"/>
                <c:pt idx="0">
                  <c:v>41000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Skymaps!$E$95:$BC$95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C444-4E92-A43A-F86618C52CBD}"/>
            </c:ext>
          </c:extLst>
        </c:ser>
        <c:ser>
          <c:idx val="42"/>
          <c:order val="42"/>
          <c:tx>
            <c:strRef>
              <c:f>Skymaps!$D$96</c:f>
              <c:strCache>
                <c:ptCount val="1"/>
                <c:pt idx="0">
                  <c:v>42000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Skymaps!$E$96:$BC$96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C444-4E92-A43A-F86618C52CBD}"/>
            </c:ext>
          </c:extLst>
        </c:ser>
        <c:ser>
          <c:idx val="43"/>
          <c:order val="43"/>
          <c:tx>
            <c:strRef>
              <c:f>Skymaps!$D$97</c:f>
              <c:strCache>
                <c:ptCount val="1"/>
                <c:pt idx="0">
                  <c:v>43000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Skymaps!$E$97:$BC$97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C444-4E92-A43A-F86618C52CBD}"/>
            </c:ext>
          </c:extLst>
        </c:ser>
        <c:ser>
          <c:idx val="44"/>
          <c:order val="44"/>
          <c:tx>
            <c:strRef>
              <c:f>Skymaps!$D$98</c:f>
              <c:strCache>
                <c:ptCount val="1"/>
                <c:pt idx="0">
                  <c:v>44000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Skymaps!$E$98:$BC$98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C444-4E92-A43A-F86618C52CBD}"/>
            </c:ext>
          </c:extLst>
        </c:ser>
        <c:ser>
          <c:idx val="45"/>
          <c:order val="45"/>
          <c:tx>
            <c:strRef>
              <c:f>Skymaps!$D$99</c:f>
              <c:strCache>
                <c:ptCount val="1"/>
                <c:pt idx="0">
                  <c:v>45000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Skymaps!$E$99:$BC$99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C444-4E92-A43A-F86618C52CBD}"/>
            </c:ext>
          </c:extLst>
        </c:ser>
        <c:ser>
          <c:idx val="46"/>
          <c:order val="46"/>
          <c:tx>
            <c:strRef>
              <c:f>Skymaps!$D$100</c:f>
              <c:strCache>
                <c:ptCount val="1"/>
                <c:pt idx="0">
                  <c:v>46000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Skymaps!$E$100:$BC$100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C444-4E92-A43A-F86618C52CBD}"/>
            </c:ext>
          </c:extLst>
        </c:ser>
        <c:ser>
          <c:idx val="47"/>
          <c:order val="47"/>
          <c:tx>
            <c:strRef>
              <c:f>Skymaps!$D$101</c:f>
              <c:strCache>
                <c:ptCount val="1"/>
                <c:pt idx="0">
                  <c:v>47000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Skymaps!$E$101:$BC$101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C444-4E92-A43A-F86618C52CBD}"/>
            </c:ext>
          </c:extLst>
        </c:ser>
        <c:ser>
          <c:idx val="48"/>
          <c:order val="48"/>
          <c:tx>
            <c:strRef>
              <c:f>Skymaps!$D$102</c:f>
              <c:strCache>
                <c:ptCount val="1"/>
                <c:pt idx="0">
                  <c:v>48000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Skymaps!$E$102:$BC$102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C444-4E92-A43A-F86618C52CBD}"/>
            </c:ext>
          </c:extLst>
        </c:ser>
        <c:ser>
          <c:idx val="49"/>
          <c:order val="49"/>
          <c:tx>
            <c:strRef>
              <c:f>Skymaps!$D$103</c:f>
              <c:strCache>
                <c:ptCount val="1"/>
                <c:pt idx="0">
                  <c:v>49000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Skymaps!$E$103:$BC$103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C444-4E92-A43A-F86618C52CBD}"/>
            </c:ext>
          </c:extLst>
        </c:ser>
        <c:ser>
          <c:idx val="50"/>
          <c:order val="50"/>
          <c:tx>
            <c:strRef>
              <c:f>Skymaps!$D$104</c:f>
              <c:strCache>
                <c:ptCount val="1"/>
                <c:pt idx="0">
                  <c:v>50000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Skymaps!$E$104:$BC$104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C444-4E92-A43A-F86618C52CBD}"/>
            </c:ext>
          </c:extLst>
        </c:ser>
        <c:bandFmts/>
        <c:axId val="457659624"/>
        <c:axId val="457668808"/>
        <c:axId val="621233168"/>
      </c:surfaceChart>
      <c:catAx>
        <c:axId val="457659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8808"/>
        <c:crosses val="autoZero"/>
        <c:auto val="1"/>
        <c:lblAlgn val="ctr"/>
        <c:lblOffset val="100"/>
        <c:noMultiLvlLbl val="0"/>
      </c:catAx>
      <c:valAx>
        <c:axId val="45766880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457659624"/>
        <c:crosses val="autoZero"/>
        <c:crossBetween val="midCat"/>
        <c:majorUnit val="50"/>
      </c:valAx>
      <c:serAx>
        <c:axId val="62123316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8808"/>
        <c:crosses val="autoZero"/>
      </c:ser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Skymaps!$D$106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Skymaps!$E$106:$BC$106</c:f>
              <c:numCache>
                <c:formatCode>General</c:formatCode>
                <c:ptCount val="51"/>
                <c:pt idx="0">
                  <c:v>0</c:v>
                </c:pt>
                <c:pt idx="1">
                  <c:v>13.217578887939453</c:v>
                </c:pt>
                <c:pt idx="2">
                  <c:v>26.435157775878906</c:v>
                </c:pt>
                <c:pt idx="3">
                  <c:v>39.652736663818359</c:v>
                </c:pt>
                <c:pt idx="4">
                  <c:v>52.870315551757813</c:v>
                </c:pt>
                <c:pt idx="5">
                  <c:v>66.087898254394531</c:v>
                </c:pt>
                <c:pt idx="6">
                  <c:v>79.305473327636719</c:v>
                </c:pt>
                <c:pt idx="7">
                  <c:v>92.523056030273438</c:v>
                </c:pt>
                <c:pt idx="8">
                  <c:v>105.74063110351563</c:v>
                </c:pt>
                <c:pt idx="9">
                  <c:v>118.95821380615234</c:v>
                </c:pt>
                <c:pt idx="10">
                  <c:v>132.17579650878906</c:v>
                </c:pt>
                <c:pt idx="11">
                  <c:v>145.39337158203125</c:v>
                </c:pt>
                <c:pt idx="12">
                  <c:v>158.61094665527344</c:v>
                </c:pt>
                <c:pt idx="13">
                  <c:v>171.82853698730469</c:v>
                </c:pt>
                <c:pt idx="14">
                  <c:v>185.04611206054688</c:v>
                </c:pt>
                <c:pt idx="15">
                  <c:v>198.26368713378906</c:v>
                </c:pt>
                <c:pt idx="16">
                  <c:v>211.48126220703125</c:v>
                </c:pt>
                <c:pt idx="17">
                  <c:v>224.6988525390625</c:v>
                </c:pt>
                <c:pt idx="18">
                  <c:v>237.91642761230469</c:v>
                </c:pt>
                <c:pt idx="19">
                  <c:v>251.13400268554688</c:v>
                </c:pt>
                <c:pt idx="20">
                  <c:v>264.35159301757813</c:v>
                </c:pt>
                <c:pt idx="21">
                  <c:v>277.56918334960938</c:v>
                </c:pt>
                <c:pt idx="22">
                  <c:v>290.7867431640625</c:v>
                </c:pt>
                <c:pt idx="23">
                  <c:v>304.00433349609375</c:v>
                </c:pt>
                <c:pt idx="24">
                  <c:v>317.22189331054688</c:v>
                </c:pt>
                <c:pt idx="25">
                  <c:v>330.43948364257813</c:v>
                </c:pt>
                <c:pt idx="26">
                  <c:v>343.65707397460938</c:v>
                </c:pt>
                <c:pt idx="27">
                  <c:v>356.8746337890625</c:v>
                </c:pt>
                <c:pt idx="28">
                  <c:v>370.09222412109375</c:v>
                </c:pt>
                <c:pt idx="29">
                  <c:v>383.309814453125</c:v>
                </c:pt>
                <c:pt idx="30">
                  <c:v>396.52737426757813</c:v>
                </c:pt>
                <c:pt idx="31">
                  <c:v>409.74496459960938</c:v>
                </c:pt>
                <c:pt idx="32">
                  <c:v>422.9625244140625</c:v>
                </c:pt>
                <c:pt idx="33">
                  <c:v>436.18014526367188</c:v>
                </c:pt>
                <c:pt idx="34">
                  <c:v>449.397705078125</c:v>
                </c:pt>
                <c:pt idx="35">
                  <c:v>462.61529541015625</c:v>
                </c:pt>
                <c:pt idx="36">
                  <c:v>475.83285522460938</c:v>
                </c:pt>
                <c:pt idx="37">
                  <c:v>489.05044555664063</c:v>
                </c:pt>
                <c:pt idx="38">
                  <c:v>502.26800537109375</c:v>
                </c:pt>
                <c:pt idx="39">
                  <c:v>515.485595703125</c:v>
                </c:pt>
                <c:pt idx="40">
                  <c:v>528.70318603515625</c:v>
                </c:pt>
                <c:pt idx="41">
                  <c:v>541.9207763671875</c:v>
                </c:pt>
                <c:pt idx="42">
                  <c:v>555.13836669921875</c:v>
                </c:pt>
                <c:pt idx="43">
                  <c:v>568.35589599609375</c:v>
                </c:pt>
                <c:pt idx="44">
                  <c:v>581.573486328125</c:v>
                </c:pt>
                <c:pt idx="45">
                  <c:v>594.79107666015625</c:v>
                </c:pt>
                <c:pt idx="46">
                  <c:v>608.0086669921875</c:v>
                </c:pt>
                <c:pt idx="47">
                  <c:v>621.22625732421875</c:v>
                </c:pt>
                <c:pt idx="48">
                  <c:v>634.44378662109375</c:v>
                </c:pt>
                <c:pt idx="49">
                  <c:v>647.661376953125</c:v>
                </c:pt>
                <c:pt idx="50">
                  <c:v>660.87896728515625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B-45A0-93F0-138DB4DE3FB4}"/>
            </c:ext>
          </c:extLst>
        </c:ser>
        <c:ser>
          <c:idx val="1"/>
          <c:order val="1"/>
          <c:tx>
            <c:strRef>
              <c:f>Skymaps!$D$107</c:f>
              <c:strCache>
                <c:ptCount val="1"/>
                <c:pt idx="0">
                  <c:v>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Skymaps!$E$107:$BC$107</c:f>
              <c:numCache>
                <c:formatCode>General</c:formatCode>
                <c:ptCount val="51"/>
                <c:pt idx="0">
                  <c:v>0</c:v>
                </c:pt>
                <c:pt idx="1">
                  <c:v>12.980101585388184</c:v>
                </c:pt>
                <c:pt idx="2">
                  <c:v>25.960203170776367</c:v>
                </c:pt>
                <c:pt idx="3">
                  <c:v>38.940303802490234</c:v>
                </c:pt>
                <c:pt idx="4">
                  <c:v>51.920406341552734</c:v>
                </c:pt>
                <c:pt idx="5">
                  <c:v>64.9005126953125</c:v>
                </c:pt>
                <c:pt idx="6">
                  <c:v>77.880607604980469</c:v>
                </c:pt>
                <c:pt idx="7">
                  <c:v>90.860710144042969</c:v>
                </c:pt>
                <c:pt idx="8">
                  <c:v>103.84081268310547</c:v>
                </c:pt>
                <c:pt idx="9">
                  <c:v>116.82091522216797</c:v>
                </c:pt>
                <c:pt idx="10">
                  <c:v>129.801025390625</c:v>
                </c:pt>
                <c:pt idx="11">
                  <c:v>142.78111267089844</c:v>
                </c:pt>
                <c:pt idx="12">
                  <c:v>155.76121520996094</c:v>
                </c:pt>
                <c:pt idx="13">
                  <c:v>168.74131774902344</c:v>
                </c:pt>
                <c:pt idx="14">
                  <c:v>181.72142028808594</c:v>
                </c:pt>
                <c:pt idx="15">
                  <c:v>194.70152282714844</c:v>
                </c:pt>
                <c:pt idx="16">
                  <c:v>207.68162536621094</c:v>
                </c:pt>
                <c:pt idx="17">
                  <c:v>220.66172790527344</c:v>
                </c:pt>
                <c:pt idx="18">
                  <c:v>233.64183044433594</c:v>
                </c:pt>
                <c:pt idx="19">
                  <c:v>246.62193298339844</c:v>
                </c:pt>
                <c:pt idx="20">
                  <c:v>259.60205078125</c:v>
                </c:pt>
                <c:pt idx="21">
                  <c:v>272.58212280273438</c:v>
                </c:pt>
                <c:pt idx="22">
                  <c:v>285.56222534179688</c:v>
                </c:pt>
                <c:pt idx="23">
                  <c:v>298.54232788085938</c:v>
                </c:pt>
                <c:pt idx="24">
                  <c:v>311.52243041992188</c:v>
                </c:pt>
                <c:pt idx="25">
                  <c:v>324.50253295898438</c:v>
                </c:pt>
                <c:pt idx="26">
                  <c:v>337.48263549804688</c:v>
                </c:pt>
                <c:pt idx="27">
                  <c:v>350.46273803710938</c:v>
                </c:pt>
                <c:pt idx="28">
                  <c:v>363.44284057617188</c:v>
                </c:pt>
                <c:pt idx="29">
                  <c:v>376.42294311523438</c:v>
                </c:pt>
                <c:pt idx="30">
                  <c:v>389.40304565429688</c:v>
                </c:pt>
                <c:pt idx="31">
                  <c:v>402.38314819335938</c:v>
                </c:pt>
                <c:pt idx="32">
                  <c:v>415.36325073242188</c:v>
                </c:pt>
                <c:pt idx="33">
                  <c:v>428.34335327148438</c:v>
                </c:pt>
                <c:pt idx="34">
                  <c:v>441.32345581054688</c:v>
                </c:pt>
                <c:pt idx="35">
                  <c:v>454.30355834960938</c:v>
                </c:pt>
                <c:pt idx="36">
                  <c:v>467.28366088867188</c:v>
                </c:pt>
                <c:pt idx="37">
                  <c:v>480.26376342773438</c:v>
                </c:pt>
                <c:pt idx="38">
                  <c:v>493.24386596679688</c:v>
                </c:pt>
                <c:pt idx="39">
                  <c:v>506.22396850585938</c:v>
                </c:pt>
                <c:pt idx="40">
                  <c:v>519.2041015625</c:v>
                </c:pt>
                <c:pt idx="41">
                  <c:v>532.1842041015625</c:v>
                </c:pt>
                <c:pt idx="42">
                  <c:v>545.16424560546875</c:v>
                </c:pt>
                <c:pt idx="43">
                  <c:v>558.14434814453125</c:v>
                </c:pt>
                <c:pt idx="44">
                  <c:v>571.12445068359375</c:v>
                </c:pt>
                <c:pt idx="45">
                  <c:v>584.1046142578125</c:v>
                </c:pt>
                <c:pt idx="46">
                  <c:v>597.08465576171875</c:v>
                </c:pt>
                <c:pt idx="47">
                  <c:v>610.06475830078125</c:v>
                </c:pt>
                <c:pt idx="48">
                  <c:v>623.04486083984375</c:v>
                </c:pt>
                <c:pt idx="49">
                  <c:v>636.02496337890625</c:v>
                </c:pt>
                <c:pt idx="50">
                  <c:v>649.00506591796875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8B-45A0-93F0-138DB4DE3FB4}"/>
            </c:ext>
          </c:extLst>
        </c:ser>
        <c:ser>
          <c:idx val="2"/>
          <c:order val="2"/>
          <c:tx>
            <c:strRef>
              <c:f>Skymaps!$D$108</c:f>
              <c:strCache>
                <c:ptCount val="1"/>
                <c:pt idx="0">
                  <c:v>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Skymaps!$E$108:$BC$108</c:f>
              <c:numCache>
                <c:formatCode>General</c:formatCode>
                <c:ptCount val="51"/>
                <c:pt idx="0">
                  <c:v>0</c:v>
                </c:pt>
                <c:pt idx="1">
                  <c:v>12.745308876037598</c:v>
                </c:pt>
                <c:pt idx="2">
                  <c:v>25.490617752075195</c:v>
                </c:pt>
                <c:pt idx="3">
                  <c:v>38.235923767089844</c:v>
                </c:pt>
                <c:pt idx="4">
                  <c:v>50.981235504150391</c:v>
                </c:pt>
                <c:pt idx="5">
                  <c:v>63.726543426513672</c:v>
                </c:pt>
                <c:pt idx="6">
                  <c:v>76.471847534179688</c:v>
                </c:pt>
                <c:pt idx="7">
                  <c:v>89.217155456542969</c:v>
                </c:pt>
                <c:pt idx="8">
                  <c:v>101.96247100830078</c:v>
                </c:pt>
                <c:pt idx="9">
                  <c:v>114.70777893066406</c:v>
                </c:pt>
                <c:pt idx="10">
                  <c:v>127.45308685302734</c:v>
                </c:pt>
                <c:pt idx="11">
                  <c:v>140.19839477539063</c:v>
                </c:pt>
                <c:pt idx="12">
                  <c:v>152.94369506835938</c:v>
                </c:pt>
                <c:pt idx="13">
                  <c:v>165.68901062011719</c:v>
                </c:pt>
                <c:pt idx="14">
                  <c:v>178.43431091308594</c:v>
                </c:pt>
                <c:pt idx="15">
                  <c:v>191.17962646484375</c:v>
                </c:pt>
                <c:pt idx="16">
                  <c:v>203.92494201660156</c:v>
                </c:pt>
                <c:pt idx="17">
                  <c:v>216.67024230957031</c:v>
                </c:pt>
                <c:pt idx="18">
                  <c:v>229.41555786132813</c:v>
                </c:pt>
                <c:pt idx="19">
                  <c:v>242.16085815429688</c:v>
                </c:pt>
                <c:pt idx="20">
                  <c:v>254.90617370605469</c:v>
                </c:pt>
                <c:pt idx="21">
                  <c:v>267.6514892578125</c:v>
                </c:pt>
                <c:pt idx="22">
                  <c:v>280.39678955078125</c:v>
                </c:pt>
                <c:pt idx="23">
                  <c:v>293.14208984375</c:v>
                </c:pt>
                <c:pt idx="24">
                  <c:v>305.88739013671875</c:v>
                </c:pt>
                <c:pt idx="25">
                  <c:v>318.63272094726563</c:v>
                </c:pt>
                <c:pt idx="26">
                  <c:v>331.37802124023438</c:v>
                </c:pt>
                <c:pt idx="27">
                  <c:v>344.12332153320313</c:v>
                </c:pt>
                <c:pt idx="28">
                  <c:v>356.86862182617188</c:v>
                </c:pt>
                <c:pt idx="29">
                  <c:v>369.61395263671875</c:v>
                </c:pt>
                <c:pt idx="30">
                  <c:v>382.3592529296875</c:v>
                </c:pt>
                <c:pt idx="31">
                  <c:v>395.10455322265625</c:v>
                </c:pt>
                <c:pt idx="32">
                  <c:v>407.84988403320313</c:v>
                </c:pt>
                <c:pt idx="33">
                  <c:v>420.59518432617188</c:v>
                </c:pt>
                <c:pt idx="34">
                  <c:v>433.34048461914063</c:v>
                </c:pt>
                <c:pt idx="35">
                  <c:v>446.08578491210938</c:v>
                </c:pt>
                <c:pt idx="36">
                  <c:v>458.83111572265625</c:v>
                </c:pt>
                <c:pt idx="37">
                  <c:v>471.576416015625</c:v>
                </c:pt>
                <c:pt idx="38">
                  <c:v>484.32171630859375</c:v>
                </c:pt>
                <c:pt idx="39">
                  <c:v>497.0670166015625</c:v>
                </c:pt>
                <c:pt idx="40">
                  <c:v>509.81234741210938</c:v>
                </c:pt>
                <c:pt idx="41">
                  <c:v>522.5576171875</c:v>
                </c:pt>
                <c:pt idx="42">
                  <c:v>535.302978515625</c:v>
                </c:pt>
                <c:pt idx="43">
                  <c:v>548.04827880859375</c:v>
                </c:pt>
                <c:pt idx="44">
                  <c:v>560.7935791015625</c:v>
                </c:pt>
                <c:pt idx="45">
                  <c:v>573.53887939453125</c:v>
                </c:pt>
                <c:pt idx="46">
                  <c:v>586.2841796875</c:v>
                </c:pt>
                <c:pt idx="47">
                  <c:v>599.02947998046875</c:v>
                </c:pt>
                <c:pt idx="48">
                  <c:v>611.7747802734375</c:v>
                </c:pt>
                <c:pt idx="49">
                  <c:v>624.5201416015625</c:v>
                </c:pt>
                <c:pt idx="50">
                  <c:v>637.26544189453125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8B-45A0-93F0-138DB4DE3FB4}"/>
            </c:ext>
          </c:extLst>
        </c:ser>
        <c:ser>
          <c:idx val="3"/>
          <c:order val="3"/>
          <c:tx>
            <c:strRef>
              <c:f>Skymaps!$D$109</c:f>
              <c:strCache>
                <c:ptCount val="1"/>
                <c:pt idx="0">
                  <c:v>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Skymaps!$E$109:$BC$109</c:f>
              <c:numCache>
                <c:formatCode>General</c:formatCode>
                <c:ptCount val="51"/>
                <c:pt idx="0">
                  <c:v>0</c:v>
                </c:pt>
                <c:pt idx="1">
                  <c:v>12.513186454772949</c:v>
                </c:pt>
                <c:pt idx="2">
                  <c:v>25.026372909545898</c:v>
                </c:pt>
                <c:pt idx="3">
                  <c:v>37.539558410644531</c:v>
                </c:pt>
                <c:pt idx="4">
                  <c:v>50.052745819091797</c:v>
                </c:pt>
                <c:pt idx="5">
                  <c:v>62.565929412841797</c:v>
                </c:pt>
                <c:pt idx="6">
                  <c:v>75.079116821289063</c:v>
                </c:pt>
                <c:pt idx="7">
                  <c:v>87.592300415039063</c:v>
                </c:pt>
                <c:pt idx="8">
                  <c:v>100.10549163818359</c:v>
                </c:pt>
                <c:pt idx="9">
                  <c:v>112.61866760253906</c:v>
                </c:pt>
                <c:pt idx="10">
                  <c:v>125.13185882568359</c:v>
                </c:pt>
                <c:pt idx="11">
                  <c:v>137.64505004882813</c:v>
                </c:pt>
                <c:pt idx="12">
                  <c:v>150.15823364257813</c:v>
                </c:pt>
                <c:pt idx="13">
                  <c:v>162.67141723632813</c:v>
                </c:pt>
                <c:pt idx="14">
                  <c:v>175.18460083007813</c:v>
                </c:pt>
                <c:pt idx="15">
                  <c:v>187.69778442382813</c:v>
                </c:pt>
                <c:pt idx="16">
                  <c:v>200.21098327636719</c:v>
                </c:pt>
                <c:pt idx="17">
                  <c:v>212.72416687011719</c:v>
                </c:pt>
                <c:pt idx="18">
                  <c:v>225.23733520507813</c:v>
                </c:pt>
                <c:pt idx="19">
                  <c:v>237.75053405761719</c:v>
                </c:pt>
                <c:pt idx="20">
                  <c:v>250.26371765136719</c:v>
                </c:pt>
                <c:pt idx="21">
                  <c:v>262.77691650390625</c:v>
                </c:pt>
                <c:pt idx="22">
                  <c:v>275.29010009765625</c:v>
                </c:pt>
                <c:pt idx="23">
                  <c:v>287.80328369140625</c:v>
                </c:pt>
                <c:pt idx="24">
                  <c:v>300.31646728515625</c:v>
                </c:pt>
                <c:pt idx="25">
                  <c:v>312.82965087890625</c:v>
                </c:pt>
                <c:pt idx="26">
                  <c:v>325.34283447265625</c:v>
                </c:pt>
                <c:pt idx="27">
                  <c:v>337.85601806640625</c:v>
                </c:pt>
                <c:pt idx="28">
                  <c:v>350.36920166015625</c:v>
                </c:pt>
                <c:pt idx="29">
                  <c:v>362.88238525390625</c:v>
                </c:pt>
                <c:pt idx="30">
                  <c:v>375.39556884765625</c:v>
                </c:pt>
                <c:pt idx="31">
                  <c:v>387.90875244140625</c:v>
                </c:pt>
                <c:pt idx="32">
                  <c:v>400.42196655273438</c:v>
                </c:pt>
                <c:pt idx="33">
                  <c:v>412.93515014648438</c:v>
                </c:pt>
                <c:pt idx="34">
                  <c:v>425.44833374023438</c:v>
                </c:pt>
                <c:pt idx="35">
                  <c:v>437.96151733398438</c:v>
                </c:pt>
                <c:pt idx="36">
                  <c:v>450.47467041015625</c:v>
                </c:pt>
                <c:pt idx="37">
                  <c:v>462.98788452148438</c:v>
                </c:pt>
                <c:pt idx="38">
                  <c:v>475.50106811523438</c:v>
                </c:pt>
                <c:pt idx="39">
                  <c:v>488.01425170898438</c:v>
                </c:pt>
                <c:pt idx="40">
                  <c:v>500.52743530273438</c:v>
                </c:pt>
                <c:pt idx="41">
                  <c:v>513.04058837890625</c:v>
                </c:pt>
                <c:pt idx="42">
                  <c:v>525.5538330078125</c:v>
                </c:pt>
                <c:pt idx="43">
                  <c:v>538.0670166015625</c:v>
                </c:pt>
                <c:pt idx="44">
                  <c:v>550.5802001953125</c:v>
                </c:pt>
                <c:pt idx="45">
                  <c:v>563.0933837890625</c:v>
                </c:pt>
                <c:pt idx="46">
                  <c:v>575.6065673828125</c:v>
                </c:pt>
                <c:pt idx="47">
                  <c:v>588.1197509765625</c:v>
                </c:pt>
                <c:pt idx="48">
                  <c:v>600.6329345703125</c:v>
                </c:pt>
                <c:pt idx="49">
                  <c:v>613.1461181640625</c:v>
                </c:pt>
                <c:pt idx="50">
                  <c:v>625.6593017578125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8B-45A0-93F0-138DB4DE3FB4}"/>
            </c:ext>
          </c:extLst>
        </c:ser>
        <c:ser>
          <c:idx val="4"/>
          <c:order val="4"/>
          <c:tx>
            <c:strRef>
              <c:f>Skymaps!$D$110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Skymaps!$E$110:$BC$110</c:f>
              <c:numCache>
                <c:formatCode>General</c:formatCode>
                <c:ptCount val="51"/>
                <c:pt idx="0">
                  <c:v>0</c:v>
                </c:pt>
                <c:pt idx="1">
                  <c:v>12.283722877502441</c:v>
                </c:pt>
                <c:pt idx="2">
                  <c:v>24.567445755004883</c:v>
                </c:pt>
                <c:pt idx="3">
                  <c:v>36.851169586181641</c:v>
                </c:pt>
                <c:pt idx="4">
                  <c:v>49.134891510009766</c:v>
                </c:pt>
                <c:pt idx="5">
                  <c:v>61.418613433837891</c:v>
                </c:pt>
                <c:pt idx="6">
                  <c:v>73.702339172363281</c:v>
                </c:pt>
                <c:pt idx="7">
                  <c:v>85.986061096191406</c:v>
                </c:pt>
                <c:pt idx="8">
                  <c:v>98.269783020019531</c:v>
                </c:pt>
                <c:pt idx="9">
                  <c:v>110.55350494384766</c:v>
                </c:pt>
                <c:pt idx="10">
                  <c:v>122.83722686767578</c:v>
                </c:pt>
                <c:pt idx="11">
                  <c:v>135.12095642089844</c:v>
                </c:pt>
                <c:pt idx="12">
                  <c:v>147.40467834472656</c:v>
                </c:pt>
                <c:pt idx="13">
                  <c:v>159.68840026855469</c:v>
                </c:pt>
                <c:pt idx="14">
                  <c:v>171.97212219238281</c:v>
                </c:pt>
                <c:pt idx="15">
                  <c:v>184.25584411621094</c:v>
                </c:pt>
                <c:pt idx="16">
                  <c:v>196.53956604003906</c:v>
                </c:pt>
                <c:pt idx="17">
                  <c:v>208.82328796386719</c:v>
                </c:pt>
                <c:pt idx="18">
                  <c:v>221.10700988769531</c:v>
                </c:pt>
                <c:pt idx="19">
                  <c:v>233.39073181152344</c:v>
                </c:pt>
                <c:pt idx="20">
                  <c:v>245.67445373535156</c:v>
                </c:pt>
                <c:pt idx="21">
                  <c:v>257.95819091796875</c:v>
                </c:pt>
                <c:pt idx="22">
                  <c:v>270.24191284179688</c:v>
                </c:pt>
                <c:pt idx="23">
                  <c:v>282.525634765625</c:v>
                </c:pt>
                <c:pt idx="24">
                  <c:v>294.80935668945313</c:v>
                </c:pt>
                <c:pt idx="25">
                  <c:v>307.09307861328125</c:v>
                </c:pt>
                <c:pt idx="26">
                  <c:v>319.37680053710938</c:v>
                </c:pt>
                <c:pt idx="27">
                  <c:v>331.6605224609375</c:v>
                </c:pt>
                <c:pt idx="28">
                  <c:v>343.94424438476563</c:v>
                </c:pt>
                <c:pt idx="29">
                  <c:v>356.22796630859375</c:v>
                </c:pt>
                <c:pt idx="30">
                  <c:v>368.51168823242188</c:v>
                </c:pt>
                <c:pt idx="31">
                  <c:v>380.79541015625</c:v>
                </c:pt>
                <c:pt idx="32">
                  <c:v>393.07913208007813</c:v>
                </c:pt>
                <c:pt idx="33">
                  <c:v>405.36285400390625</c:v>
                </c:pt>
                <c:pt idx="34">
                  <c:v>417.64657592773438</c:v>
                </c:pt>
                <c:pt idx="35">
                  <c:v>429.9302978515625</c:v>
                </c:pt>
                <c:pt idx="36">
                  <c:v>442.21401977539063</c:v>
                </c:pt>
                <c:pt idx="37">
                  <c:v>454.49774169921875</c:v>
                </c:pt>
                <c:pt idx="38">
                  <c:v>466.78146362304688</c:v>
                </c:pt>
                <c:pt idx="39">
                  <c:v>479.065185546875</c:v>
                </c:pt>
                <c:pt idx="40">
                  <c:v>491.34890747070313</c:v>
                </c:pt>
                <c:pt idx="41">
                  <c:v>503.63262939453125</c:v>
                </c:pt>
                <c:pt idx="42">
                  <c:v>515.9163818359375</c:v>
                </c:pt>
                <c:pt idx="43">
                  <c:v>528.2000732421875</c:v>
                </c:pt>
                <c:pt idx="44">
                  <c:v>540.48382568359375</c:v>
                </c:pt>
                <c:pt idx="45">
                  <c:v>552.76751708984375</c:v>
                </c:pt>
                <c:pt idx="46">
                  <c:v>565.05126953125</c:v>
                </c:pt>
                <c:pt idx="47">
                  <c:v>577.3349609375</c:v>
                </c:pt>
                <c:pt idx="48">
                  <c:v>589.61871337890625</c:v>
                </c:pt>
                <c:pt idx="49">
                  <c:v>601.90240478515625</c:v>
                </c:pt>
                <c:pt idx="50">
                  <c:v>614.1861572265625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E8B-45A0-93F0-138DB4DE3FB4}"/>
            </c:ext>
          </c:extLst>
        </c:ser>
        <c:ser>
          <c:idx val="5"/>
          <c:order val="5"/>
          <c:tx>
            <c:strRef>
              <c:f>Skymaps!$D$111</c:f>
              <c:strCache>
                <c:ptCount val="1"/>
                <c:pt idx="0">
                  <c:v>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Skymaps!$E$111:$BC$111</c:f>
              <c:numCache>
                <c:formatCode>General</c:formatCode>
                <c:ptCount val="51"/>
                <c:pt idx="0">
                  <c:v>0</c:v>
                </c:pt>
                <c:pt idx="1">
                  <c:v>12.056905746459961</c:v>
                </c:pt>
                <c:pt idx="2">
                  <c:v>24.113811492919922</c:v>
                </c:pt>
                <c:pt idx="3">
                  <c:v>36.170719146728516</c:v>
                </c:pt>
                <c:pt idx="4">
                  <c:v>48.227622985839844</c:v>
                </c:pt>
                <c:pt idx="5">
                  <c:v>60.284530639648438</c:v>
                </c:pt>
                <c:pt idx="6">
                  <c:v>72.341438293457031</c:v>
                </c:pt>
                <c:pt idx="7">
                  <c:v>84.398345947265625</c:v>
                </c:pt>
                <c:pt idx="8">
                  <c:v>96.455245971679688</c:v>
                </c:pt>
                <c:pt idx="9">
                  <c:v>108.51215362548828</c:v>
                </c:pt>
                <c:pt idx="10">
                  <c:v>120.56906127929688</c:v>
                </c:pt>
                <c:pt idx="11">
                  <c:v>132.62596130371094</c:v>
                </c:pt>
                <c:pt idx="12">
                  <c:v>144.68287658691406</c:v>
                </c:pt>
                <c:pt idx="13">
                  <c:v>156.73977661132813</c:v>
                </c:pt>
                <c:pt idx="14">
                  <c:v>168.79669189453125</c:v>
                </c:pt>
                <c:pt idx="15">
                  <c:v>180.85359191894531</c:v>
                </c:pt>
                <c:pt idx="16">
                  <c:v>192.91049194335938</c:v>
                </c:pt>
                <c:pt idx="17">
                  <c:v>204.9674072265625</c:v>
                </c:pt>
                <c:pt idx="18">
                  <c:v>217.02430725097656</c:v>
                </c:pt>
                <c:pt idx="19">
                  <c:v>229.08120727539063</c:v>
                </c:pt>
                <c:pt idx="20">
                  <c:v>241.13812255859375</c:v>
                </c:pt>
                <c:pt idx="21">
                  <c:v>253.19502258300781</c:v>
                </c:pt>
                <c:pt idx="22">
                  <c:v>265.25192260742188</c:v>
                </c:pt>
                <c:pt idx="23">
                  <c:v>277.308837890625</c:v>
                </c:pt>
                <c:pt idx="24">
                  <c:v>289.36575317382813</c:v>
                </c:pt>
                <c:pt idx="25">
                  <c:v>301.42263793945313</c:v>
                </c:pt>
                <c:pt idx="26">
                  <c:v>313.47955322265625</c:v>
                </c:pt>
                <c:pt idx="27">
                  <c:v>325.53646850585938</c:v>
                </c:pt>
                <c:pt idx="28">
                  <c:v>337.5933837890625</c:v>
                </c:pt>
                <c:pt idx="29">
                  <c:v>349.6502685546875</c:v>
                </c:pt>
                <c:pt idx="30">
                  <c:v>361.70718383789063</c:v>
                </c:pt>
                <c:pt idx="31">
                  <c:v>373.76406860351563</c:v>
                </c:pt>
                <c:pt idx="32">
                  <c:v>385.82098388671875</c:v>
                </c:pt>
                <c:pt idx="33">
                  <c:v>397.87789916992188</c:v>
                </c:pt>
                <c:pt idx="34">
                  <c:v>409.934814453125</c:v>
                </c:pt>
                <c:pt idx="35">
                  <c:v>421.99172973632813</c:v>
                </c:pt>
                <c:pt idx="36">
                  <c:v>434.04861450195313</c:v>
                </c:pt>
                <c:pt idx="37">
                  <c:v>446.10552978515625</c:v>
                </c:pt>
                <c:pt idx="38">
                  <c:v>458.16241455078125</c:v>
                </c:pt>
                <c:pt idx="39">
                  <c:v>470.21932983398438</c:v>
                </c:pt>
                <c:pt idx="40">
                  <c:v>482.2762451171875</c:v>
                </c:pt>
                <c:pt idx="41">
                  <c:v>494.33316040039063</c:v>
                </c:pt>
                <c:pt idx="42">
                  <c:v>506.39004516601563</c:v>
                </c:pt>
                <c:pt idx="43">
                  <c:v>518.44696044921875</c:v>
                </c:pt>
                <c:pt idx="44">
                  <c:v>530.50384521484375</c:v>
                </c:pt>
                <c:pt idx="45">
                  <c:v>542.560791015625</c:v>
                </c:pt>
                <c:pt idx="46">
                  <c:v>554.61767578125</c:v>
                </c:pt>
                <c:pt idx="47">
                  <c:v>566.674560546875</c:v>
                </c:pt>
                <c:pt idx="48">
                  <c:v>578.73150634765625</c:v>
                </c:pt>
                <c:pt idx="49">
                  <c:v>590.78839111328125</c:v>
                </c:pt>
                <c:pt idx="50">
                  <c:v>602.84527587890625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E8B-45A0-93F0-138DB4DE3FB4}"/>
            </c:ext>
          </c:extLst>
        </c:ser>
        <c:ser>
          <c:idx val="6"/>
          <c:order val="6"/>
          <c:tx>
            <c:strRef>
              <c:f>Skymaps!$D$112</c:f>
              <c:strCache>
                <c:ptCount val="1"/>
                <c:pt idx="0">
                  <c:v>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Skymaps!$E$112:$BC$112</c:f>
              <c:numCache>
                <c:formatCode>General</c:formatCode>
                <c:ptCount val="51"/>
                <c:pt idx="0">
                  <c:v>0</c:v>
                </c:pt>
                <c:pt idx="1">
                  <c:v>11.832723617553711</c:v>
                </c:pt>
                <c:pt idx="2">
                  <c:v>23.665447235107422</c:v>
                </c:pt>
                <c:pt idx="3">
                  <c:v>35.4981689453125</c:v>
                </c:pt>
                <c:pt idx="4">
                  <c:v>47.330894470214844</c:v>
                </c:pt>
                <c:pt idx="5">
                  <c:v>59.163616180419922</c:v>
                </c:pt>
                <c:pt idx="6">
                  <c:v>70.996337890625</c:v>
                </c:pt>
                <c:pt idx="7">
                  <c:v>82.829063415527344</c:v>
                </c:pt>
                <c:pt idx="8">
                  <c:v>94.661788940429688</c:v>
                </c:pt>
                <c:pt idx="9">
                  <c:v>106.49451446533203</c:v>
                </c:pt>
                <c:pt idx="10">
                  <c:v>118.32723236083984</c:v>
                </c:pt>
                <c:pt idx="11">
                  <c:v>130.15995788574219</c:v>
                </c:pt>
                <c:pt idx="12">
                  <c:v>141.99267578125</c:v>
                </c:pt>
                <c:pt idx="13">
                  <c:v>153.82540893554688</c:v>
                </c:pt>
                <c:pt idx="14">
                  <c:v>165.65812683105469</c:v>
                </c:pt>
                <c:pt idx="15">
                  <c:v>177.49085998535156</c:v>
                </c:pt>
                <c:pt idx="16">
                  <c:v>189.32357788085938</c:v>
                </c:pt>
                <c:pt idx="17">
                  <c:v>201.15629577636719</c:v>
                </c:pt>
                <c:pt idx="18">
                  <c:v>212.98902893066406</c:v>
                </c:pt>
                <c:pt idx="19">
                  <c:v>224.82174682617188</c:v>
                </c:pt>
                <c:pt idx="20">
                  <c:v>236.65446472167969</c:v>
                </c:pt>
                <c:pt idx="21">
                  <c:v>248.48719787597656</c:v>
                </c:pt>
                <c:pt idx="22">
                  <c:v>260.31991577148438</c:v>
                </c:pt>
                <c:pt idx="23">
                  <c:v>272.15264892578125</c:v>
                </c:pt>
                <c:pt idx="24">
                  <c:v>283.9853515625</c:v>
                </c:pt>
                <c:pt idx="25">
                  <c:v>295.81808471679688</c:v>
                </c:pt>
                <c:pt idx="26">
                  <c:v>307.65081787109375</c:v>
                </c:pt>
                <c:pt idx="27">
                  <c:v>319.48355102539063</c:v>
                </c:pt>
                <c:pt idx="28">
                  <c:v>331.31625366210938</c:v>
                </c:pt>
                <c:pt idx="29">
                  <c:v>343.14898681640625</c:v>
                </c:pt>
                <c:pt idx="30">
                  <c:v>354.98171997070313</c:v>
                </c:pt>
                <c:pt idx="31">
                  <c:v>366.81442260742188</c:v>
                </c:pt>
                <c:pt idx="32">
                  <c:v>378.64715576171875</c:v>
                </c:pt>
                <c:pt idx="33">
                  <c:v>390.47988891601563</c:v>
                </c:pt>
                <c:pt idx="34">
                  <c:v>402.31259155273438</c:v>
                </c:pt>
                <c:pt idx="35">
                  <c:v>414.14532470703125</c:v>
                </c:pt>
                <c:pt idx="36">
                  <c:v>425.97805786132813</c:v>
                </c:pt>
                <c:pt idx="37">
                  <c:v>437.810791015625</c:v>
                </c:pt>
                <c:pt idx="38">
                  <c:v>449.64349365234375</c:v>
                </c:pt>
                <c:pt idx="39">
                  <c:v>461.47622680664063</c:v>
                </c:pt>
                <c:pt idx="40">
                  <c:v>473.30892944335938</c:v>
                </c:pt>
                <c:pt idx="41">
                  <c:v>485.14166259765625</c:v>
                </c:pt>
                <c:pt idx="42">
                  <c:v>496.97439575195313</c:v>
                </c:pt>
                <c:pt idx="43">
                  <c:v>508.80712890625</c:v>
                </c:pt>
                <c:pt idx="44">
                  <c:v>520.63983154296875</c:v>
                </c:pt>
                <c:pt idx="45">
                  <c:v>532.47259521484375</c:v>
                </c:pt>
                <c:pt idx="46">
                  <c:v>544.3052978515625</c:v>
                </c:pt>
                <c:pt idx="47">
                  <c:v>556.13800048828125</c:v>
                </c:pt>
                <c:pt idx="48">
                  <c:v>567.970703125</c:v>
                </c:pt>
                <c:pt idx="49">
                  <c:v>579.803466796875</c:v>
                </c:pt>
                <c:pt idx="50">
                  <c:v>591.63616943359375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E8B-45A0-93F0-138DB4DE3FB4}"/>
            </c:ext>
          </c:extLst>
        </c:ser>
        <c:ser>
          <c:idx val="7"/>
          <c:order val="7"/>
          <c:tx>
            <c:strRef>
              <c:f>Skymaps!$D$113</c:f>
              <c:strCache>
                <c:ptCount val="1"/>
                <c:pt idx="0">
                  <c:v>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Skymaps!$E$113:$BC$113</c:f>
              <c:numCache>
                <c:formatCode>General</c:formatCode>
                <c:ptCount val="51"/>
                <c:pt idx="0">
                  <c:v>0</c:v>
                </c:pt>
                <c:pt idx="1">
                  <c:v>11.611163139343262</c:v>
                </c:pt>
                <c:pt idx="2">
                  <c:v>23.222326278686523</c:v>
                </c:pt>
                <c:pt idx="3">
                  <c:v>34.833488464355469</c:v>
                </c:pt>
                <c:pt idx="4">
                  <c:v>46.444652557373047</c:v>
                </c:pt>
                <c:pt idx="5">
                  <c:v>58.055816650390625</c:v>
                </c:pt>
                <c:pt idx="6">
                  <c:v>69.666976928710938</c:v>
                </c:pt>
                <c:pt idx="7">
                  <c:v>81.278144836425781</c:v>
                </c:pt>
                <c:pt idx="8">
                  <c:v>92.889305114746094</c:v>
                </c:pt>
                <c:pt idx="9">
                  <c:v>104.50047302246094</c:v>
                </c:pt>
                <c:pt idx="10">
                  <c:v>116.11163330078125</c:v>
                </c:pt>
                <c:pt idx="11">
                  <c:v>127.72280120849609</c:v>
                </c:pt>
                <c:pt idx="12">
                  <c:v>139.33395385742188</c:v>
                </c:pt>
                <c:pt idx="13">
                  <c:v>150.94512939453125</c:v>
                </c:pt>
                <c:pt idx="14">
                  <c:v>162.55628967285156</c:v>
                </c:pt>
                <c:pt idx="15">
                  <c:v>174.16744995117188</c:v>
                </c:pt>
                <c:pt idx="16">
                  <c:v>185.77861022949219</c:v>
                </c:pt>
                <c:pt idx="17">
                  <c:v>197.3897705078125</c:v>
                </c:pt>
                <c:pt idx="18">
                  <c:v>209.00094604492188</c:v>
                </c:pt>
                <c:pt idx="19">
                  <c:v>220.61210632324219</c:v>
                </c:pt>
                <c:pt idx="20">
                  <c:v>232.2232666015625</c:v>
                </c:pt>
                <c:pt idx="21">
                  <c:v>243.83442687988281</c:v>
                </c:pt>
                <c:pt idx="22">
                  <c:v>255.44560241699219</c:v>
                </c:pt>
                <c:pt idx="23">
                  <c:v>267.0567626953125</c:v>
                </c:pt>
                <c:pt idx="24">
                  <c:v>278.66790771484375</c:v>
                </c:pt>
                <c:pt idx="25">
                  <c:v>290.27908325195313</c:v>
                </c:pt>
                <c:pt idx="26">
                  <c:v>301.8902587890625</c:v>
                </c:pt>
                <c:pt idx="27">
                  <c:v>313.50140380859375</c:v>
                </c:pt>
                <c:pt idx="28">
                  <c:v>325.11257934570313</c:v>
                </c:pt>
                <c:pt idx="29">
                  <c:v>336.72372436523438</c:v>
                </c:pt>
                <c:pt idx="30">
                  <c:v>348.33489990234375</c:v>
                </c:pt>
                <c:pt idx="31">
                  <c:v>359.94607543945313</c:v>
                </c:pt>
                <c:pt idx="32">
                  <c:v>371.55722045898438</c:v>
                </c:pt>
                <c:pt idx="33">
                  <c:v>383.16839599609375</c:v>
                </c:pt>
                <c:pt idx="34">
                  <c:v>394.779541015625</c:v>
                </c:pt>
                <c:pt idx="35">
                  <c:v>406.39071655273438</c:v>
                </c:pt>
                <c:pt idx="36">
                  <c:v>418.00189208984375</c:v>
                </c:pt>
                <c:pt idx="37">
                  <c:v>429.61306762695313</c:v>
                </c:pt>
                <c:pt idx="38">
                  <c:v>441.22421264648438</c:v>
                </c:pt>
                <c:pt idx="39">
                  <c:v>452.83538818359375</c:v>
                </c:pt>
                <c:pt idx="40">
                  <c:v>464.446533203125</c:v>
                </c:pt>
                <c:pt idx="41">
                  <c:v>476.05770874023438</c:v>
                </c:pt>
                <c:pt idx="42">
                  <c:v>487.66885375976563</c:v>
                </c:pt>
                <c:pt idx="43">
                  <c:v>499.280029296875</c:v>
                </c:pt>
                <c:pt idx="44">
                  <c:v>510.89120483398438</c:v>
                </c:pt>
                <c:pt idx="45">
                  <c:v>522.50238037109375</c:v>
                </c:pt>
                <c:pt idx="46">
                  <c:v>534.113525390625</c:v>
                </c:pt>
                <c:pt idx="47">
                  <c:v>545.72467041015625</c:v>
                </c:pt>
                <c:pt idx="48">
                  <c:v>557.3358154296875</c:v>
                </c:pt>
                <c:pt idx="49">
                  <c:v>568.947021484375</c:v>
                </c:pt>
                <c:pt idx="50">
                  <c:v>580.55816650390625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E8B-45A0-93F0-138DB4DE3FB4}"/>
            </c:ext>
          </c:extLst>
        </c:ser>
        <c:ser>
          <c:idx val="8"/>
          <c:order val="8"/>
          <c:tx>
            <c:strRef>
              <c:f>Skymaps!$D$114</c:f>
              <c:strCache>
                <c:ptCount val="1"/>
                <c:pt idx="0">
                  <c:v>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Skymaps!$E$114:$BC$114</c:f>
              <c:numCache>
                <c:formatCode>General</c:formatCode>
                <c:ptCount val="51"/>
                <c:pt idx="0">
                  <c:v>0</c:v>
                </c:pt>
                <c:pt idx="1">
                  <c:v>11.3922119140625</c:v>
                </c:pt>
                <c:pt idx="2">
                  <c:v>22.784423828125</c:v>
                </c:pt>
                <c:pt idx="3">
                  <c:v>34.1766357421875</c:v>
                </c:pt>
                <c:pt idx="4">
                  <c:v>45.56884765625</c:v>
                </c:pt>
                <c:pt idx="5">
                  <c:v>56.9610595703125</c:v>
                </c:pt>
                <c:pt idx="6">
                  <c:v>68.353271484375</c:v>
                </c:pt>
                <c:pt idx="7">
                  <c:v>79.7454833984375</c:v>
                </c:pt>
                <c:pt idx="8">
                  <c:v>91.1376953125</c:v>
                </c:pt>
                <c:pt idx="9">
                  <c:v>102.5299072265625</c:v>
                </c:pt>
                <c:pt idx="10">
                  <c:v>113.922119140625</c:v>
                </c:pt>
                <c:pt idx="11">
                  <c:v>125.3143310546875</c:v>
                </c:pt>
                <c:pt idx="12">
                  <c:v>136.70654296875</c:v>
                </c:pt>
                <c:pt idx="13">
                  <c:v>148.0987548828125</c:v>
                </c:pt>
                <c:pt idx="14">
                  <c:v>159.490966796875</c:v>
                </c:pt>
                <c:pt idx="15">
                  <c:v>170.8831787109375</c:v>
                </c:pt>
                <c:pt idx="16">
                  <c:v>182.275390625</c:v>
                </c:pt>
                <c:pt idx="17">
                  <c:v>193.6676025390625</c:v>
                </c:pt>
                <c:pt idx="18">
                  <c:v>205.059814453125</c:v>
                </c:pt>
                <c:pt idx="19">
                  <c:v>216.4520263671875</c:v>
                </c:pt>
                <c:pt idx="20">
                  <c:v>227.84423828125</c:v>
                </c:pt>
                <c:pt idx="21">
                  <c:v>239.2364501953125</c:v>
                </c:pt>
                <c:pt idx="22">
                  <c:v>250.628662109375</c:v>
                </c:pt>
                <c:pt idx="23">
                  <c:v>262.0208740234375</c:v>
                </c:pt>
                <c:pt idx="24">
                  <c:v>273.4130859375</c:v>
                </c:pt>
                <c:pt idx="25">
                  <c:v>284.8052978515625</c:v>
                </c:pt>
                <c:pt idx="26">
                  <c:v>296.197509765625</c:v>
                </c:pt>
                <c:pt idx="27">
                  <c:v>307.5897216796875</c:v>
                </c:pt>
                <c:pt idx="28">
                  <c:v>318.98193359375</c:v>
                </c:pt>
                <c:pt idx="29">
                  <c:v>330.3741455078125</c:v>
                </c:pt>
                <c:pt idx="30">
                  <c:v>341.766357421875</c:v>
                </c:pt>
                <c:pt idx="31">
                  <c:v>353.1585693359375</c:v>
                </c:pt>
                <c:pt idx="32">
                  <c:v>364.55078125</c:v>
                </c:pt>
                <c:pt idx="33">
                  <c:v>375.9429931640625</c:v>
                </c:pt>
                <c:pt idx="34">
                  <c:v>387.335205078125</c:v>
                </c:pt>
                <c:pt idx="35">
                  <c:v>398.7274169921875</c:v>
                </c:pt>
                <c:pt idx="36">
                  <c:v>410.11962890625</c:v>
                </c:pt>
                <c:pt idx="37">
                  <c:v>421.5118408203125</c:v>
                </c:pt>
                <c:pt idx="38">
                  <c:v>432.904052734375</c:v>
                </c:pt>
                <c:pt idx="39">
                  <c:v>444.2962646484375</c:v>
                </c:pt>
                <c:pt idx="40">
                  <c:v>455.6884765625</c:v>
                </c:pt>
                <c:pt idx="41">
                  <c:v>467.0806884765625</c:v>
                </c:pt>
                <c:pt idx="42">
                  <c:v>478.472900390625</c:v>
                </c:pt>
                <c:pt idx="43">
                  <c:v>489.8651123046875</c:v>
                </c:pt>
                <c:pt idx="44">
                  <c:v>501.25732421875</c:v>
                </c:pt>
                <c:pt idx="45">
                  <c:v>512.6495361328125</c:v>
                </c:pt>
                <c:pt idx="46">
                  <c:v>524.041748046875</c:v>
                </c:pt>
                <c:pt idx="47">
                  <c:v>535.4339599609375</c:v>
                </c:pt>
                <c:pt idx="48">
                  <c:v>546.826171875</c:v>
                </c:pt>
                <c:pt idx="49">
                  <c:v>558.2183837890625</c:v>
                </c:pt>
                <c:pt idx="50">
                  <c:v>569.610595703125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E8B-45A0-93F0-138DB4DE3FB4}"/>
            </c:ext>
          </c:extLst>
        </c:ser>
        <c:ser>
          <c:idx val="9"/>
          <c:order val="9"/>
          <c:tx>
            <c:strRef>
              <c:f>Skymaps!$D$115</c:f>
              <c:strCache>
                <c:ptCount val="1"/>
                <c:pt idx="0">
                  <c:v>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Skymaps!$E$115:$BC$115</c:f>
              <c:numCache>
                <c:formatCode>General</c:formatCode>
                <c:ptCount val="51"/>
                <c:pt idx="0">
                  <c:v>0</c:v>
                </c:pt>
                <c:pt idx="1">
                  <c:v>11.175857543945313</c:v>
                </c:pt>
                <c:pt idx="2">
                  <c:v>22.351715087890625</c:v>
                </c:pt>
                <c:pt idx="3">
                  <c:v>33.527572631835938</c:v>
                </c:pt>
                <c:pt idx="4">
                  <c:v>44.70343017578125</c:v>
                </c:pt>
                <c:pt idx="5">
                  <c:v>55.879287719726563</c:v>
                </c:pt>
                <c:pt idx="6">
                  <c:v>67.055145263671875</c:v>
                </c:pt>
                <c:pt idx="7">
                  <c:v>78.231002807617188</c:v>
                </c:pt>
                <c:pt idx="8">
                  <c:v>89.4068603515625</c:v>
                </c:pt>
                <c:pt idx="9">
                  <c:v>100.58271026611328</c:v>
                </c:pt>
                <c:pt idx="10">
                  <c:v>111.75857543945313</c:v>
                </c:pt>
                <c:pt idx="11">
                  <c:v>122.93442535400391</c:v>
                </c:pt>
                <c:pt idx="12">
                  <c:v>134.11029052734375</c:v>
                </c:pt>
                <c:pt idx="13">
                  <c:v>145.28614807128906</c:v>
                </c:pt>
                <c:pt idx="14">
                  <c:v>156.46200561523438</c:v>
                </c:pt>
                <c:pt idx="15">
                  <c:v>167.63784790039063</c:v>
                </c:pt>
                <c:pt idx="16">
                  <c:v>178.813720703125</c:v>
                </c:pt>
                <c:pt idx="17">
                  <c:v>189.98956298828125</c:v>
                </c:pt>
                <c:pt idx="18">
                  <c:v>201.16542053222656</c:v>
                </c:pt>
                <c:pt idx="19">
                  <c:v>212.34127807617188</c:v>
                </c:pt>
                <c:pt idx="20">
                  <c:v>223.51715087890625</c:v>
                </c:pt>
                <c:pt idx="21">
                  <c:v>234.6929931640625</c:v>
                </c:pt>
                <c:pt idx="22">
                  <c:v>245.86885070800781</c:v>
                </c:pt>
                <c:pt idx="23">
                  <c:v>257.04470825195313</c:v>
                </c:pt>
                <c:pt idx="24">
                  <c:v>268.2205810546875</c:v>
                </c:pt>
                <c:pt idx="25">
                  <c:v>279.39642333984375</c:v>
                </c:pt>
                <c:pt idx="26">
                  <c:v>290.57229614257813</c:v>
                </c:pt>
                <c:pt idx="27">
                  <c:v>301.74813842773438</c:v>
                </c:pt>
                <c:pt idx="28">
                  <c:v>312.92401123046875</c:v>
                </c:pt>
                <c:pt idx="29">
                  <c:v>324.099853515625</c:v>
                </c:pt>
                <c:pt idx="30">
                  <c:v>335.27569580078125</c:v>
                </c:pt>
                <c:pt idx="31">
                  <c:v>346.45156860351563</c:v>
                </c:pt>
                <c:pt idx="32">
                  <c:v>357.62744140625</c:v>
                </c:pt>
                <c:pt idx="33">
                  <c:v>368.80328369140625</c:v>
                </c:pt>
                <c:pt idx="34">
                  <c:v>379.9791259765625</c:v>
                </c:pt>
                <c:pt idx="35">
                  <c:v>391.15499877929688</c:v>
                </c:pt>
                <c:pt idx="36">
                  <c:v>402.33084106445313</c:v>
                </c:pt>
                <c:pt idx="37">
                  <c:v>413.5067138671875</c:v>
                </c:pt>
                <c:pt idx="38">
                  <c:v>424.68255615234375</c:v>
                </c:pt>
                <c:pt idx="39">
                  <c:v>435.85842895507813</c:v>
                </c:pt>
                <c:pt idx="40">
                  <c:v>447.0343017578125</c:v>
                </c:pt>
                <c:pt idx="41">
                  <c:v>458.21014404296875</c:v>
                </c:pt>
                <c:pt idx="42">
                  <c:v>469.385986328125</c:v>
                </c:pt>
                <c:pt idx="43">
                  <c:v>480.56185913085938</c:v>
                </c:pt>
                <c:pt idx="44">
                  <c:v>491.73770141601563</c:v>
                </c:pt>
                <c:pt idx="45">
                  <c:v>502.91357421875</c:v>
                </c:pt>
                <c:pt idx="46">
                  <c:v>514.08941650390625</c:v>
                </c:pt>
                <c:pt idx="47">
                  <c:v>525.2652587890625</c:v>
                </c:pt>
                <c:pt idx="48">
                  <c:v>536.441162109375</c:v>
                </c:pt>
                <c:pt idx="49">
                  <c:v>547.61700439453125</c:v>
                </c:pt>
                <c:pt idx="50">
                  <c:v>558.7928466796875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E8B-45A0-93F0-138DB4DE3FB4}"/>
            </c:ext>
          </c:extLst>
        </c:ser>
        <c:ser>
          <c:idx val="10"/>
          <c:order val="10"/>
          <c:tx>
            <c:strRef>
              <c:f>Skymaps!$D$116</c:f>
              <c:strCache>
                <c:ptCount val="1"/>
                <c:pt idx="0">
                  <c:v>10000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Skymaps!$E$116:$BC$116</c:f>
              <c:numCache>
                <c:formatCode>General</c:formatCode>
                <c:ptCount val="51"/>
                <c:pt idx="0">
                  <c:v>0</c:v>
                </c:pt>
                <c:pt idx="1">
                  <c:v>10.96208667755127</c:v>
                </c:pt>
                <c:pt idx="2">
                  <c:v>21.924173355102539</c:v>
                </c:pt>
                <c:pt idx="3">
                  <c:v>32.886260986328125</c:v>
                </c:pt>
                <c:pt idx="4">
                  <c:v>43.848346710205078</c:v>
                </c:pt>
                <c:pt idx="5">
                  <c:v>54.810436248779297</c:v>
                </c:pt>
                <c:pt idx="6">
                  <c:v>65.77252197265625</c:v>
                </c:pt>
                <c:pt idx="7">
                  <c:v>76.734611511230469</c:v>
                </c:pt>
                <c:pt idx="8">
                  <c:v>87.696693420410156</c:v>
                </c:pt>
                <c:pt idx="9">
                  <c:v>98.658782958984375</c:v>
                </c:pt>
                <c:pt idx="10">
                  <c:v>109.62087249755859</c:v>
                </c:pt>
                <c:pt idx="11">
                  <c:v>120.58295440673828</c:v>
                </c:pt>
                <c:pt idx="12">
                  <c:v>131.5450439453125</c:v>
                </c:pt>
                <c:pt idx="13">
                  <c:v>142.50712585449219</c:v>
                </c:pt>
                <c:pt idx="14">
                  <c:v>153.46922302246094</c:v>
                </c:pt>
                <c:pt idx="15">
                  <c:v>164.43130493164063</c:v>
                </c:pt>
                <c:pt idx="16">
                  <c:v>175.39338684082031</c:v>
                </c:pt>
                <c:pt idx="17">
                  <c:v>186.35548400878906</c:v>
                </c:pt>
                <c:pt idx="18">
                  <c:v>197.31756591796875</c:v>
                </c:pt>
                <c:pt idx="19">
                  <c:v>208.27964782714844</c:v>
                </c:pt>
                <c:pt idx="20">
                  <c:v>219.24174499511719</c:v>
                </c:pt>
                <c:pt idx="21">
                  <c:v>230.20382690429688</c:v>
                </c:pt>
                <c:pt idx="22">
                  <c:v>241.16590881347656</c:v>
                </c:pt>
                <c:pt idx="23">
                  <c:v>252.12800598144531</c:v>
                </c:pt>
                <c:pt idx="24">
                  <c:v>263.090087890625</c:v>
                </c:pt>
                <c:pt idx="25">
                  <c:v>274.05218505859375</c:v>
                </c:pt>
                <c:pt idx="26">
                  <c:v>285.01425170898438</c:v>
                </c:pt>
                <c:pt idx="27">
                  <c:v>295.97634887695313</c:v>
                </c:pt>
                <c:pt idx="28">
                  <c:v>306.93844604492188</c:v>
                </c:pt>
                <c:pt idx="29">
                  <c:v>317.9005126953125</c:v>
                </c:pt>
                <c:pt idx="30">
                  <c:v>328.86260986328125</c:v>
                </c:pt>
                <c:pt idx="31">
                  <c:v>339.82470703125</c:v>
                </c:pt>
                <c:pt idx="32">
                  <c:v>350.78677368164063</c:v>
                </c:pt>
                <c:pt idx="33">
                  <c:v>361.74887084960938</c:v>
                </c:pt>
                <c:pt idx="34">
                  <c:v>372.71096801757813</c:v>
                </c:pt>
                <c:pt idx="35">
                  <c:v>383.67303466796875</c:v>
                </c:pt>
                <c:pt idx="36">
                  <c:v>394.6351318359375</c:v>
                </c:pt>
                <c:pt idx="37">
                  <c:v>405.59722900390625</c:v>
                </c:pt>
                <c:pt idx="38">
                  <c:v>416.55929565429688</c:v>
                </c:pt>
                <c:pt idx="39">
                  <c:v>427.52139282226563</c:v>
                </c:pt>
                <c:pt idx="40">
                  <c:v>438.48348999023438</c:v>
                </c:pt>
                <c:pt idx="41">
                  <c:v>449.445556640625</c:v>
                </c:pt>
                <c:pt idx="42">
                  <c:v>460.40765380859375</c:v>
                </c:pt>
                <c:pt idx="43">
                  <c:v>471.36972045898438</c:v>
                </c:pt>
                <c:pt idx="44">
                  <c:v>482.33181762695313</c:v>
                </c:pt>
                <c:pt idx="45">
                  <c:v>493.29391479492188</c:v>
                </c:pt>
                <c:pt idx="46">
                  <c:v>504.25601196289063</c:v>
                </c:pt>
                <c:pt idx="47">
                  <c:v>515.21807861328125</c:v>
                </c:pt>
                <c:pt idx="48">
                  <c:v>526.18017578125</c:v>
                </c:pt>
                <c:pt idx="49">
                  <c:v>537.14227294921875</c:v>
                </c:pt>
                <c:pt idx="50">
                  <c:v>548.1043701171875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E8B-45A0-93F0-138DB4DE3FB4}"/>
            </c:ext>
          </c:extLst>
        </c:ser>
        <c:ser>
          <c:idx val="11"/>
          <c:order val="11"/>
          <c:tx>
            <c:strRef>
              <c:f>Skymaps!$D$117</c:f>
              <c:strCache>
                <c:ptCount val="1"/>
                <c:pt idx="0">
                  <c:v>11000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Skymaps!$E$117:$BC$117</c:f>
              <c:numCache>
                <c:formatCode>General</c:formatCode>
                <c:ptCount val="51"/>
                <c:pt idx="0">
                  <c:v>0</c:v>
                </c:pt>
                <c:pt idx="1">
                  <c:v>10.750887870788574</c:v>
                </c:pt>
                <c:pt idx="2">
                  <c:v>21.501775741577148</c:v>
                </c:pt>
                <c:pt idx="3">
                  <c:v>32.252666473388672</c:v>
                </c:pt>
                <c:pt idx="4">
                  <c:v>43.003551483154297</c:v>
                </c:pt>
                <c:pt idx="5">
                  <c:v>53.754440307617188</c:v>
                </c:pt>
                <c:pt idx="6">
                  <c:v>64.505332946777344</c:v>
                </c:pt>
                <c:pt idx="7">
                  <c:v>75.256217956542969</c:v>
                </c:pt>
                <c:pt idx="8">
                  <c:v>86.007102966308594</c:v>
                </c:pt>
                <c:pt idx="9">
                  <c:v>96.75799560546875</c:v>
                </c:pt>
                <c:pt idx="10">
                  <c:v>107.50888061523438</c:v>
                </c:pt>
                <c:pt idx="11">
                  <c:v>118.25977325439453</c:v>
                </c:pt>
                <c:pt idx="12">
                  <c:v>129.01066589355469</c:v>
                </c:pt>
                <c:pt idx="13">
                  <c:v>139.76155090332031</c:v>
                </c:pt>
                <c:pt idx="14">
                  <c:v>150.51243591308594</c:v>
                </c:pt>
                <c:pt idx="15">
                  <c:v>161.26332092285156</c:v>
                </c:pt>
                <c:pt idx="16">
                  <c:v>172.01420593261719</c:v>
                </c:pt>
                <c:pt idx="17">
                  <c:v>182.76510620117188</c:v>
                </c:pt>
                <c:pt idx="18">
                  <c:v>193.5159912109375</c:v>
                </c:pt>
                <c:pt idx="19">
                  <c:v>204.26687622070313</c:v>
                </c:pt>
                <c:pt idx="20">
                  <c:v>215.01776123046875</c:v>
                </c:pt>
                <c:pt idx="21">
                  <c:v>225.76864624023438</c:v>
                </c:pt>
                <c:pt idx="22">
                  <c:v>236.51954650878906</c:v>
                </c:pt>
                <c:pt idx="23">
                  <c:v>247.27043151855469</c:v>
                </c:pt>
                <c:pt idx="24">
                  <c:v>258.02133178710938</c:v>
                </c:pt>
                <c:pt idx="25">
                  <c:v>268.772216796875</c:v>
                </c:pt>
                <c:pt idx="26">
                  <c:v>279.52310180664063</c:v>
                </c:pt>
                <c:pt idx="27">
                  <c:v>290.27398681640625</c:v>
                </c:pt>
                <c:pt idx="28">
                  <c:v>301.02487182617188</c:v>
                </c:pt>
                <c:pt idx="29">
                  <c:v>311.7757568359375</c:v>
                </c:pt>
                <c:pt idx="30">
                  <c:v>322.52664184570313</c:v>
                </c:pt>
                <c:pt idx="31">
                  <c:v>333.27752685546875</c:v>
                </c:pt>
                <c:pt idx="32">
                  <c:v>344.02841186523438</c:v>
                </c:pt>
                <c:pt idx="33">
                  <c:v>354.77932739257813</c:v>
                </c:pt>
                <c:pt idx="34">
                  <c:v>365.53021240234375</c:v>
                </c:pt>
                <c:pt idx="35">
                  <c:v>376.28109741210938</c:v>
                </c:pt>
                <c:pt idx="36">
                  <c:v>387.031982421875</c:v>
                </c:pt>
                <c:pt idx="37">
                  <c:v>397.78286743164063</c:v>
                </c:pt>
                <c:pt idx="38">
                  <c:v>408.53375244140625</c:v>
                </c:pt>
                <c:pt idx="39">
                  <c:v>419.28466796875</c:v>
                </c:pt>
                <c:pt idx="40">
                  <c:v>430.0355224609375</c:v>
                </c:pt>
                <c:pt idx="41">
                  <c:v>440.78643798828125</c:v>
                </c:pt>
                <c:pt idx="42">
                  <c:v>451.53729248046875</c:v>
                </c:pt>
                <c:pt idx="43">
                  <c:v>462.2882080078125</c:v>
                </c:pt>
                <c:pt idx="44">
                  <c:v>473.03909301757813</c:v>
                </c:pt>
                <c:pt idx="45">
                  <c:v>483.78997802734375</c:v>
                </c:pt>
                <c:pt idx="46">
                  <c:v>494.54086303710938</c:v>
                </c:pt>
                <c:pt idx="47">
                  <c:v>505.291748046875</c:v>
                </c:pt>
                <c:pt idx="48">
                  <c:v>516.04266357421875</c:v>
                </c:pt>
                <c:pt idx="49">
                  <c:v>526.79351806640625</c:v>
                </c:pt>
                <c:pt idx="50">
                  <c:v>537.54443359375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E8B-45A0-93F0-138DB4DE3FB4}"/>
            </c:ext>
          </c:extLst>
        </c:ser>
        <c:ser>
          <c:idx val="12"/>
          <c:order val="12"/>
          <c:tx>
            <c:strRef>
              <c:f>Skymaps!$D$118</c:f>
              <c:strCache>
                <c:ptCount val="1"/>
                <c:pt idx="0">
                  <c:v>12000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Skymaps!$E$118:$BC$118</c:f>
              <c:numCache>
                <c:formatCode>General</c:formatCode>
                <c:ptCount val="51"/>
                <c:pt idx="0">
                  <c:v>0</c:v>
                </c:pt>
                <c:pt idx="1">
                  <c:v>10.542248725891113</c:v>
                </c:pt>
                <c:pt idx="2">
                  <c:v>21.084497451782227</c:v>
                </c:pt>
                <c:pt idx="3">
                  <c:v>31.626747131347656</c:v>
                </c:pt>
                <c:pt idx="4">
                  <c:v>42.168994903564453</c:v>
                </c:pt>
                <c:pt idx="5">
                  <c:v>52.711246490478516</c:v>
                </c:pt>
                <c:pt idx="6">
                  <c:v>63.253494262695313</c:v>
                </c:pt>
                <c:pt idx="7">
                  <c:v>73.795745849609375</c:v>
                </c:pt>
                <c:pt idx="8">
                  <c:v>84.337989807128906</c:v>
                </c:pt>
                <c:pt idx="9">
                  <c:v>94.880241394042969</c:v>
                </c:pt>
                <c:pt idx="10">
                  <c:v>105.42249298095703</c:v>
                </c:pt>
                <c:pt idx="11">
                  <c:v>115.96473693847656</c:v>
                </c:pt>
                <c:pt idx="12">
                  <c:v>126.50698852539063</c:v>
                </c:pt>
                <c:pt idx="13">
                  <c:v>137.04924011230469</c:v>
                </c:pt>
                <c:pt idx="14">
                  <c:v>147.59149169921875</c:v>
                </c:pt>
                <c:pt idx="15">
                  <c:v>158.13374328613281</c:v>
                </c:pt>
                <c:pt idx="16">
                  <c:v>168.67597961425781</c:v>
                </c:pt>
                <c:pt idx="17">
                  <c:v>179.21823120117188</c:v>
                </c:pt>
                <c:pt idx="18">
                  <c:v>189.76048278808594</c:v>
                </c:pt>
                <c:pt idx="19">
                  <c:v>200.302734375</c:v>
                </c:pt>
                <c:pt idx="20">
                  <c:v>210.84498596191406</c:v>
                </c:pt>
                <c:pt idx="21">
                  <c:v>221.38723754882813</c:v>
                </c:pt>
                <c:pt idx="22">
                  <c:v>231.92947387695313</c:v>
                </c:pt>
                <c:pt idx="23">
                  <c:v>242.47174072265625</c:v>
                </c:pt>
                <c:pt idx="24">
                  <c:v>253.01397705078125</c:v>
                </c:pt>
                <c:pt idx="25">
                  <c:v>263.55624389648438</c:v>
                </c:pt>
                <c:pt idx="26">
                  <c:v>274.09848022460938</c:v>
                </c:pt>
                <c:pt idx="27">
                  <c:v>284.6407470703125</c:v>
                </c:pt>
                <c:pt idx="28">
                  <c:v>295.1829833984375</c:v>
                </c:pt>
                <c:pt idx="29">
                  <c:v>305.7252197265625</c:v>
                </c:pt>
                <c:pt idx="30">
                  <c:v>316.26748657226563</c:v>
                </c:pt>
                <c:pt idx="31">
                  <c:v>326.80972290039063</c:v>
                </c:pt>
                <c:pt idx="32">
                  <c:v>337.35195922851563</c:v>
                </c:pt>
                <c:pt idx="33">
                  <c:v>347.89422607421875</c:v>
                </c:pt>
                <c:pt idx="34">
                  <c:v>358.43646240234375</c:v>
                </c:pt>
                <c:pt idx="35">
                  <c:v>368.97872924804688</c:v>
                </c:pt>
                <c:pt idx="36">
                  <c:v>379.52096557617188</c:v>
                </c:pt>
                <c:pt idx="37">
                  <c:v>390.063232421875</c:v>
                </c:pt>
                <c:pt idx="38">
                  <c:v>400.60546875</c:v>
                </c:pt>
                <c:pt idx="39">
                  <c:v>411.14773559570313</c:v>
                </c:pt>
                <c:pt idx="40">
                  <c:v>421.68997192382813</c:v>
                </c:pt>
                <c:pt idx="41">
                  <c:v>432.23220825195313</c:v>
                </c:pt>
                <c:pt idx="42">
                  <c:v>442.77447509765625</c:v>
                </c:pt>
                <c:pt idx="43">
                  <c:v>453.31674194335938</c:v>
                </c:pt>
                <c:pt idx="44">
                  <c:v>463.85894775390625</c:v>
                </c:pt>
                <c:pt idx="45">
                  <c:v>474.40121459960938</c:v>
                </c:pt>
                <c:pt idx="46">
                  <c:v>484.9434814453125</c:v>
                </c:pt>
                <c:pt idx="47">
                  <c:v>495.4857177734375</c:v>
                </c:pt>
                <c:pt idx="48">
                  <c:v>506.0279541015625</c:v>
                </c:pt>
                <c:pt idx="49">
                  <c:v>516.5701904296875</c:v>
                </c:pt>
                <c:pt idx="50">
                  <c:v>527.11248779296875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E8B-45A0-93F0-138DB4DE3FB4}"/>
            </c:ext>
          </c:extLst>
        </c:ser>
        <c:ser>
          <c:idx val="13"/>
          <c:order val="13"/>
          <c:tx>
            <c:strRef>
              <c:f>Skymaps!$D$119</c:f>
              <c:strCache>
                <c:ptCount val="1"/>
                <c:pt idx="0">
                  <c:v>13000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Skymaps!$E$119:$BC$119</c:f>
              <c:numCache>
                <c:formatCode>General</c:formatCode>
                <c:ptCount val="51"/>
                <c:pt idx="0">
                  <c:v>0</c:v>
                </c:pt>
                <c:pt idx="1">
                  <c:v>10.336156845092773</c:v>
                </c:pt>
                <c:pt idx="2">
                  <c:v>20.672313690185547</c:v>
                </c:pt>
                <c:pt idx="3">
                  <c:v>31.008468627929688</c:v>
                </c:pt>
                <c:pt idx="4">
                  <c:v>41.344627380371094</c:v>
                </c:pt>
                <c:pt idx="5">
                  <c:v>51.680782318115234</c:v>
                </c:pt>
                <c:pt idx="6">
                  <c:v>62.016937255859375</c:v>
                </c:pt>
                <c:pt idx="7">
                  <c:v>72.353096008300781</c:v>
                </c:pt>
                <c:pt idx="8">
                  <c:v>82.689254760742188</c:v>
                </c:pt>
                <c:pt idx="9">
                  <c:v>93.025405883789063</c:v>
                </c:pt>
                <c:pt idx="10">
                  <c:v>103.36156463623047</c:v>
                </c:pt>
                <c:pt idx="11">
                  <c:v>113.69772338867188</c:v>
                </c:pt>
                <c:pt idx="12">
                  <c:v>124.03387451171875</c:v>
                </c:pt>
                <c:pt idx="13">
                  <c:v>134.37004089355469</c:v>
                </c:pt>
                <c:pt idx="14">
                  <c:v>144.70619201660156</c:v>
                </c:pt>
                <c:pt idx="15">
                  <c:v>155.0423583984375</c:v>
                </c:pt>
                <c:pt idx="16">
                  <c:v>165.37850952148438</c:v>
                </c:pt>
                <c:pt idx="17">
                  <c:v>175.71466064453125</c:v>
                </c:pt>
                <c:pt idx="18">
                  <c:v>186.05081176757813</c:v>
                </c:pt>
                <c:pt idx="19">
                  <c:v>196.386962890625</c:v>
                </c:pt>
                <c:pt idx="20">
                  <c:v>206.72312927246094</c:v>
                </c:pt>
                <c:pt idx="21">
                  <c:v>217.05928039550781</c:v>
                </c:pt>
                <c:pt idx="22">
                  <c:v>227.39544677734375</c:v>
                </c:pt>
                <c:pt idx="23">
                  <c:v>237.73159790039063</c:v>
                </c:pt>
                <c:pt idx="24">
                  <c:v>248.0677490234375</c:v>
                </c:pt>
                <c:pt idx="25">
                  <c:v>258.40390014648438</c:v>
                </c:pt>
                <c:pt idx="26">
                  <c:v>268.74008178710938</c:v>
                </c:pt>
                <c:pt idx="27">
                  <c:v>279.07623291015625</c:v>
                </c:pt>
                <c:pt idx="28">
                  <c:v>289.41238403320313</c:v>
                </c:pt>
                <c:pt idx="29">
                  <c:v>299.74853515625</c:v>
                </c:pt>
                <c:pt idx="30">
                  <c:v>310.084716796875</c:v>
                </c:pt>
                <c:pt idx="31">
                  <c:v>320.42083740234375</c:v>
                </c:pt>
                <c:pt idx="32">
                  <c:v>330.75701904296875</c:v>
                </c:pt>
                <c:pt idx="33">
                  <c:v>341.09317016601563</c:v>
                </c:pt>
                <c:pt idx="34">
                  <c:v>351.4293212890625</c:v>
                </c:pt>
                <c:pt idx="35">
                  <c:v>361.76547241210938</c:v>
                </c:pt>
                <c:pt idx="36">
                  <c:v>372.10162353515625</c:v>
                </c:pt>
                <c:pt idx="37">
                  <c:v>382.43780517578125</c:v>
                </c:pt>
                <c:pt idx="38">
                  <c:v>392.77392578125</c:v>
                </c:pt>
                <c:pt idx="39">
                  <c:v>403.110107421875</c:v>
                </c:pt>
                <c:pt idx="40">
                  <c:v>413.44625854492188</c:v>
                </c:pt>
                <c:pt idx="41">
                  <c:v>423.78240966796875</c:v>
                </c:pt>
                <c:pt idx="42">
                  <c:v>434.11856079101563</c:v>
                </c:pt>
                <c:pt idx="43">
                  <c:v>444.45474243164063</c:v>
                </c:pt>
                <c:pt idx="44">
                  <c:v>454.7908935546875</c:v>
                </c:pt>
                <c:pt idx="45">
                  <c:v>465.12704467773438</c:v>
                </c:pt>
                <c:pt idx="46">
                  <c:v>475.46319580078125</c:v>
                </c:pt>
                <c:pt idx="47">
                  <c:v>485.79937744140625</c:v>
                </c:pt>
                <c:pt idx="48">
                  <c:v>496.135498046875</c:v>
                </c:pt>
                <c:pt idx="49">
                  <c:v>506.4716796875</c:v>
                </c:pt>
                <c:pt idx="50">
                  <c:v>516.80780029296875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E8B-45A0-93F0-138DB4DE3FB4}"/>
            </c:ext>
          </c:extLst>
        </c:ser>
        <c:ser>
          <c:idx val="14"/>
          <c:order val="14"/>
          <c:tx>
            <c:strRef>
              <c:f>Skymaps!$D$120</c:f>
              <c:strCache>
                <c:ptCount val="1"/>
                <c:pt idx="0">
                  <c:v>14000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Skymaps!$E$120:$BC$120</c:f>
              <c:numCache>
                <c:formatCode>General</c:formatCode>
                <c:ptCount val="51"/>
                <c:pt idx="0">
                  <c:v>0</c:v>
                </c:pt>
                <c:pt idx="1">
                  <c:v>10.132597923278809</c:v>
                </c:pt>
                <c:pt idx="2">
                  <c:v>20.265195846557617</c:v>
                </c:pt>
                <c:pt idx="3">
                  <c:v>30.397792816162109</c:v>
                </c:pt>
                <c:pt idx="4">
                  <c:v>40.530391693115234</c:v>
                </c:pt>
                <c:pt idx="5">
                  <c:v>50.662990570068359</c:v>
                </c:pt>
                <c:pt idx="6">
                  <c:v>60.795585632324219</c:v>
                </c:pt>
                <c:pt idx="7">
                  <c:v>70.928184509277344</c:v>
                </c:pt>
                <c:pt idx="8">
                  <c:v>81.060783386230469</c:v>
                </c:pt>
                <c:pt idx="9">
                  <c:v>91.193382263183594</c:v>
                </c:pt>
                <c:pt idx="10">
                  <c:v>101.32598114013672</c:v>
                </c:pt>
                <c:pt idx="11">
                  <c:v>111.45857238769531</c:v>
                </c:pt>
                <c:pt idx="12">
                  <c:v>121.59117126464844</c:v>
                </c:pt>
                <c:pt idx="13">
                  <c:v>131.72377014160156</c:v>
                </c:pt>
                <c:pt idx="14">
                  <c:v>141.85636901855469</c:v>
                </c:pt>
                <c:pt idx="15">
                  <c:v>151.98896789550781</c:v>
                </c:pt>
                <c:pt idx="16">
                  <c:v>162.12156677246094</c:v>
                </c:pt>
                <c:pt idx="17">
                  <c:v>172.25416564941406</c:v>
                </c:pt>
                <c:pt idx="18">
                  <c:v>182.38676452636719</c:v>
                </c:pt>
                <c:pt idx="19">
                  <c:v>192.51934814453125</c:v>
                </c:pt>
                <c:pt idx="20">
                  <c:v>202.65196228027344</c:v>
                </c:pt>
                <c:pt idx="21">
                  <c:v>212.7845458984375</c:v>
                </c:pt>
                <c:pt idx="22">
                  <c:v>222.91714477539063</c:v>
                </c:pt>
                <c:pt idx="23">
                  <c:v>233.04975891113281</c:v>
                </c:pt>
                <c:pt idx="24">
                  <c:v>243.18234252929688</c:v>
                </c:pt>
                <c:pt idx="25">
                  <c:v>253.31494140625</c:v>
                </c:pt>
                <c:pt idx="26">
                  <c:v>263.44754028320313</c:v>
                </c:pt>
                <c:pt idx="27">
                  <c:v>273.58013916015625</c:v>
                </c:pt>
                <c:pt idx="28">
                  <c:v>283.71273803710938</c:v>
                </c:pt>
                <c:pt idx="29">
                  <c:v>293.8453369140625</c:v>
                </c:pt>
                <c:pt idx="30">
                  <c:v>303.97793579101563</c:v>
                </c:pt>
                <c:pt idx="31">
                  <c:v>314.11053466796875</c:v>
                </c:pt>
                <c:pt idx="32">
                  <c:v>324.24313354492188</c:v>
                </c:pt>
                <c:pt idx="33">
                  <c:v>334.375732421875</c:v>
                </c:pt>
                <c:pt idx="34">
                  <c:v>344.50833129882813</c:v>
                </c:pt>
                <c:pt idx="35">
                  <c:v>354.64093017578125</c:v>
                </c:pt>
                <c:pt idx="36">
                  <c:v>364.77352905273438</c:v>
                </c:pt>
                <c:pt idx="37">
                  <c:v>374.9061279296875</c:v>
                </c:pt>
                <c:pt idx="38">
                  <c:v>385.0386962890625</c:v>
                </c:pt>
                <c:pt idx="39">
                  <c:v>395.17129516601563</c:v>
                </c:pt>
                <c:pt idx="40">
                  <c:v>405.30392456054688</c:v>
                </c:pt>
                <c:pt idx="41">
                  <c:v>415.43649291992188</c:v>
                </c:pt>
                <c:pt idx="42">
                  <c:v>425.569091796875</c:v>
                </c:pt>
                <c:pt idx="43">
                  <c:v>435.70169067382813</c:v>
                </c:pt>
                <c:pt idx="44">
                  <c:v>445.83428955078125</c:v>
                </c:pt>
                <c:pt idx="45">
                  <c:v>455.9669189453125</c:v>
                </c:pt>
                <c:pt idx="46">
                  <c:v>466.09951782226563</c:v>
                </c:pt>
                <c:pt idx="47">
                  <c:v>476.23208618164063</c:v>
                </c:pt>
                <c:pt idx="48">
                  <c:v>486.36468505859375</c:v>
                </c:pt>
                <c:pt idx="49">
                  <c:v>496.49728393554688</c:v>
                </c:pt>
                <c:pt idx="50">
                  <c:v>506.6298828125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E8B-45A0-93F0-138DB4DE3FB4}"/>
            </c:ext>
          </c:extLst>
        </c:ser>
        <c:ser>
          <c:idx val="15"/>
          <c:order val="15"/>
          <c:tx>
            <c:strRef>
              <c:f>Skymaps!$D$121</c:f>
              <c:strCache>
                <c:ptCount val="1"/>
                <c:pt idx="0">
                  <c:v>15000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Skymaps!$E$121:$BC$121</c:f>
              <c:numCache>
                <c:formatCode>General</c:formatCode>
                <c:ptCount val="51"/>
                <c:pt idx="0">
                  <c:v>0</c:v>
                </c:pt>
                <c:pt idx="1">
                  <c:v>9.9315605163574219</c:v>
                </c:pt>
                <c:pt idx="2">
                  <c:v>19.863121032714844</c:v>
                </c:pt>
                <c:pt idx="3">
                  <c:v>29.794679641723633</c:v>
                </c:pt>
                <c:pt idx="4">
                  <c:v>39.726242065429688</c:v>
                </c:pt>
                <c:pt idx="5">
                  <c:v>49.657802581787109</c:v>
                </c:pt>
                <c:pt idx="6">
                  <c:v>59.589359283447266</c:v>
                </c:pt>
                <c:pt idx="7">
                  <c:v>69.520919799804688</c:v>
                </c:pt>
                <c:pt idx="8">
                  <c:v>79.452484130859375</c:v>
                </c:pt>
                <c:pt idx="9">
                  <c:v>89.384040832519531</c:v>
                </c:pt>
                <c:pt idx="10">
                  <c:v>99.315605163574219</c:v>
                </c:pt>
                <c:pt idx="11">
                  <c:v>109.24716186523438</c:v>
                </c:pt>
                <c:pt idx="12">
                  <c:v>119.17871856689453</c:v>
                </c:pt>
                <c:pt idx="13">
                  <c:v>129.11027526855469</c:v>
                </c:pt>
                <c:pt idx="14">
                  <c:v>139.04183959960938</c:v>
                </c:pt>
                <c:pt idx="15">
                  <c:v>148.97340393066406</c:v>
                </c:pt>
                <c:pt idx="16">
                  <c:v>158.90496826171875</c:v>
                </c:pt>
                <c:pt idx="17">
                  <c:v>168.83651733398438</c:v>
                </c:pt>
                <c:pt idx="18">
                  <c:v>178.76808166503906</c:v>
                </c:pt>
                <c:pt idx="19">
                  <c:v>188.69964599609375</c:v>
                </c:pt>
                <c:pt idx="20">
                  <c:v>198.63121032714844</c:v>
                </c:pt>
                <c:pt idx="21">
                  <c:v>208.56275939941406</c:v>
                </c:pt>
                <c:pt idx="22">
                  <c:v>218.49432373046875</c:v>
                </c:pt>
                <c:pt idx="23">
                  <c:v>228.42588806152344</c:v>
                </c:pt>
                <c:pt idx="24">
                  <c:v>238.35743713378906</c:v>
                </c:pt>
                <c:pt idx="25">
                  <c:v>248.28900146484375</c:v>
                </c:pt>
                <c:pt idx="26">
                  <c:v>258.22055053710938</c:v>
                </c:pt>
                <c:pt idx="27">
                  <c:v>268.15213012695313</c:v>
                </c:pt>
                <c:pt idx="28">
                  <c:v>278.08367919921875</c:v>
                </c:pt>
                <c:pt idx="29">
                  <c:v>288.0152587890625</c:v>
                </c:pt>
                <c:pt idx="30">
                  <c:v>297.94680786132813</c:v>
                </c:pt>
                <c:pt idx="31">
                  <c:v>307.87835693359375</c:v>
                </c:pt>
                <c:pt idx="32">
                  <c:v>317.8099365234375</c:v>
                </c:pt>
                <c:pt idx="33">
                  <c:v>327.74148559570313</c:v>
                </c:pt>
                <c:pt idx="34">
                  <c:v>337.67303466796875</c:v>
                </c:pt>
                <c:pt idx="35">
                  <c:v>347.6046142578125</c:v>
                </c:pt>
                <c:pt idx="36">
                  <c:v>357.53616333007813</c:v>
                </c:pt>
                <c:pt idx="37">
                  <c:v>367.46771240234375</c:v>
                </c:pt>
                <c:pt idx="38">
                  <c:v>377.3992919921875</c:v>
                </c:pt>
                <c:pt idx="39">
                  <c:v>387.33084106445313</c:v>
                </c:pt>
                <c:pt idx="40">
                  <c:v>397.26242065429688</c:v>
                </c:pt>
                <c:pt idx="41">
                  <c:v>407.1939697265625</c:v>
                </c:pt>
                <c:pt idx="42">
                  <c:v>417.12551879882813</c:v>
                </c:pt>
                <c:pt idx="43">
                  <c:v>427.05706787109375</c:v>
                </c:pt>
                <c:pt idx="44">
                  <c:v>436.9886474609375</c:v>
                </c:pt>
                <c:pt idx="45">
                  <c:v>446.92022705078125</c:v>
                </c:pt>
                <c:pt idx="46">
                  <c:v>456.85177612304688</c:v>
                </c:pt>
                <c:pt idx="47">
                  <c:v>466.7833251953125</c:v>
                </c:pt>
                <c:pt idx="48">
                  <c:v>476.71487426757813</c:v>
                </c:pt>
                <c:pt idx="49">
                  <c:v>486.64642333984375</c:v>
                </c:pt>
                <c:pt idx="50">
                  <c:v>496.5780029296875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E8B-45A0-93F0-138DB4DE3FB4}"/>
            </c:ext>
          </c:extLst>
        </c:ser>
        <c:ser>
          <c:idx val="16"/>
          <c:order val="16"/>
          <c:tx>
            <c:strRef>
              <c:f>Skymaps!$D$122</c:f>
              <c:strCache>
                <c:ptCount val="1"/>
                <c:pt idx="0">
                  <c:v>16000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Skymaps!$E$122:$BC$122</c:f>
              <c:numCache>
                <c:formatCode>General</c:formatCode>
                <c:ptCount val="51"/>
                <c:pt idx="0">
                  <c:v>0</c:v>
                </c:pt>
                <c:pt idx="1">
                  <c:v>9.7330312728881836</c:v>
                </c:pt>
                <c:pt idx="2">
                  <c:v>19.466062545776367</c:v>
                </c:pt>
                <c:pt idx="3">
                  <c:v>29.199094772338867</c:v>
                </c:pt>
                <c:pt idx="4">
                  <c:v>38.932125091552734</c:v>
                </c:pt>
                <c:pt idx="5">
                  <c:v>48.665157318115234</c:v>
                </c:pt>
                <c:pt idx="6">
                  <c:v>58.398189544677734</c:v>
                </c:pt>
                <c:pt idx="7">
                  <c:v>68.131217956542969</c:v>
                </c:pt>
                <c:pt idx="8">
                  <c:v>77.864250183105469</c:v>
                </c:pt>
                <c:pt idx="9">
                  <c:v>87.597282409667969</c:v>
                </c:pt>
                <c:pt idx="10">
                  <c:v>97.330314636230469</c:v>
                </c:pt>
                <c:pt idx="11">
                  <c:v>107.06334686279297</c:v>
                </c:pt>
                <c:pt idx="12">
                  <c:v>116.79637908935547</c:v>
                </c:pt>
                <c:pt idx="13">
                  <c:v>126.52941131591797</c:v>
                </c:pt>
                <c:pt idx="14">
                  <c:v>136.26243591308594</c:v>
                </c:pt>
                <c:pt idx="15">
                  <c:v>145.99546813964844</c:v>
                </c:pt>
                <c:pt idx="16">
                  <c:v>155.72850036621094</c:v>
                </c:pt>
                <c:pt idx="17">
                  <c:v>165.46153259277344</c:v>
                </c:pt>
                <c:pt idx="18">
                  <c:v>175.19456481933594</c:v>
                </c:pt>
                <c:pt idx="19">
                  <c:v>184.92759704589844</c:v>
                </c:pt>
                <c:pt idx="20">
                  <c:v>194.66062927246094</c:v>
                </c:pt>
                <c:pt idx="21">
                  <c:v>204.39366149902344</c:v>
                </c:pt>
                <c:pt idx="22">
                  <c:v>214.12669372558594</c:v>
                </c:pt>
                <c:pt idx="23">
                  <c:v>223.85972595214844</c:v>
                </c:pt>
                <c:pt idx="24">
                  <c:v>233.59275817871094</c:v>
                </c:pt>
                <c:pt idx="25">
                  <c:v>243.32579040527344</c:v>
                </c:pt>
                <c:pt idx="26">
                  <c:v>253.05882263183594</c:v>
                </c:pt>
                <c:pt idx="27">
                  <c:v>262.79183959960938</c:v>
                </c:pt>
                <c:pt idx="28">
                  <c:v>272.52487182617188</c:v>
                </c:pt>
                <c:pt idx="29">
                  <c:v>282.25790405273438</c:v>
                </c:pt>
                <c:pt idx="30">
                  <c:v>291.99093627929688</c:v>
                </c:pt>
                <c:pt idx="31">
                  <c:v>301.72396850585938</c:v>
                </c:pt>
                <c:pt idx="32">
                  <c:v>311.45700073242188</c:v>
                </c:pt>
                <c:pt idx="33">
                  <c:v>321.19003295898438</c:v>
                </c:pt>
                <c:pt idx="34">
                  <c:v>330.92306518554688</c:v>
                </c:pt>
                <c:pt idx="35">
                  <c:v>340.65609741210938</c:v>
                </c:pt>
                <c:pt idx="36">
                  <c:v>350.38912963867188</c:v>
                </c:pt>
                <c:pt idx="37">
                  <c:v>360.12216186523438</c:v>
                </c:pt>
                <c:pt idx="38">
                  <c:v>369.85519409179688</c:v>
                </c:pt>
                <c:pt idx="39">
                  <c:v>379.58822631835938</c:v>
                </c:pt>
                <c:pt idx="40">
                  <c:v>389.32125854492188</c:v>
                </c:pt>
                <c:pt idx="41">
                  <c:v>399.05429077148438</c:v>
                </c:pt>
                <c:pt idx="42">
                  <c:v>408.78732299804688</c:v>
                </c:pt>
                <c:pt idx="43">
                  <c:v>418.52035522460938</c:v>
                </c:pt>
                <c:pt idx="44">
                  <c:v>428.25338745117188</c:v>
                </c:pt>
                <c:pt idx="45">
                  <c:v>437.98641967773438</c:v>
                </c:pt>
                <c:pt idx="46">
                  <c:v>447.71945190429688</c:v>
                </c:pt>
                <c:pt idx="47">
                  <c:v>457.45248413085938</c:v>
                </c:pt>
                <c:pt idx="48">
                  <c:v>467.18551635742188</c:v>
                </c:pt>
                <c:pt idx="49">
                  <c:v>476.91854858398438</c:v>
                </c:pt>
                <c:pt idx="50">
                  <c:v>486.65158081054688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E8B-45A0-93F0-138DB4DE3FB4}"/>
            </c:ext>
          </c:extLst>
        </c:ser>
        <c:ser>
          <c:idx val="17"/>
          <c:order val="17"/>
          <c:tx>
            <c:strRef>
              <c:f>Skymaps!$D$123</c:f>
              <c:strCache>
                <c:ptCount val="1"/>
                <c:pt idx="0">
                  <c:v>17000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Skymaps!$E$123:$BC$123</c:f>
              <c:numCache>
                <c:formatCode>General</c:formatCode>
                <c:ptCount val="51"/>
                <c:pt idx="0">
                  <c:v>0</c:v>
                </c:pt>
                <c:pt idx="1">
                  <c:v>9.5369987487792969</c:v>
                </c:pt>
                <c:pt idx="2">
                  <c:v>19.073997497558594</c:v>
                </c:pt>
                <c:pt idx="3">
                  <c:v>28.610996246337891</c:v>
                </c:pt>
                <c:pt idx="4">
                  <c:v>38.147994995117188</c:v>
                </c:pt>
                <c:pt idx="5">
                  <c:v>47.684993743896484</c:v>
                </c:pt>
                <c:pt idx="6">
                  <c:v>57.221992492675781</c:v>
                </c:pt>
                <c:pt idx="7">
                  <c:v>66.758987426757813</c:v>
                </c:pt>
                <c:pt idx="8">
                  <c:v>76.295989990234375</c:v>
                </c:pt>
                <c:pt idx="9">
                  <c:v>85.832984924316406</c:v>
                </c:pt>
                <c:pt idx="10">
                  <c:v>95.369987487792969</c:v>
                </c:pt>
                <c:pt idx="11">
                  <c:v>104.906982421875</c:v>
                </c:pt>
                <c:pt idx="12">
                  <c:v>114.44398498535156</c:v>
                </c:pt>
                <c:pt idx="13">
                  <c:v>123.98097991943359</c:v>
                </c:pt>
                <c:pt idx="14">
                  <c:v>133.51797485351563</c:v>
                </c:pt>
                <c:pt idx="15">
                  <c:v>143.05497741699219</c:v>
                </c:pt>
                <c:pt idx="16">
                  <c:v>152.59197998046875</c:v>
                </c:pt>
                <c:pt idx="17">
                  <c:v>162.12896728515625</c:v>
                </c:pt>
                <c:pt idx="18">
                  <c:v>171.66596984863281</c:v>
                </c:pt>
                <c:pt idx="19">
                  <c:v>181.20297241210938</c:v>
                </c:pt>
                <c:pt idx="20">
                  <c:v>190.73997497558594</c:v>
                </c:pt>
                <c:pt idx="21">
                  <c:v>200.2769775390625</c:v>
                </c:pt>
                <c:pt idx="22">
                  <c:v>209.81396484375</c:v>
                </c:pt>
                <c:pt idx="23">
                  <c:v>219.35096740722656</c:v>
                </c:pt>
                <c:pt idx="24">
                  <c:v>228.88796997070313</c:v>
                </c:pt>
                <c:pt idx="25">
                  <c:v>238.42497253417969</c:v>
                </c:pt>
                <c:pt idx="26">
                  <c:v>247.96195983886719</c:v>
                </c:pt>
                <c:pt idx="27">
                  <c:v>257.49896240234375</c:v>
                </c:pt>
                <c:pt idx="28">
                  <c:v>267.03594970703125</c:v>
                </c:pt>
                <c:pt idx="29">
                  <c:v>276.57296752929688</c:v>
                </c:pt>
                <c:pt idx="30">
                  <c:v>286.10995483398438</c:v>
                </c:pt>
                <c:pt idx="31">
                  <c:v>295.64694213867188</c:v>
                </c:pt>
                <c:pt idx="32">
                  <c:v>305.1839599609375</c:v>
                </c:pt>
                <c:pt idx="33">
                  <c:v>314.720947265625</c:v>
                </c:pt>
                <c:pt idx="34">
                  <c:v>324.2579345703125</c:v>
                </c:pt>
                <c:pt idx="35">
                  <c:v>333.79495239257813</c:v>
                </c:pt>
                <c:pt idx="36">
                  <c:v>343.33193969726563</c:v>
                </c:pt>
                <c:pt idx="37">
                  <c:v>352.86895751953125</c:v>
                </c:pt>
                <c:pt idx="38">
                  <c:v>362.40594482421875</c:v>
                </c:pt>
                <c:pt idx="39">
                  <c:v>371.94296264648438</c:v>
                </c:pt>
                <c:pt idx="40">
                  <c:v>381.47994995117188</c:v>
                </c:pt>
                <c:pt idx="41">
                  <c:v>391.0169677734375</c:v>
                </c:pt>
                <c:pt idx="42">
                  <c:v>400.553955078125</c:v>
                </c:pt>
                <c:pt idx="43">
                  <c:v>410.0909423828125</c:v>
                </c:pt>
                <c:pt idx="44">
                  <c:v>419.6279296875</c:v>
                </c:pt>
                <c:pt idx="45">
                  <c:v>429.16494750976563</c:v>
                </c:pt>
                <c:pt idx="46">
                  <c:v>438.70193481445313</c:v>
                </c:pt>
                <c:pt idx="47">
                  <c:v>448.23895263671875</c:v>
                </c:pt>
                <c:pt idx="48">
                  <c:v>457.77593994140625</c:v>
                </c:pt>
                <c:pt idx="49">
                  <c:v>467.31292724609375</c:v>
                </c:pt>
                <c:pt idx="50">
                  <c:v>476.84994506835938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E8B-45A0-93F0-138DB4DE3FB4}"/>
            </c:ext>
          </c:extLst>
        </c:ser>
        <c:ser>
          <c:idx val="18"/>
          <c:order val="18"/>
          <c:tx>
            <c:strRef>
              <c:f>Skymaps!$D$124</c:f>
              <c:strCache>
                <c:ptCount val="1"/>
                <c:pt idx="0">
                  <c:v>18000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Skymaps!$E$124:$BC$124</c:f>
              <c:numCache>
                <c:formatCode>General</c:formatCode>
                <c:ptCount val="51"/>
                <c:pt idx="0">
                  <c:v>0</c:v>
                </c:pt>
                <c:pt idx="1">
                  <c:v>9.3434486389160156</c:v>
                </c:pt>
                <c:pt idx="2">
                  <c:v>18.686897277832031</c:v>
                </c:pt>
                <c:pt idx="3">
                  <c:v>28.030345916748047</c:v>
                </c:pt>
                <c:pt idx="4">
                  <c:v>37.373794555664063</c:v>
                </c:pt>
                <c:pt idx="5">
                  <c:v>46.717243194580078</c:v>
                </c:pt>
                <c:pt idx="6">
                  <c:v>56.060691833496094</c:v>
                </c:pt>
                <c:pt idx="7">
                  <c:v>65.404144287109375</c:v>
                </c:pt>
                <c:pt idx="8">
                  <c:v>74.747589111328125</c:v>
                </c:pt>
                <c:pt idx="9">
                  <c:v>84.091041564941406</c:v>
                </c:pt>
                <c:pt idx="10">
                  <c:v>93.434486389160156</c:v>
                </c:pt>
                <c:pt idx="11">
                  <c:v>102.77793884277344</c:v>
                </c:pt>
                <c:pt idx="12">
                  <c:v>112.12138366699219</c:v>
                </c:pt>
                <c:pt idx="13">
                  <c:v>121.46483612060547</c:v>
                </c:pt>
                <c:pt idx="14">
                  <c:v>130.80828857421875</c:v>
                </c:pt>
                <c:pt idx="15">
                  <c:v>140.1517333984375</c:v>
                </c:pt>
                <c:pt idx="16">
                  <c:v>149.49517822265625</c:v>
                </c:pt>
                <c:pt idx="17">
                  <c:v>158.83863830566406</c:v>
                </c:pt>
                <c:pt idx="18">
                  <c:v>168.18208312988281</c:v>
                </c:pt>
                <c:pt idx="19">
                  <c:v>177.52552795410156</c:v>
                </c:pt>
                <c:pt idx="20">
                  <c:v>186.86897277832031</c:v>
                </c:pt>
                <c:pt idx="21">
                  <c:v>196.21241760253906</c:v>
                </c:pt>
                <c:pt idx="22">
                  <c:v>205.55587768554688</c:v>
                </c:pt>
                <c:pt idx="23">
                  <c:v>214.89932250976563</c:v>
                </c:pt>
                <c:pt idx="24">
                  <c:v>224.24276733398438</c:v>
                </c:pt>
                <c:pt idx="25">
                  <c:v>233.58622741699219</c:v>
                </c:pt>
                <c:pt idx="26">
                  <c:v>242.92967224121094</c:v>
                </c:pt>
                <c:pt idx="27">
                  <c:v>252.27311706542969</c:v>
                </c:pt>
                <c:pt idx="28">
                  <c:v>261.6165771484375</c:v>
                </c:pt>
                <c:pt idx="29">
                  <c:v>270.96002197265625</c:v>
                </c:pt>
                <c:pt idx="30">
                  <c:v>280.303466796875</c:v>
                </c:pt>
                <c:pt idx="31">
                  <c:v>289.64691162109375</c:v>
                </c:pt>
                <c:pt idx="32">
                  <c:v>298.9903564453125</c:v>
                </c:pt>
                <c:pt idx="33">
                  <c:v>308.33380126953125</c:v>
                </c:pt>
                <c:pt idx="34">
                  <c:v>317.67727661132813</c:v>
                </c:pt>
                <c:pt idx="35">
                  <c:v>327.02072143554688</c:v>
                </c:pt>
                <c:pt idx="36">
                  <c:v>336.36416625976563</c:v>
                </c:pt>
                <c:pt idx="37">
                  <c:v>345.70761108398438</c:v>
                </c:pt>
                <c:pt idx="38">
                  <c:v>355.05105590820313</c:v>
                </c:pt>
                <c:pt idx="39">
                  <c:v>364.39450073242188</c:v>
                </c:pt>
                <c:pt idx="40">
                  <c:v>373.73794555664063</c:v>
                </c:pt>
                <c:pt idx="41">
                  <c:v>383.08139038085938</c:v>
                </c:pt>
                <c:pt idx="42">
                  <c:v>392.42483520507813</c:v>
                </c:pt>
                <c:pt idx="43">
                  <c:v>401.76828002929688</c:v>
                </c:pt>
                <c:pt idx="44">
                  <c:v>411.11175537109375</c:v>
                </c:pt>
                <c:pt idx="45">
                  <c:v>420.4552001953125</c:v>
                </c:pt>
                <c:pt idx="46">
                  <c:v>429.79864501953125</c:v>
                </c:pt>
                <c:pt idx="47">
                  <c:v>439.14208984375</c:v>
                </c:pt>
                <c:pt idx="48">
                  <c:v>448.48553466796875</c:v>
                </c:pt>
                <c:pt idx="49">
                  <c:v>457.82901000976563</c:v>
                </c:pt>
                <c:pt idx="50">
                  <c:v>467.17245483398438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E8B-45A0-93F0-138DB4DE3FB4}"/>
            </c:ext>
          </c:extLst>
        </c:ser>
        <c:ser>
          <c:idx val="19"/>
          <c:order val="19"/>
          <c:tx>
            <c:strRef>
              <c:f>Skymaps!$D$125</c:f>
              <c:strCache>
                <c:ptCount val="1"/>
                <c:pt idx="0">
                  <c:v>19000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Skymaps!$E$125:$BC$125</c:f>
              <c:numCache>
                <c:formatCode>General</c:formatCode>
                <c:ptCount val="51"/>
                <c:pt idx="0">
                  <c:v>0</c:v>
                </c:pt>
                <c:pt idx="1">
                  <c:v>9.152369499206543</c:v>
                </c:pt>
                <c:pt idx="2">
                  <c:v>18.304738998413086</c:v>
                </c:pt>
                <c:pt idx="3">
                  <c:v>27.457109451293945</c:v>
                </c:pt>
                <c:pt idx="4">
                  <c:v>36.609477996826172</c:v>
                </c:pt>
                <c:pt idx="5">
                  <c:v>45.761848449707031</c:v>
                </c:pt>
                <c:pt idx="6">
                  <c:v>54.914218902587891</c:v>
                </c:pt>
                <c:pt idx="7">
                  <c:v>64.06658935546875</c:v>
                </c:pt>
                <c:pt idx="8">
                  <c:v>73.218955993652344</c:v>
                </c:pt>
                <c:pt idx="9">
                  <c:v>82.371330261230469</c:v>
                </c:pt>
                <c:pt idx="10">
                  <c:v>91.523696899414063</c:v>
                </c:pt>
                <c:pt idx="11">
                  <c:v>100.67607116699219</c:v>
                </c:pt>
                <c:pt idx="12">
                  <c:v>109.82843780517578</c:v>
                </c:pt>
                <c:pt idx="13">
                  <c:v>118.98080444335938</c:v>
                </c:pt>
                <c:pt idx="14">
                  <c:v>128.1331787109375</c:v>
                </c:pt>
                <c:pt idx="15">
                  <c:v>137.28553771972656</c:v>
                </c:pt>
                <c:pt idx="16">
                  <c:v>146.43791198730469</c:v>
                </c:pt>
                <c:pt idx="17">
                  <c:v>155.59028625488281</c:v>
                </c:pt>
                <c:pt idx="18">
                  <c:v>164.74266052246094</c:v>
                </c:pt>
                <c:pt idx="19">
                  <c:v>173.89501953125</c:v>
                </c:pt>
                <c:pt idx="20">
                  <c:v>183.04739379882813</c:v>
                </c:pt>
                <c:pt idx="21">
                  <c:v>192.19976806640625</c:v>
                </c:pt>
                <c:pt idx="22">
                  <c:v>201.35214233398438</c:v>
                </c:pt>
                <c:pt idx="23">
                  <c:v>210.50450134277344</c:v>
                </c:pt>
                <c:pt idx="24">
                  <c:v>219.65687561035156</c:v>
                </c:pt>
                <c:pt idx="25">
                  <c:v>228.80923461914063</c:v>
                </c:pt>
                <c:pt idx="26">
                  <c:v>237.96160888671875</c:v>
                </c:pt>
                <c:pt idx="27">
                  <c:v>247.11398315429688</c:v>
                </c:pt>
                <c:pt idx="28">
                  <c:v>256.266357421875</c:v>
                </c:pt>
                <c:pt idx="29">
                  <c:v>265.41873168945313</c:v>
                </c:pt>
                <c:pt idx="30">
                  <c:v>274.57107543945313</c:v>
                </c:pt>
                <c:pt idx="31">
                  <c:v>283.72344970703125</c:v>
                </c:pt>
                <c:pt idx="32">
                  <c:v>292.87582397460938</c:v>
                </c:pt>
                <c:pt idx="33">
                  <c:v>302.0281982421875</c:v>
                </c:pt>
                <c:pt idx="34">
                  <c:v>311.18057250976563</c:v>
                </c:pt>
                <c:pt idx="35">
                  <c:v>320.33291625976563</c:v>
                </c:pt>
                <c:pt idx="36">
                  <c:v>329.48532104492188</c:v>
                </c:pt>
                <c:pt idx="37">
                  <c:v>338.63766479492188</c:v>
                </c:pt>
                <c:pt idx="38">
                  <c:v>347.7900390625</c:v>
                </c:pt>
                <c:pt idx="39">
                  <c:v>356.94241333007813</c:v>
                </c:pt>
                <c:pt idx="40">
                  <c:v>366.09478759765625</c:v>
                </c:pt>
                <c:pt idx="41">
                  <c:v>375.24716186523438</c:v>
                </c:pt>
                <c:pt idx="42">
                  <c:v>384.3995361328125</c:v>
                </c:pt>
                <c:pt idx="43">
                  <c:v>393.5518798828125</c:v>
                </c:pt>
                <c:pt idx="44">
                  <c:v>402.70428466796875</c:v>
                </c:pt>
                <c:pt idx="45">
                  <c:v>411.85662841796875</c:v>
                </c:pt>
                <c:pt idx="46">
                  <c:v>421.00900268554688</c:v>
                </c:pt>
                <c:pt idx="47">
                  <c:v>430.161376953125</c:v>
                </c:pt>
                <c:pt idx="48">
                  <c:v>439.31375122070313</c:v>
                </c:pt>
                <c:pt idx="49">
                  <c:v>448.46612548828125</c:v>
                </c:pt>
                <c:pt idx="50">
                  <c:v>457.61846923828125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E8B-45A0-93F0-138DB4DE3FB4}"/>
            </c:ext>
          </c:extLst>
        </c:ser>
        <c:ser>
          <c:idx val="20"/>
          <c:order val="20"/>
          <c:tx>
            <c:strRef>
              <c:f>Skymaps!$D$126</c:f>
              <c:strCache>
                <c:ptCount val="1"/>
                <c:pt idx="0">
                  <c:v>20000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Skymaps!$E$126:$BC$126</c:f>
              <c:numCache>
                <c:formatCode>General</c:formatCode>
                <c:ptCount val="51"/>
                <c:pt idx="0">
                  <c:v>0</c:v>
                </c:pt>
                <c:pt idx="1">
                  <c:v>8.9637479782104492</c:v>
                </c:pt>
                <c:pt idx="2">
                  <c:v>17.927495956420898</c:v>
                </c:pt>
                <c:pt idx="3">
                  <c:v>26.891244888305664</c:v>
                </c:pt>
                <c:pt idx="4">
                  <c:v>35.854991912841797</c:v>
                </c:pt>
                <c:pt idx="5">
                  <c:v>44.818740844726563</c:v>
                </c:pt>
                <c:pt idx="6">
                  <c:v>53.782489776611328</c:v>
                </c:pt>
                <c:pt idx="7">
                  <c:v>62.746238708496094</c:v>
                </c:pt>
                <c:pt idx="8">
                  <c:v>71.709983825683594</c:v>
                </c:pt>
                <c:pt idx="9">
                  <c:v>80.673736572265625</c:v>
                </c:pt>
                <c:pt idx="10">
                  <c:v>89.637481689453125</c:v>
                </c:pt>
                <c:pt idx="11">
                  <c:v>98.601226806640625</c:v>
                </c:pt>
                <c:pt idx="12">
                  <c:v>107.56497955322266</c:v>
                </c:pt>
                <c:pt idx="13">
                  <c:v>116.52872467041016</c:v>
                </c:pt>
                <c:pt idx="14">
                  <c:v>125.49247741699219</c:v>
                </c:pt>
                <c:pt idx="15">
                  <c:v>134.45622253417969</c:v>
                </c:pt>
                <c:pt idx="16">
                  <c:v>143.41996765136719</c:v>
                </c:pt>
                <c:pt idx="17">
                  <c:v>152.38371276855469</c:v>
                </c:pt>
                <c:pt idx="18">
                  <c:v>161.34747314453125</c:v>
                </c:pt>
                <c:pt idx="19">
                  <c:v>170.31121826171875</c:v>
                </c:pt>
                <c:pt idx="20">
                  <c:v>179.27496337890625</c:v>
                </c:pt>
                <c:pt idx="21">
                  <c:v>188.23870849609375</c:v>
                </c:pt>
                <c:pt idx="22">
                  <c:v>197.20245361328125</c:v>
                </c:pt>
                <c:pt idx="23">
                  <c:v>206.16621398925781</c:v>
                </c:pt>
                <c:pt idx="24">
                  <c:v>215.12995910644531</c:v>
                </c:pt>
                <c:pt idx="25">
                  <c:v>224.09370422363281</c:v>
                </c:pt>
                <c:pt idx="26">
                  <c:v>233.05744934082031</c:v>
                </c:pt>
                <c:pt idx="27">
                  <c:v>242.02119445800781</c:v>
                </c:pt>
                <c:pt idx="28">
                  <c:v>250.98495483398438</c:v>
                </c:pt>
                <c:pt idx="29">
                  <c:v>259.94869995117188</c:v>
                </c:pt>
                <c:pt idx="30">
                  <c:v>268.91244506835938</c:v>
                </c:pt>
                <c:pt idx="31">
                  <c:v>277.87619018554688</c:v>
                </c:pt>
                <c:pt idx="32">
                  <c:v>286.83993530273438</c:v>
                </c:pt>
                <c:pt idx="33">
                  <c:v>295.80368041992188</c:v>
                </c:pt>
                <c:pt idx="34">
                  <c:v>304.76742553710938</c:v>
                </c:pt>
                <c:pt idx="35">
                  <c:v>313.731201171875</c:v>
                </c:pt>
                <c:pt idx="36">
                  <c:v>322.6949462890625</c:v>
                </c:pt>
                <c:pt idx="37">
                  <c:v>331.65869140625</c:v>
                </c:pt>
                <c:pt idx="38">
                  <c:v>340.6224365234375</c:v>
                </c:pt>
                <c:pt idx="39">
                  <c:v>349.586181640625</c:v>
                </c:pt>
                <c:pt idx="40">
                  <c:v>358.5499267578125</c:v>
                </c:pt>
                <c:pt idx="41">
                  <c:v>367.513671875</c:v>
                </c:pt>
                <c:pt idx="42">
                  <c:v>376.4774169921875</c:v>
                </c:pt>
                <c:pt idx="43">
                  <c:v>385.441162109375</c:v>
                </c:pt>
                <c:pt idx="44">
                  <c:v>394.4049072265625</c:v>
                </c:pt>
                <c:pt idx="45">
                  <c:v>403.36865234375</c:v>
                </c:pt>
                <c:pt idx="46">
                  <c:v>412.33242797851563</c:v>
                </c:pt>
                <c:pt idx="47">
                  <c:v>421.29617309570313</c:v>
                </c:pt>
                <c:pt idx="48">
                  <c:v>430.25991821289063</c:v>
                </c:pt>
                <c:pt idx="49">
                  <c:v>439.22366333007813</c:v>
                </c:pt>
                <c:pt idx="50">
                  <c:v>448.18740844726563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E8B-45A0-93F0-138DB4DE3FB4}"/>
            </c:ext>
          </c:extLst>
        </c:ser>
        <c:ser>
          <c:idx val="21"/>
          <c:order val="21"/>
          <c:tx>
            <c:strRef>
              <c:f>Skymaps!$D$127</c:f>
              <c:strCache>
                <c:ptCount val="1"/>
                <c:pt idx="0">
                  <c:v>21000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Skymaps!$E$127:$BC$127</c:f>
              <c:numCache>
                <c:formatCode>General</c:formatCode>
                <c:ptCount val="51"/>
                <c:pt idx="0">
                  <c:v>0</c:v>
                </c:pt>
                <c:pt idx="1">
                  <c:v>8.7775716781616211</c:v>
                </c:pt>
                <c:pt idx="2">
                  <c:v>17.555143356323242</c:v>
                </c:pt>
                <c:pt idx="3">
                  <c:v>26.33271598815918</c:v>
                </c:pt>
                <c:pt idx="4">
                  <c:v>35.110286712646484</c:v>
                </c:pt>
                <c:pt idx="5">
                  <c:v>43.887859344482422</c:v>
                </c:pt>
                <c:pt idx="6">
                  <c:v>52.665431976318359</c:v>
                </c:pt>
                <c:pt idx="7">
                  <c:v>61.443000793457031</c:v>
                </c:pt>
                <c:pt idx="8">
                  <c:v>70.220573425292969</c:v>
                </c:pt>
                <c:pt idx="9">
                  <c:v>78.998146057128906</c:v>
                </c:pt>
                <c:pt idx="10">
                  <c:v>87.775718688964844</c:v>
                </c:pt>
                <c:pt idx="11">
                  <c:v>96.55328369140625</c:v>
                </c:pt>
                <c:pt idx="12">
                  <c:v>105.33086395263672</c:v>
                </c:pt>
                <c:pt idx="13">
                  <c:v>114.10842895507813</c:v>
                </c:pt>
                <c:pt idx="14">
                  <c:v>122.88600158691406</c:v>
                </c:pt>
                <c:pt idx="15">
                  <c:v>131.66357421875</c:v>
                </c:pt>
                <c:pt idx="16">
                  <c:v>140.44114685058594</c:v>
                </c:pt>
                <c:pt idx="17">
                  <c:v>149.21871948242188</c:v>
                </c:pt>
                <c:pt idx="18">
                  <c:v>157.99629211425781</c:v>
                </c:pt>
                <c:pt idx="19">
                  <c:v>166.77386474609375</c:v>
                </c:pt>
                <c:pt idx="20">
                  <c:v>175.55143737792969</c:v>
                </c:pt>
                <c:pt idx="21">
                  <c:v>184.32901000976563</c:v>
                </c:pt>
                <c:pt idx="22">
                  <c:v>193.1065673828125</c:v>
                </c:pt>
                <c:pt idx="23">
                  <c:v>201.88414001464844</c:v>
                </c:pt>
                <c:pt idx="24">
                  <c:v>210.66172790527344</c:v>
                </c:pt>
                <c:pt idx="25">
                  <c:v>219.43928527832031</c:v>
                </c:pt>
                <c:pt idx="26">
                  <c:v>228.21685791015625</c:v>
                </c:pt>
                <c:pt idx="27">
                  <c:v>236.99443054199219</c:v>
                </c:pt>
                <c:pt idx="28">
                  <c:v>245.77200317382813</c:v>
                </c:pt>
                <c:pt idx="29">
                  <c:v>254.54957580566406</c:v>
                </c:pt>
                <c:pt idx="30">
                  <c:v>263.3271484375</c:v>
                </c:pt>
                <c:pt idx="31">
                  <c:v>272.104736328125</c:v>
                </c:pt>
                <c:pt idx="32">
                  <c:v>280.88229370117188</c:v>
                </c:pt>
                <c:pt idx="33">
                  <c:v>289.65985107421875</c:v>
                </c:pt>
                <c:pt idx="34">
                  <c:v>298.43743896484375</c:v>
                </c:pt>
                <c:pt idx="35">
                  <c:v>307.21499633789063</c:v>
                </c:pt>
                <c:pt idx="36">
                  <c:v>315.99258422851563</c:v>
                </c:pt>
                <c:pt idx="37">
                  <c:v>324.7701416015625</c:v>
                </c:pt>
                <c:pt idx="38">
                  <c:v>333.5477294921875</c:v>
                </c:pt>
                <c:pt idx="39">
                  <c:v>342.32528686523438</c:v>
                </c:pt>
                <c:pt idx="40">
                  <c:v>351.10287475585938</c:v>
                </c:pt>
                <c:pt idx="41">
                  <c:v>359.88043212890625</c:v>
                </c:pt>
                <c:pt idx="42">
                  <c:v>368.65802001953125</c:v>
                </c:pt>
                <c:pt idx="43">
                  <c:v>377.43557739257813</c:v>
                </c:pt>
                <c:pt idx="44">
                  <c:v>386.213134765625</c:v>
                </c:pt>
                <c:pt idx="45">
                  <c:v>394.99072265625</c:v>
                </c:pt>
                <c:pt idx="46">
                  <c:v>403.76828002929688</c:v>
                </c:pt>
                <c:pt idx="47">
                  <c:v>412.54586791992188</c:v>
                </c:pt>
                <c:pt idx="48">
                  <c:v>421.32345581054688</c:v>
                </c:pt>
                <c:pt idx="49">
                  <c:v>430.10101318359375</c:v>
                </c:pt>
                <c:pt idx="50">
                  <c:v>438.87857055664063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E8B-45A0-93F0-138DB4DE3FB4}"/>
            </c:ext>
          </c:extLst>
        </c:ser>
        <c:ser>
          <c:idx val="22"/>
          <c:order val="22"/>
          <c:tx>
            <c:strRef>
              <c:f>Skymaps!$D$128</c:f>
              <c:strCache>
                <c:ptCount val="1"/>
                <c:pt idx="0">
                  <c:v>22000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Skymaps!$E$128:$BC$128</c:f>
              <c:numCache>
                <c:formatCode>General</c:formatCode>
                <c:ptCount val="51"/>
                <c:pt idx="0">
                  <c:v>0</c:v>
                </c:pt>
                <c:pt idx="1">
                  <c:v>8.5938272476196289</c:v>
                </c:pt>
                <c:pt idx="2">
                  <c:v>17.187654495239258</c:v>
                </c:pt>
                <c:pt idx="3">
                  <c:v>25.781482696533203</c:v>
                </c:pt>
                <c:pt idx="4">
                  <c:v>34.375308990478516</c:v>
                </c:pt>
                <c:pt idx="5">
                  <c:v>42.969135284423828</c:v>
                </c:pt>
                <c:pt idx="6">
                  <c:v>51.562965393066406</c:v>
                </c:pt>
                <c:pt idx="7">
                  <c:v>60.156791687011719</c:v>
                </c:pt>
                <c:pt idx="8">
                  <c:v>68.750617980957031</c:v>
                </c:pt>
                <c:pt idx="9">
                  <c:v>77.344444274902344</c:v>
                </c:pt>
                <c:pt idx="10">
                  <c:v>85.938270568847656</c:v>
                </c:pt>
                <c:pt idx="11">
                  <c:v>94.532096862792969</c:v>
                </c:pt>
                <c:pt idx="12">
                  <c:v>103.12593078613281</c:v>
                </c:pt>
                <c:pt idx="13">
                  <c:v>111.71975708007813</c:v>
                </c:pt>
                <c:pt idx="14">
                  <c:v>120.31358337402344</c:v>
                </c:pt>
                <c:pt idx="15">
                  <c:v>128.90740966796875</c:v>
                </c:pt>
                <c:pt idx="16">
                  <c:v>137.50123596191406</c:v>
                </c:pt>
                <c:pt idx="17">
                  <c:v>146.09506225585938</c:v>
                </c:pt>
                <c:pt idx="18">
                  <c:v>154.68888854980469</c:v>
                </c:pt>
                <c:pt idx="19">
                  <c:v>163.28271484375</c:v>
                </c:pt>
                <c:pt idx="20">
                  <c:v>171.87654113769531</c:v>
                </c:pt>
                <c:pt idx="21">
                  <c:v>180.47036743164063</c:v>
                </c:pt>
                <c:pt idx="22">
                  <c:v>189.06419372558594</c:v>
                </c:pt>
                <c:pt idx="23">
                  <c:v>197.65802001953125</c:v>
                </c:pt>
                <c:pt idx="24">
                  <c:v>206.25186157226563</c:v>
                </c:pt>
                <c:pt idx="25">
                  <c:v>214.84567260742188</c:v>
                </c:pt>
                <c:pt idx="26">
                  <c:v>223.43951416015625</c:v>
                </c:pt>
                <c:pt idx="27">
                  <c:v>232.0333251953125</c:v>
                </c:pt>
                <c:pt idx="28">
                  <c:v>240.62716674804688</c:v>
                </c:pt>
                <c:pt idx="29">
                  <c:v>249.22099304199219</c:v>
                </c:pt>
                <c:pt idx="30">
                  <c:v>257.8148193359375</c:v>
                </c:pt>
                <c:pt idx="31">
                  <c:v>266.40863037109375</c:v>
                </c:pt>
                <c:pt idx="32">
                  <c:v>275.00247192382813</c:v>
                </c:pt>
                <c:pt idx="33">
                  <c:v>283.5963134765625</c:v>
                </c:pt>
                <c:pt idx="34">
                  <c:v>292.19012451171875</c:v>
                </c:pt>
                <c:pt idx="35">
                  <c:v>300.78396606445313</c:v>
                </c:pt>
                <c:pt idx="36">
                  <c:v>309.37777709960938</c:v>
                </c:pt>
                <c:pt idx="37">
                  <c:v>317.97161865234375</c:v>
                </c:pt>
                <c:pt idx="38">
                  <c:v>326.5654296875</c:v>
                </c:pt>
                <c:pt idx="39">
                  <c:v>335.15927124023438</c:v>
                </c:pt>
                <c:pt idx="40">
                  <c:v>343.75308227539063</c:v>
                </c:pt>
                <c:pt idx="41">
                  <c:v>352.346923828125</c:v>
                </c:pt>
                <c:pt idx="42">
                  <c:v>360.94073486328125</c:v>
                </c:pt>
                <c:pt idx="43">
                  <c:v>369.53457641601563</c:v>
                </c:pt>
                <c:pt idx="44">
                  <c:v>378.12838745117188</c:v>
                </c:pt>
                <c:pt idx="45">
                  <c:v>386.72222900390625</c:v>
                </c:pt>
                <c:pt idx="46">
                  <c:v>395.3160400390625</c:v>
                </c:pt>
                <c:pt idx="47">
                  <c:v>403.90988159179688</c:v>
                </c:pt>
                <c:pt idx="48">
                  <c:v>412.50372314453125</c:v>
                </c:pt>
                <c:pt idx="49">
                  <c:v>421.0975341796875</c:v>
                </c:pt>
                <c:pt idx="50">
                  <c:v>429.69134521484375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E8B-45A0-93F0-138DB4DE3FB4}"/>
            </c:ext>
          </c:extLst>
        </c:ser>
        <c:ser>
          <c:idx val="23"/>
          <c:order val="23"/>
          <c:tx>
            <c:strRef>
              <c:f>Skymaps!$D$129</c:f>
              <c:strCache>
                <c:ptCount val="1"/>
                <c:pt idx="0">
                  <c:v>23000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Skymaps!$E$129:$BC$129</c:f>
              <c:numCache>
                <c:formatCode>General</c:formatCode>
                <c:ptCount val="51"/>
                <c:pt idx="0">
                  <c:v>0</c:v>
                </c:pt>
                <c:pt idx="1">
                  <c:v>8.412501335144043</c:v>
                </c:pt>
                <c:pt idx="2">
                  <c:v>16.825002670288086</c:v>
                </c:pt>
                <c:pt idx="3">
                  <c:v>25.237504959106445</c:v>
                </c:pt>
                <c:pt idx="4">
                  <c:v>33.650005340576172</c:v>
                </c:pt>
                <c:pt idx="5">
                  <c:v>42.062507629394531</c:v>
                </c:pt>
                <c:pt idx="6">
                  <c:v>50.475009918212891</c:v>
                </c:pt>
                <c:pt idx="7">
                  <c:v>58.88751220703125</c:v>
                </c:pt>
                <c:pt idx="8">
                  <c:v>67.300010681152344</c:v>
                </c:pt>
                <c:pt idx="9">
                  <c:v>75.712516784667969</c:v>
                </c:pt>
                <c:pt idx="10">
                  <c:v>84.125015258789063</c:v>
                </c:pt>
                <c:pt idx="11">
                  <c:v>92.537513732910156</c:v>
                </c:pt>
                <c:pt idx="12">
                  <c:v>100.95001983642578</c:v>
                </c:pt>
                <c:pt idx="13">
                  <c:v>109.36252593994141</c:v>
                </c:pt>
                <c:pt idx="14">
                  <c:v>117.7750244140625</c:v>
                </c:pt>
                <c:pt idx="15">
                  <c:v>126.18752288818359</c:v>
                </c:pt>
                <c:pt idx="16">
                  <c:v>134.60002136230469</c:v>
                </c:pt>
                <c:pt idx="17">
                  <c:v>143.01252746582031</c:v>
                </c:pt>
                <c:pt idx="18">
                  <c:v>151.42503356933594</c:v>
                </c:pt>
                <c:pt idx="19">
                  <c:v>159.8375244140625</c:v>
                </c:pt>
                <c:pt idx="20">
                  <c:v>168.25003051757813</c:v>
                </c:pt>
                <c:pt idx="21">
                  <c:v>176.66253662109375</c:v>
                </c:pt>
                <c:pt idx="22">
                  <c:v>185.07502746582031</c:v>
                </c:pt>
                <c:pt idx="23">
                  <c:v>193.48753356933594</c:v>
                </c:pt>
                <c:pt idx="24">
                  <c:v>201.90003967285156</c:v>
                </c:pt>
                <c:pt idx="25">
                  <c:v>210.31254577636719</c:v>
                </c:pt>
                <c:pt idx="26">
                  <c:v>218.72505187988281</c:v>
                </c:pt>
                <c:pt idx="27">
                  <c:v>227.13754272460938</c:v>
                </c:pt>
                <c:pt idx="28">
                  <c:v>235.550048828125</c:v>
                </c:pt>
                <c:pt idx="29">
                  <c:v>243.96253967285156</c:v>
                </c:pt>
                <c:pt idx="30">
                  <c:v>252.37504577636719</c:v>
                </c:pt>
                <c:pt idx="31">
                  <c:v>260.78753662109375</c:v>
                </c:pt>
                <c:pt idx="32">
                  <c:v>269.20004272460938</c:v>
                </c:pt>
                <c:pt idx="33">
                  <c:v>277.612548828125</c:v>
                </c:pt>
                <c:pt idx="34">
                  <c:v>286.02505493164063</c:v>
                </c:pt>
                <c:pt idx="35">
                  <c:v>294.43756103515625</c:v>
                </c:pt>
                <c:pt idx="36">
                  <c:v>302.85006713867188</c:v>
                </c:pt>
                <c:pt idx="37">
                  <c:v>311.2625732421875</c:v>
                </c:pt>
                <c:pt idx="38">
                  <c:v>319.675048828125</c:v>
                </c:pt>
                <c:pt idx="39">
                  <c:v>328.08755493164063</c:v>
                </c:pt>
                <c:pt idx="40">
                  <c:v>336.50006103515625</c:v>
                </c:pt>
                <c:pt idx="41">
                  <c:v>344.91256713867188</c:v>
                </c:pt>
                <c:pt idx="42">
                  <c:v>353.3250732421875</c:v>
                </c:pt>
                <c:pt idx="43">
                  <c:v>361.73757934570313</c:v>
                </c:pt>
                <c:pt idx="44">
                  <c:v>370.15005493164063</c:v>
                </c:pt>
                <c:pt idx="45">
                  <c:v>378.56256103515625</c:v>
                </c:pt>
                <c:pt idx="46">
                  <c:v>386.97506713867188</c:v>
                </c:pt>
                <c:pt idx="47">
                  <c:v>395.3875732421875</c:v>
                </c:pt>
                <c:pt idx="48">
                  <c:v>403.80007934570313</c:v>
                </c:pt>
                <c:pt idx="49">
                  <c:v>412.21258544921875</c:v>
                </c:pt>
                <c:pt idx="50">
                  <c:v>420.62509155273438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E8B-45A0-93F0-138DB4DE3FB4}"/>
            </c:ext>
          </c:extLst>
        </c:ser>
        <c:ser>
          <c:idx val="24"/>
          <c:order val="24"/>
          <c:tx>
            <c:strRef>
              <c:f>Skymaps!$D$130</c:f>
              <c:strCache>
                <c:ptCount val="1"/>
                <c:pt idx="0">
                  <c:v>24000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Skymaps!$E$130:$BC$130</c:f>
              <c:numCache>
                <c:formatCode>General</c:formatCode>
                <c:ptCount val="51"/>
                <c:pt idx="0">
                  <c:v>0</c:v>
                </c:pt>
                <c:pt idx="1">
                  <c:v>8.2335824966430664</c:v>
                </c:pt>
                <c:pt idx="2">
                  <c:v>16.467164993286133</c:v>
                </c:pt>
                <c:pt idx="3">
                  <c:v>24.700748443603516</c:v>
                </c:pt>
                <c:pt idx="4">
                  <c:v>32.934329986572266</c:v>
                </c:pt>
                <c:pt idx="5">
                  <c:v>41.167911529541016</c:v>
                </c:pt>
                <c:pt idx="6">
                  <c:v>49.401496887207031</c:v>
                </c:pt>
                <c:pt idx="7">
                  <c:v>57.635078430175781</c:v>
                </c:pt>
                <c:pt idx="8">
                  <c:v>65.868659973144531</c:v>
                </c:pt>
                <c:pt idx="9">
                  <c:v>74.102249145507813</c:v>
                </c:pt>
                <c:pt idx="10">
                  <c:v>82.335823059082031</c:v>
                </c:pt>
                <c:pt idx="11">
                  <c:v>90.569412231445313</c:v>
                </c:pt>
                <c:pt idx="12">
                  <c:v>98.802993774414063</c:v>
                </c:pt>
                <c:pt idx="13">
                  <c:v>107.03657531738281</c:v>
                </c:pt>
                <c:pt idx="14">
                  <c:v>115.27015686035156</c:v>
                </c:pt>
                <c:pt idx="15">
                  <c:v>123.50373840332031</c:v>
                </c:pt>
                <c:pt idx="16">
                  <c:v>131.73731994628906</c:v>
                </c:pt>
                <c:pt idx="17">
                  <c:v>139.97090148925781</c:v>
                </c:pt>
                <c:pt idx="18">
                  <c:v>148.20449829101563</c:v>
                </c:pt>
                <c:pt idx="19">
                  <c:v>156.43806457519531</c:v>
                </c:pt>
                <c:pt idx="20">
                  <c:v>164.67164611816406</c:v>
                </c:pt>
                <c:pt idx="21">
                  <c:v>172.90524291992188</c:v>
                </c:pt>
                <c:pt idx="22">
                  <c:v>181.13882446289063</c:v>
                </c:pt>
                <c:pt idx="23">
                  <c:v>189.37240600585938</c:v>
                </c:pt>
                <c:pt idx="24">
                  <c:v>197.60598754882813</c:v>
                </c:pt>
                <c:pt idx="25">
                  <c:v>205.83956909179688</c:v>
                </c:pt>
                <c:pt idx="26">
                  <c:v>214.07315063476563</c:v>
                </c:pt>
                <c:pt idx="27">
                  <c:v>222.30673217773438</c:v>
                </c:pt>
                <c:pt idx="28">
                  <c:v>230.54031372070313</c:v>
                </c:pt>
                <c:pt idx="29">
                  <c:v>238.77391052246094</c:v>
                </c:pt>
                <c:pt idx="30">
                  <c:v>247.00747680664063</c:v>
                </c:pt>
                <c:pt idx="31">
                  <c:v>255.24105834960938</c:v>
                </c:pt>
                <c:pt idx="32">
                  <c:v>263.47463989257813</c:v>
                </c:pt>
                <c:pt idx="33">
                  <c:v>271.70822143554688</c:v>
                </c:pt>
                <c:pt idx="34">
                  <c:v>279.94180297851563</c:v>
                </c:pt>
                <c:pt idx="35">
                  <c:v>288.1754150390625</c:v>
                </c:pt>
                <c:pt idx="36">
                  <c:v>296.40899658203125</c:v>
                </c:pt>
                <c:pt idx="37">
                  <c:v>304.64254760742188</c:v>
                </c:pt>
                <c:pt idx="38">
                  <c:v>312.87612915039063</c:v>
                </c:pt>
                <c:pt idx="39">
                  <c:v>321.1097412109375</c:v>
                </c:pt>
                <c:pt idx="40">
                  <c:v>329.34329223632813</c:v>
                </c:pt>
                <c:pt idx="41">
                  <c:v>337.57687377929688</c:v>
                </c:pt>
                <c:pt idx="42">
                  <c:v>345.81048583984375</c:v>
                </c:pt>
                <c:pt idx="43">
                  <c:v>354.0440673828125</c:v>
                </c:pt>
                <c:pt idx="44">
                  <c:v>362.27764892578125</c:v>
                </c:pt>
                <c:pt idx="45">
                  <c:v>370.51123046875</c:v>
                </c:pt>
                <c:pt idx="46">
                  <c:v>378.74481201171875</c:v>
                </c:pt>
                <c:pt idx="47">
                  <c:v>386.9783935546875</c:v>
                </c:pt>
                <c:pt idx="48">
                  <c:v>395.21197509765625</c:v>
                </c:pt>
                <c:pt idx="49">
                  <c:v>403.445556640625</c:v>
                </c:pt>
                <c:pt idx="50">
                  <c:v>411.67913818359375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E8B-45A0-93F0-138DB4DE3FB4}"/>
            </c:ext>
          </c:extLst>
        </c:ser>
        <c:ser>
          <c:idx val="25"/>
          <c:order val="25"/>
          <c:tx>
            <c:strRef>
              <c:f>Skymaps!$D$131</c:f>
              <c:strCache>
                <c:ptCount val="1"/>
                <c:pt idx="0">
                  <c:v>25000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Skymaps!$E$131:$BC$131</c:f>
              <c:numCache>
                <c:formatCode>General</c:formatCode>
                <c:ptCount val="51"/>
                <c:pt idx="0">
                  <c:v>0</c:v>
                </c:pt>
                <c:pt idx="1">
                  <c:v>8.0570573806762695</c:v>
                </c:pt>
                <c:pt idx="2">
                  <c:v>16.114114761352539</c:v>
                </c:pt>
                <c:pt idx="3">
                  <c:v>24.171171188354492</c:v>
                </c:pt>
                <c:pt idx="4">
                  <c:v>32.228229522705078</c:v>
                </c:pt>
                <c:pt idx="5">
                  <c:v>40.285285949707031</c:v>
                </c:pt>
                <c:pt idx="6">
                  <c:v>48.342342376708984</c:v>
                </c:pt>
                <c:pt idx="7">
                  <c:v>56.399398803710938</c:v>
                </c:pt>
                <c:pt idx="8">
                  <c:v>64.456459045410156</c:v>
                </c:pt>
                <c:pt idx="9">
                  <c:v>72.513511657714844</c:v>
                </c:pt>
                <c:pt idx="10">
                  <c:v>80.570571899414063</c:v>
                </c:pt>
                <c:pt idx="11">
                  <c:v>88.62762451171875</c:v>
                </c:pt>
                <c:pt idx="12">
                  <c:v>96.684684753417969</c:v>
                </c:pt>
                <c:pt idx="13">
                  <c:v>104.74174499511719</c:v>
                </c:pt>
                <c:pt idx="14">
                  <c:v>112.79879760742188</c:v>
                </c:pt>
                <c:pt idx="15">
                  <c:v>120.85585784912109</c:v>
                </c:pt>
                <c:pt idx="16">
                  <c:v>128.91291809082031</c:v>
                </c:pt>
                <c:pt idx="17">
                  <c:v>136.969970703125</c:v>
                </c:pt>
                <c:pt idx="18">
                  <c:v>145.02702331542969</c:v>
                </c:pt>
                <c:pt idx="19">
                  <c:v>153.08407592773438</c:v>
                </c:pt>
                <c:pt idx="20">
                  <c:v>161.14114379882813</c:v>
                </c:pt>
                <c:pt idx="21">
                  <c:v>169.19819641113281</c:v>
                </c:pt>
                <c:pt idx="22">
                  <c:v>177.2552490234375</c:v>
                </c:pt>
                <c:pt idx="23">
                  <c:v>185.31230163574219</c:v>
                </c:pt>
                <c:pt idx="24">
                  <c:v>193.36936950683594</c:v>
                </c:pt>
                <c:pt idx="25">
                  <c:v>201.42642211914063</c:v>
                </c:pt>
                <c:pt idx="26">
                  <c:v>209.48348999023438</c:v>
                </c:pt>
                <c:pt idx="27">
                  <c:v>217.54054260253906</c:v>
                </c:pt>
                <c:pt idx="28">
                  <c:v>225.59759521484375</c:v>
                </c:pt>
                <c:pt idx="29">
                  <c:v>233.65464782714844</c:v>
                </c:pt>
                <c:pt idx="30">
                  <c:v>241.71171569824219</c:v>
                </c:pt>
                <c:pt idx="31">
                  <c:v>249.76876831054688</c:v>
                </c:pt>
                <c:pt idx="32">
                  <c:v>257.82583618164063</c:v>
                </c:pt>
                <c:pt idx="33">
                  <c:v>265.88287353515625</c:v>
                </c:pt>
                <c:pt idx="34">
                  <c:v>273.93994140625</c:v>
                </c:pt>
                <c:pt idx="35">
                  <c:v>281.99700927734375</c:v>
                </c:pt>
                <c:pt idx="36">
                  <c:v>290.05404663085938</c:v>
                </c:pt>
                <c:pt idx="37">
                  <c:v>298.11111450195313</c:v>
                </c:pt>
                <c:pt idx="38">
                  <c:v>306.16815185546875</c:v>
                </c:pt>
                <c:pt idx="39">
                  <c:v>314.2252197265625</c:v>
                </c:pt>
                <c:pt idx="40">
                  <c:v>322.28228759765625</c:v>
                </c:pt>
                <c:pt idx="41">
                  <c:v>330.33932495117188</c:v>
                </c:pt>
                <c:pt idx="42">
                  <c:v>338.39639282226563</c:v>
                </c:pt>
                <c:pt idx="43">
                  <c:v>346.45346069335938</c:v>
                </c:pt>
                <c:pt idx="44">
                  <c:v>354.510498046875</c:v>
                </c:pt>
                <c:pt idx="45">
                  <c:v>362.56756591796875</c:v>
                </c:pt>
                <c:pt idx="46">
                  <c:v>370.62460327148438</c:v>
                </c:pt>
                <c:pt idx="47">
                  <c:v>378.68167114257813</c:v>
                </c:pt>
                <c:pt idx="48">
                  <c:v>386.73873901367188</c:v>
                </c:pt>
                <c:pt idx="49">
                  <c:v>394.79580688476563</c:v>
                </c:pt>
                <c:pt idx="50">
                  <c:v>402.85284423828125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E8B-45A0-93F0-138DB4DE3FB4}"/>
            </c:ext>
          </c:extLst>
        </c:ser>
        <c:ser>
          <c:idx val="26"/>
          <c:order val="26"/>
          <c:tx>
            <c:strRef>
              <c:f>Skymaps!$D$132</c:f>
              <c:strCache>
                <c:ptCount val="1"/>
                <c:pt idx="0">
                  <c:v>26000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Skymaps!$E$132:$BC$132</c:f>
              <c:numCache>
                <c:formatCode>General</c:formatCode>
                <c:ptCount val="51"/>
                <c:pt idx="0">
                  <c:v>0</c:v>
                </c:pt>
                <c:pt idx="1">
                  <c:v>7.8829116821289063</c:v>
                </c:pt>
                <c:pt idx="2">
                  <c:v>15.765823364257813</c:v>
                </c:pt>
                <c:pt idx="3">
                  <c:v>23.648735046386719</c:v>
                </c:pt>
                <c:pt idx="4">
                  <c:v>31.531646728515625</c:v>
                </c:pt>
                <c:pt idx="5">
                  <c:v>39.414558410644531</c:v>
                </c:pt>
                <c:pt idx="6">
                  <c:v>47.297470092773438</c:v>
                </c:pt>
                <c:pt idx="7">
                  <c:v>55.180381774902344</c:v>
                </c:pt>
                <c:pt idx="8">
                  <c:v>63.06329345703125</c:v>
                </c:pt>
                <c:pt idx="9">
                  <c:v>70.946205139160156</c:v>
                </c:pt>
                <c:pt idx="10">
                  <c:v>78.829116821289063</c:v>
                </c:pt>
                <c:pt idx="11">
                  <c:v>86.712028503417969</c:v>
                </c:pt>
                <c:pt idx="12">
                  <c:v>94.594940185546875</c:v>
                </c:pt>
                <c:pt idx="13">
                  <c:v>102.47785186767578</c:v>
                </c:pt>
                <c:pt idx="14">
                  <c:v>110.36076354980469</c:v>
                </c:pt>
                <c:pt idx="15">
                  <c:v>118.24367523193359</c:v>
                </c:pt>
                <c:pt idx="16">
                  <c:v>126.1265869140625</c:v>
                </c:pt>
                <c:pt idx="17">
                  <c:v>134.00949096679688</c:v>
                </c:pt>
                <c:pt idx="18">
                  <c:v>141.89241027832031</c:v>
                </c:pt>
                <c:pt idx="19">
                  <c:v>149.77531433105469</c:v>
                </c:pt>
                <c:pt idx="20">
                  <c:v>157.65823364257813</c:v>
                </c:pt>
                <c:pt idx="21">
                  <c:v>165.5411376953125</c:v>
                </c:pt>
                <c:pt idx="22">
                  <c:v>173.42405700683594</c:v>
                </c:pt>
                <c:pt idx="23">
                  <c:v>181.30697631835938</c:v>
                </c:pt>
                <c:pt idx="24">
                  <c:v>189.18988037109375</c:v>
                </c:pt>
                <c:pt idx="25">
                  <c:v>197.07278442382813</c:v>
                </c:pt>
                <c:pt idx="26">
                  <c:v>204.95570373535156</c:v>
                </c:pt>
                <c:pt idx="27">
                  <c:v>212.838623046875</c:v>
                </c:pt>
                <c:pt idx="28">
                  <c:v>220.72152709960938</c:v>
                </c:pt>
                <c:pt idx="29">
                  <c:v>228.60443115234375</c:v>
                </c:pt>
                <c:pt idx="30">
                  <c:v>236.48735046386719</c:v>
                </c:pt>
                <c:pt idx="31">
                  <c:v>244.37026977539063</c:v>
                </c:pt>
                <c:pt idx="32">
                  <c:v>252.253173828125</c:v>
                </c:pt>
                <c:pt idx="33">
                  <c:v>260.13607788085938</c:v>
                </c:pt>
                <c:pt idx="34">
                  <c:v>268.01898193359375</c:v>
                </c:pt>
                <c:pt idx="35">
                  <c:v>275.90191650390625</c:v>
                </c:pt>
                <c:pt idx="36">
                  <c:v>283.78482055664063</c:v>
                </c:pt>
                <c:pt idx="37">
                  <c:v>291.667724609375</c:v>
                </c:pt>
                <c:pt idx="38">
                  <c:v>299.55062866210938</c:v>
                </c:pt>
                <c:pt idx="39">
                  <c:v>307.43356323242188</c:v>
                </c:pt>
                <c:pt idx="40">
                  <c:v>315.31646728515625</c:v>
                </c:pt>
                <c:pt idx="41">
                  <c:v>323.19937133789063</c:v>
                </c:pt>
                <c:pt idx="42">
                  <c:v>331.082275390625</c:v>
                </c:pt>
                <c:pt idx="43">
                  <c:v>338.9652099609375</c:v>
                </c:pt>
                <c:pt idx="44">
                  <c:v>346.84811401367188</c:v>
                </c:pt>
                <c:pt idx="45">
                  <c:v>354.73101806640625</c:v>
                </c:pt>
                <c:pt idx="46">
                  <c:v>362.61395263671875</c:v>
                </c:pt>
                <c:pt idx="47">
                  <c:v>370.49685668945313</c:v>
                </c:pt>
                <c:pt idx="48">
                  <c:v>378.3797607421875</c:v>
                </c:pt>
                <c:pt idx="49">
                  <c:v>386.26266479492188</c:v>
                </c:pt>
                <c:pt idx="50">
                  <c:v>394.14556884765625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E8B-45A0-93F0-138DB4DE3FB4}"/>
            </c:ext>
          </c:extLst>
        </c:ser>
        <c:ser>
          <c:idx val="27"/>
          <c:order val="27"/>
          <c:tx>
            <c:strRef>
              <c:f>Skymaps!$D$133</c:f>
              <c:strCache>
                <c:ptCount val="1"/>
                <c:pt idx="0">
                  <c:v>27000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Skymaps!$E$133:$BC$133</c:f>
              <c:numCache>
                <c:formatCode>General</c:formatCode>
                <c:ptCount val="51"/>
                <c:pt idx="0">
                  <c:v>0</c:v>
                </c:pt>
                <c:pt idx="1">
                  <c:v>7.7111334800720215</c:v>
                </c:pt>
                <c:pt idx="2">
                  <c:v>15.422266960144043</c:v>
                </c:pt>
                <c:pt idx="3">
                  <c:v>23.133399963378906</c:v>
                </c:pt>
                <c:pt idx="4">
                  <c:v>30.844533920288086</c:v>
                </c:pt>
                <c:pt idx="5">
                  <c:v>38.555667877197266</c:v>
                </c:pt>
                <c:pt idx="6">
                  <c:v>46.266799926757813</c:v>
                </c:pt>
                <c:pt idx="7">
                  <c:v>53.977935791015625</c:v>
                </c:pt>
                <c:pt idx="8">
                  <c:v>61.689067840576172</c:v>
                </c:pt>
                <c:pt idx="9">
                  <c:v>69.400199890136719</c:v>
                </c:pt>
                <c:pt idx="10">
                  <c:v>77.111335754394531</c:v>
                </c:pt>
                <c:pt idx="11">
                  <c:v>84.822471618652344</c:v>
                </c:pt>
                <c:pt idx="12">
                  <c:v>92.533599853515625</c:v>
                </c:pt>
                <c:pt idx="13">
                  <c:v>100.24473571777344</c:v>
                </c:pt>
                <c:pt idx="14">
                  <c:v>107.95587158203125</c:v>
                </c:pt>
                <c:pt idx="15">
                  <c:v>115.66700744628906</c:v>
                </c:pt>
                <c:pt idx="16">
                  <c:v>123.37813568115234</c:v>
                </c:pt>
                <c:pt idx="17">
                  <c:v>131.08927917480469</c:v>
                </c:pt>
                <c:pt idx="18">
                  <c:v>138.80039978027344</c:v>
                </c:pt>
                <c:pt idx="19">
                  <c:v>146.51153564453125</c:v>
                </c:pt>
                <c:pt idx="20">
                  <c:v>154.22267150878906</c:v>
                </c:pt>
                <c:pt idx="21">
                  <c:v>161.93380737304688</c:v>
                </c:pt>
                <c:pt idx="22">
                  <c:v>169.64494323730469</c:v>
                </c:pt>
                <c:pt idx="23">
                  <c:v>177.3560791015625</c:v>
                </c:pt>
                <c:pt idx="24">
                  <c:v>185.06719970703125</c:v>
                </c:pt>
                <c:pt idx="25">
                  <c:v>192.77835083007813</c:v>
                </c:pt>
                <c:pt idx="26">
                  <c:v>200.48947143554688</c:v>
                </c:pt>
                <c:pt idx="27">
                  <c:v>208.20060729980469</c:v>
                </c:pt>
                <c:pt idx="28">
                  <c:v>215.9117431640625</c:v>
                </c:pt>
                <c:pt idx="29">
                  <c:v>223.62287902832031</c:v>
                </c:pt>
                <c:pt idx="30">
                  <c:v>231.33401489257813</c:v>
                </c:pt>
                <c:pt idx="31">
                  <c:v>239.04515075683594</c:v>
                </c:pt>
                <c:pt idx="32">
                  <c:v>246.75627136230469</c:v>
                </c:pt>
                <c:pt idx="33">
                  <c:v>254.4674072265625</c:v>
                </c:pt>
                <c:pt idx="34">
                  <c:v>262.17855834960938</c:v>
                </c:pt>
                <c:pt idx="35">
                  <c:v>269.88967895507813</c:v>
                </c:pt>
                <c:pt idx="36">
                  <c:v>277.60079956054688</c:v>
                </c:pt>
                <c:pt idx="37">
                  <c:v>285.31195068359375</c:v>
                </c:pt>
                <c:pt idx="38">
                  <c:v>293.0230712890625</c:v>
                </c:pt>
                <c:pt idx="39">
                  <c:v>300.73422241210938</c:v>
                </c:pt>
                <c:pt idx="40">
                  <c:v>308.44534301757813</c:v>
                </c:pt>
                <c:pt idx="41">
                  <c:v>316.156494140625</c:v>
                </c:pt>
                <c:pt idx="42">
                  <c:v>323.86761474609375</c:v>
                </c:pt>
                <c:pt idx="43">
                  <c:v>331.5787353515625</c:v>
                </c:pt>
                <c:pt idx="44">
                  <c:v>339.28988647460938</c:v>
                </c:pt>
                <c:pt idx="45">
                  <c:v>347.00100708007813</c:v>
                </c:pt>
                <c:pt idx="46">
                  <c:v>354.712158203125</c:v>
                </c:pt>
                <c:pt idx="47">
                  <c:v>362.42327880859375</c:v>
                </c:pt>
                <c:pt idx="48">
                  <c:v>370.1343994140625</c:v>
                </c:pt>
                <c:pt idx="49">
                  <c:v>377.84555053710938</c:v>
                </c:pt>
                <c:pt idx="50">
                  <c:v>385.55670166015625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E8B-45A0-93F0-138DB4DE3FB4}"/>
            </c:ext>
          </c:extLst>
        </c:ser>
        <c:ser>
          <c:idx val="28"/>
          <c:order val="28"/>
          <c:tx>
            <c:strRef>
              <c:f>Skymaps!$D$134</c:f>
              <c:strCache>
                <c:ptCount val="1"/>
                <c:pt idx="0">
                  <c:v>28000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Skymaps!$E$134:$BC$134</c:f>
              <c:numCache>
                <c:formatCode>General</c:formatCode>
                <c:ptCount val="51"/>
                <c:pt idx="0">
                  <c:v>0</c:v>
                </c:pt>
                <c:pt idx="1">
                  <c:v>7.541710376739502</c:v>
                </c:pt>
                <c:pt idx="2">
                  <c:v>15.083420753479004</c:v>
                </c:pt>
                <c:pt idx="3">
                  <c:v>22.625129699707031</c:v>
                </c:pt>
                <c:pt idx="4">
                  <c:v>30.166841506958008</c:v>
                </c:pt>
                <c:pt idx="5">
                  <c:v>37.708549499511719</c:v>
                </c:pt>
                <c:pt idx="6">
                  <c:v>45.250259399414063</c:v>
                </c:pt>
                <c:pt idx="7">
                  <c:v>52.791973114013672</c:v>
                </c:pt>
                <c:pt idx="8">
                  <c:v>60.333683013916016</c:v>
                </c:pt>
                <c:pt idx="9">
                  <c:v>67.875389099121094</c:v>
                </c:pt>
                <c:pt idx="10">
                  <c:v>75.417098999023438</c:v>
                </c:pt>
                <c:pt idx="11">
                  <c:v>82.958808898925781</c:v>
                </c:pt>
                <c:pt idx="12">
                  <c:v>90.500518798828125</c:v>
                </c:pt>
                <c:pt idx="13">
                  <c:v>98.042228698730469</c:v>
                </c:pt>
                <c:pt idx="14">
                  <c:v>105.58394622802734</c:v>
                </c:pt>
                <c:pt idx="15">
                  <c:v>113.12565612792969</c:v>
                </c:pt>
                <c:pt idx="16">
                  <c:v>120.66736602783203</c:v>
                </c:pt>
                <c:pt idx="17">
                  <c:v>128.20907592773438</c:v>
                </c:pt>
                <c:pt idx="18">
                  <c:v>135.75077819824219</c:v>
                </c:pt>
                <c:pt idx="19">
                  <c:v>143.29249572753906</c:v>
                </c:pt>
                <c:pt idx="20">
                  <c:v>150.83419799804688</c:v>
                </c:pt>
                <c:pt idx="21">
                  <c:v>158.37591552734375</c:v>
                </c:pt>
                <c:pt idx="22">
                  <c:v>165.91761779785156</c:v>
                </c:pt>
                <c:pt idx="23">
                  <c:v>173.45933532714844</c:v>
                </c:pt>
                <c:pt idx="24">
                  <c:v>181.00103759765625</c:v>
                </c:pt>
                <c:pt idx="25">
                  <c:v>188.54275512695313</c:v>
                </c:pt>
                <c:pt idx="26">
                  <c:v>196.08445739746094</c:v>
                </c:pt>
                <c:pt idx="27">
                  <c:v>203.62617492675781</c:v>
                </c:pt>
                <c:pt idx="28">
                  <c:v>211.16789245605469</c:v>
                </c:pt>
                <c:pt idx="29">
                  <c:v>218.7095947265625</c:v>
                </c:pt>
                <c:pt idx="30">
                  <c:v>226.25131225585938</c:v>
                </c:pt>
                <c:pt idx="31">
                  <c:v>233.79302978515625</c:v>
                </c:pt>
                <c:pt idx="32">
                  <c:v>241.33473205566406</c:v>
                </c:pt>
                <c:pt idx="33">
                  <c:v>248.87643432617188</c:v>
                </c:pt>
                <c:pt idx="34">
                  <c:v>256.41815185546875</c:v>
                </c:pt>
                <c:pt idx="35">
                  <c:v>263.95986938476563</c:v>
                </c:pt>
                <c:pt idx="36">
                  <c:v>271.50155639648438</c:v>
                </c:pt>
                <c:pt idx="37">
                  <c:v>279.04327392578125</c:v>
                </c:pt>
                <c:pt idx="38">
                  <c:v>286.58499145507813</c:v>
                </c:pt>
                <c:pt idx="39">
                  <c:v>294.126708984375</c:v>
                </c:pt>
                <c:pt idx="40">
                  <c:v>301.66839599609375</c:v>
                </c:pt>
                <c:pt idx="41">
                  <c:v>309.21011352539063</c:v>
                </c:pt>
                <c:pt idx="42">
                  <c:v>316.7518310546875</c:v>
                </c:pt>
                <c:pt idx="43">
                  <c:v>324.29354858398438</c:v>
                </c:pt>
                <c:pt idx="44">
                  <c:v>331.83523559570313</c:v>
                </c:pt>
                <c:pt idx="45">
                  <c:v>339.376953125</c:v>
                </c:pt>
                <c:pt idx="46">
                  <c:v>346.91867065429688</c:v>
                </c:pt>
                <c:pt idx="47">
                  <c:v>354.46038818359375</c:v>
                </c:pt>
                <c:pt idx="48">
                  <c:v>362.0020751953125</c:v>
                </c:pt>
                <c:pt idx="49">
                  <c:v>369.54379272460938</c:v>
                </c:pt>
                <c:pt idx="50">
                  <c:v>377.08551025390625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E8B-45A0-93F0-138DB4DE3FB4}"/>
            </c:ext>
          </c:extLst>
        </c:ser>
        <c:ser>
          <c:idx val="29"/>
          <c:order val="29"/>
          <c:tx>
            <c:strRef>
              <c:f>Skymaps!$D$135</c:f>
              <c:strCache>
                <c:ptCount val="1"/>
                <c:pt idx="0">
                  <c:v>29000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Skymaps!$E$135:$BC$135</c:f>
              <c:numCache>
                <c:formatCode>General</c:formatCode>
                <c:ptCount val="51"/>
                <c:pt idx="0">
                  <c:v>0</c:v>
                </c:pt>
                <c:pt idx="1">
                  <c:v>7.3746280670166016</c:v>
                </c:pt>
                <c:pt idx="2">
                  <c:v>14.749256134033203</c:v>
                </c:pt>
                <c:pt idx="3">
                  <c:v>22.123884201049805</c:v>
                </c:pt>
                <c:pt idx="4">
                  <c:v>29.498512268066406</c:v>
                </c:pt>
                <c:pt idx="5">
                  <c:v>36.873138427734375</c:v>
                </c:pt>
                <c:pt idx="6">
                  <c:v>44.247768402099609</c:v>
                </c:pt>
                <c:pt idx="7">
                  <c:v>51.622394561767578</c:v>
                </c:pt>
                <c:pt idx="8">
                  <c:v>58.997024536132813</c:v>
                </c:pt>
                <c:pt idx="9">
                  <c:v>66.371650695800781</c:v>
                </c:pt>
                <c:pt idx="10">
                  <c:v>73.74627685546875</c:v>
                </c:pt>
                <c:pt idx="11">
                  <c:v>81.12091064453125</c:v>
                </c:pt>
                <c:pt idx="12">
                  <c:v>88.495536804199219</c:v>
                </c:pt>
                <c:pt idx="13">
                  <c:v>95.870162963867188</c:v>
                </c:pt>
                <c:pt idx="14">
                  <c:v>103.24478912353516</c:v>
                </c:pt>
                <c:pt idx="15">
                  <c:v>110.61942291259766</c:v>
                </c:pt>
                <c:pt idx="16">
                  <c:v>117.99404907226563</c:v>
                </c:pt>
                <c:pt idx="17">
                  <c:v>125.36868286132813</c:v>
                </c:pt>
                <c:pt idx="18">
                  <c:v>132.74330139160156</c:v>
                </c:pt>
                <c:pt idx="19">
                  <c:v>140.11793518066406</c:v>
                </c:pt>
                <c:pt idx="20">
                  <c:v>147.4925537109375</c:v>
                </c:pt>
                <c:pt idx="21">
                  <c:v>154.8671875</c:v>
                </c:pt>
                <c:pt idx="22">
                  <c:v>162.2418212890625</c:v>
                </c:pt>
                <c:pt idx="23">
                  <c:v>169.61643981933594</c:v>
                </c:pt>
                <c:pt idx="24">
                  <c:v>176.99107360839844</c:v>
                </c:pt>
                <c:pt idx="25">
                  <c:v>184.36570739746094</c:v>
                </c:pt>
                <c:pt idx="26">
                  <c:v>191.74032592773438</c:v>
                </c:pt>
                <c:pt idx="27">
                  <c:v>199.11495971679688</c:v>
                </c:pt>
                <c:pt idx="28">
                  <c:v>206.48957824707031</c:v>
                </c:pt>
                <c:pt idx="29">
                  <c:v>213.86421203613281</c:v>
                </c:pt>
                <c:pt idx="30">
                  <c:v>221.23884582519531</c:v>
                </c:pt>
                <c:pt idx="31">
                  <c:v>228.61346435546875</c:v>
                </c:pt>
                <c:pt idx="32">
                  <c:v>235.98809814453125</c:v>
                </c:pt>
                <c:pt idx="33">
                  <c:v>243.36273193359375</c:v>
                </c:pt>
                <c:pt idx="34">
                  <c:v>250.73736572265625</c:v>
                </c:pt>
                <c:pt idx="35">
                  <c:v>258.11199951171875</c:v>
                </c:pt>
                <c:pt idx="36">
                  <c:v>265.48660278320313</c:v>
                </c:pt>
                <c:pt idx="37">
                  <c:v>272.86123657226563</c:v>
                </c:pt>
                <c:pt idx="38">
                  <c:v>280.23587036132813</c:v>
                </c:pt>
                <c:pt idx="39">
                  <c:v>287.61050415039063</c:v>
                </c:pt>
                <c:pt idx="40">
                  <c:v>294.985107421875</c:v>
                </c:pt>
                <c:pt idx="41">
                  <c:v>302.35977172851563</c:v>
                </c:pt>
                <c:pt idx="42">
                  <c:v>309.734375</c:v>
                </c:pt>
                <c:pt idx="43">
                  <c:v>317.1090087890625</c:v>
                </c:pt>
                <c:pt idx="44">
                  <c:v>324.483642578125</c:v>
                </c:pt>
                <c:pt idx="45">
                  <c:v>331.8582763671875</c:v>
                </c:pt>
                <c:pt idx="46">
                  <c:v>339.23287963867188</c:v>
                </c:pt>
                <c:pt idx="47">
                  <c:v>346.60751342773438</c:v>
                </c:pt>
                <c:pt idx="48">
                  <c:v>353.98214721679688</c:v>
                </c:pt>
                <c:pt idx="49">
                  <c:v>361.35678100585938</c:v>
                </c:pt>
                <c:pt idx="50">
                  <c:v>368.73141479492188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E8B-45A0-93F0-138DB4DE3FB4}"/>
            </c:ext>
          </c:extLst>
        </c:ser>
        <c:ser>
          <c:idx val="30"/>
          <c:order val="30"/>
          <c:tx>
            <c:strRef>
              <c:f>Skymaps!$D$136</c:f>
              <c:strCache>
                <c:ptCount val="1"/>
                <c:pt idx="0">
                  <c:v>30000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Skymaps!$E$136:$BC$136</c:f>
              <c:numCache>
                <c:formatCode>General</c:formatCode>
                <c:ptCount val="51"/>
                <c:pt idx="0">
                  <c:v>0</c:v>
                </c:pt>
                <c:pt idx="1">
                  <c:v>7.209874153137207</c:v>
                </c:pt>
                <c:pt idx="2">
                  <c:v>14.419748306274414</c:v>
                </c:pt>
                <c:pt idx="3">
                  <c:v>21.629621505737305</c:v>
                </c:pt>
                <c:pt idx="4">
                  <c:v>28.839496612548828</c:v>
                </c:pt>
                <c:pt idx="5">
                  <c:v>36.049369812011719</c:v>
                </c:pt>
                <c:pt idx="6">
                  <c:v>43.259243011474609</c:v>
                </c:pt>
                <c:pt idx="7">
                  <c:v>50.469120025634766</c:v>
                </c:pt>
                <c:pt idx="8">
                  <c:v>57.678993225097656</c:v>
                </c:pt>
                <c:pt idx="9">
                  <c:v>64.888870239257813</c:v>
                </c:pt>
                <c:pt idx="10">
                  <c:v>72.098739624023438</c:v>
                </c:pt>
                <c:pt idx="11">
                  <c:v>79.308616638183594</c:v>
                </c:pt>
                <c:pt idx="12">
                  <c:v>86.518486022949219</c:v>
                </c:pt>
                <c:pt idx="13">
                  <c:v>93.728363037109375</c:v>
                </c:pt>
                <c:pt idx="14">
                  <c:v>100.93824005126953</c:v>
                </c:pt>
                <c:pt idx="15">
                  <c:v>108.14810943603516</c:v>
                </c:pt>
                <c:pt idx="16">
                  <c:v>115.35798645019531</c:v>
                </c:pt>
                <c:pt idx="17">
                  <c:v>122.56785583496094</c:v>
                </c:pt>
                <c:pt idx="18">
                  <c:v>129.77774047851563</c:v>
                </c:pt>
                <c:pt idx="19">
                  <c:v>136.98760986328125</c:v>
                </c:pt>
                <c:pt idx="20">
                  <c:v>144.19747924804688</c:v>
                </c:pt>
                <c:pt idx="21">
                  <c:v>151.40736389160156</c:v>
                </c:pt>
                <c:pt idx="22">
                  <c:v>158.61723327636719</c:v>
                </c:pt>
                <c:pt idx="23">
                  <c:v>165.82710266113281</c:v>
                </c:pt>
                <c:pt idx="24">
                  <c:v>173.03697204589844</c:v>
                </c:pt>
                <c:pt idx="25">
                  <c:v>180.24685668945313</c:v>
                </c:pt>
                <c:pt idx="26">
                  <c:v>187.45672607421875</c:v>
                </c:pt>
                <c:pt idx="27">
                  <c:v>194.66661071777344</c:v>
                </c:pt>
                <c:pt idx="28">
                  <c:v>201.87648010253906</c:v>
                </c:pt>
                <c:pt idx="29">
                  <c:v>209.08634948730469</c:v>
                </c:pt>
                <c:pt idx="30">
                  <c:v>216.29621887207031</c:v>
                </c:pt>
                <c:pt idx="31">
                  <c:v>223.50608825683594</c:v>
                </c:pt>
                <c:pt idx="32">
                  <c:v>230.71597290039063</c:v>
                </c:pt>
                <c:pt idx="33">
                  <c:v>237.92584228515625</c:v>
                </c:pt>
                <c:pt idx="34">
                  <c:v>245.13571166992188</c:v>
                </c:pt>
                <c:pt idx="35">
                  <c:v>252.34559631347656</c:v>
                </c:pt>
                <c:pt idx="36">
                  <c:v>259.55548095703125</c:v>
                </c:pt>
                <c:pt idx="37">
                  <c:v>266.76535034179688</c:v>
                </c:pt>
                <c:pt idx="38">
                  <c:v>273.9752197265625</c:v>
                </c:pt>
                <c:pt idx="39">
                  <c:v>281.18508911132813</c:v>
                </c:pt>
                <c:pt idx="40">
                  <c:v>288.39495849609375</c:v>
                </c:pt>
                <c:pt idx="41">
                  <c:v>295.60482788085938</c:v>
                </c:pt>
                <c:pt idx="42">
                  <c:v>302.81472778320313</c:v>
                </c:pt>
                <c:pt idx="43">
                  <c:v>310.02459716796875</c:v>
                </c:pt>
                <c:pt idx="44">
                  <c:v>317.23446655273438</c:v>
                </c:pt>
                <c:pt idx="45">
                  <c:v>324.4443359375</c:v>
                </c:pt>
                <c:pt idx="46">
                  <c:v>331.65420532226563</c:v>
                </c:pt>
                <c:pt idx="47">
                  <c:v>338.86407470703125</c:v>
                </c:pt>
                <c:pt idx="48">
                  <c:v>346.07394409179688</c:v>
                </c:pt>
                <c:pt idx="49">
                  <c:v>353.2838134765625</c:v>
                </c:pt>
                <c:pt idx="50">
                  <c:v>360.49371337890625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E8B-45A0-93F0-138DB4DE3FB4}"/>
            </c:ext>
          </c:extLst>
        </c:ser>
        <c:ser>
          <c:idx val="31"/>
          <c:order val="31"/>
          <c:tx>
            <c:strRef>
              <c:f>Skymaps!$D$137</c:f>
              <c:strCache>
                <c:ptCount val="1"/>
                <c:pt idx="0">
                  <c:v>31000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Skymaps!$E$137:$BC$137</c:f>
              <c:numCache>
                <c:formatCode>General</c:formatCode>
                <c:ptCount val="51"/>
                <c:pt idx="0">
                  <c:v>0</c:v>
                </c:pt>
                <c:pt idx="1">
                  <c:v>7.0474352836608887</c:v>
                </c:pt>
                <c:pt idx="2">
                  <c:v>14.094870567321777</c:v>
                </c:pt>
                <c:pt idx="3">
                  <c:v>21.142305374145508</c:v>
                </c:pt>
                <c:pt idx="4">
                  <c:v>28.189741134643555</c:v>
                </c:pt>
                <c:pt idx="5">
                  <c:v>35.237174987792969</c:v>
                </c:pt>
                <c:pt idx="6">
                  <c:v>42.284610748291016</c:v>
                </c:pt>
                <c:pt idx="7">
                  <c:v>49.332046508789063</c:v>
                </c:pt>
                <c:pt idx="8">
                  <c:v>56.379482269287109</c:v>
                </c:pt>
                <c:pt idx="9">
                  <c:v>63.426918029785156</c:v>
                </c:pt>
                <c:pt idx="10">
                  <c:v>70.474349975585938</c:v>
                </c:pt>
                <c:pt idx="11">
                  <c:v>77.52178955078125</c:v>
                </c:pt>
                <c:pt idx="12">
                  <c:v>84.569221496582031</c:v>
                </c:pt>
                <c:pt idx="13">
                  <c:v>91.616661071777344</c:v>
                </c:pt>
                <c:pt idx="14">
                  <c:v>98.664093017578125</c:v>
                </c:pt>
                <c:pt idx="15">
                  <c:v>105.71152496337891</c:v>
                </c:pt>
                <c:pt idx="16">
                  <c:v>112.75896453857422</c:v>
                </c:pt>
                <c:pt idx="17">
                  <c:v>119.80640411376953</c:v>
                </c:pt>
                <c:pt idx="18">
                  <c:v>126.85383605957031</c:v>
                </c:pt>
                <c:pt idx="19">
                  <c:v>133.90127563476563</c:v>
                </c:pt>
                <c:pt idx="20">
                  <c:v>140.94869995117188</c:v>
                </c:pt>
                <c:pt idx="21">
                  <c:v>147.99613952636719</c:v>
                </c:pt>
                <c:pt idx="22">
                  <c:v>155.0435791015625</c:v>
                </c:pt>
                <c:pt idx="23">
                  <c:v>162.09100341796875</c:v>
                </c:pt>
                <c:pt idx="24">
                  <c:v>169.13844299316406</c:v>
                </c:pt>
                <c:pt idx="25">
                  <c:v>176.18588256835938</c:v>
                </c:pt>
                <c:pt idx="26">
                  <c:v>183.23332214355469</c:v>
                </c:pt>
                <c:pt idx="27">
                  <c:v>190.28076171875</c:v>
                </c:pt>
                <c:pt idx="28">
                  <c:v>197.32818603515625</c:v>
                </c:pt>
                <c:pt idx="29">
                  <c:v>204.37562561035156</c:v>
                </c:pt>
                <c:pt idx="30">
                  <c:v>211.42304992675781</c:v>
                </c:pt>
                <c:pt idx="31">
                  <c:v>218.47048950195313</c:v>
                </c:pt>
                <c:pt idx="32">
                  <c:v>225.51792907714844</c:v>
                </c:pt>
                <c:pt idx="33">
                  <c:v>232.56536865234375</c:v>
                </c:pt>
                <c:pt idx="34">
                  <c:v>239.61280822753906</c:v>
                </c:pt>
                <c:pt idx="35">
                  <c:v>246.66023254394531</c:v>
                </c:pt>
                <c:pt idx="36">
                  <c:v>253.70767211914063</c:v>
                </c:pt>
                <c:pt idx="37">
                  <c:v>260.75509643554688</c:v>
                </c:pt>
                <c:pt idx="38">
                  <c:v>267.80255126953125</c:v>
                </c:pt>
                <c:pt idx="39">
                  <c:v>274.8499755859375</c:v>
                </c:pt>
                <c:pt idx="40">
                  <c:v>281.89739990234375</c:v>
                </c:pt>
                <c:pt idx="41">
                  <c:v>288.94482421875</c:v>
                </c:pt>
                <c:pt idx="42">
                  <c:v>295.99227905273438</c:v>
                </c:pt>
                <c:pt idx="43">
                  <c:v>303.03970336914063</c:v>
                </c:pt>
                <c:pt idx="44">
                  <c:v>310.087158203125</c:v>
                </c:pt>
                <c:pt idx="45">
                  <c:v>317.13458251953125</c:v>
                </c:pt>
                <c:pt idx="46">
                  <c:v>324.1820068359375</c:v>
                </c:pt>
                <c:pt idx="47">
                  <c:v>331.22946166992188</c:v>
                </c:pt>
                <c:pt idx="48">
                  <c:v>338.27688598632813</c:v>
                </c:pt>
                <c:pt idx="49">
                  <c:v>345.3243408203125</c:v>
                </c:pt>
                <c:pt idx="50">
                  <c:v>352.37176513671875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E8B-45A0-93F0-138DB4DE3FB4}"/>
            </c:ext>
          </c:extLst>
        </c:ser>
        <c:ser>
          <c:idx val="32"/>
          <c:order val="32"/>
          <c:tx>
            <c:strRef>
              <c:f>Skymaps!$D$138</c:f>
              <c:strCache>
                <c:ptCount val="1"/>
                <c:pt idx="0">
                  <c:v>32000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Skymaps!$E$138:$BC$138</c:f>
              <c:numCache>
                <c:formatCode>General</c:formatCode>
                <c:ptCount val="51"/>
                <c:pt idx="0">
                  <c:v>0</c:v>
                </c:pt>
                <c:pt idx="1">
                  <c:v>6.887298583984375</c:v>
                </c:pt>
                <c:pt idx="2">
                  <c:v>13.77459716796875</c:v>
                </c:pt>
                <c:pt idx="3">
                  <c:v>20.661895751953125</c:v>
                </c:pt>
                <c:pt idx="4">
                  <c:v>27.5491943359375</c:v>
                </c:pt>
                <c:pt idx="5">
                  <c:v>34.436492919921875</c:v>
                </c:pt>
                <c:pt idx="6">
                  <c:v>41.32379150390625</c:v>
                </c:pt>
                <c:pt idx="7">
                  <c:v>48.211090087890625</c:v>
                </c:pt>
                <c:pt idx="8">
                  <c:v>55.098388671875</c:v>
                </c:pt>
                <c:pt idx="9">
                  <c:v>61.985687255859375</c:v>
                </c:pt>
                <c:pt idx="10">
                  <c:v>68.87298583984375</c:v>
                </c:pt>
                <c:pt idx="11">
                  <c:v>75.760284423828125</c:v>
                </c:pt>
                <c:pt idx="12">
                  <c:v>82.6475830078125</c:v>
                </c:pt>
                <c:pt idx="13">
                  <c:v>89.534881591796875</c:v>
                </c:pt>
                <c:pt idx="14">
                  <c:v>96.42218017578125</c:v>
                </c:pt>
                <c:pt idx="15">
                  <c:v>103.30947875976563</c:v>
                </c:pt>
                <c:pt idx="16">
                  <c:v>110.19677734375</c:v>
                </c:pt>
                <c:pt idx="17">
                  <c:v>117.08407592773438</c:v>
                </c:pt>
                <c:pt idx="18">
                  <c:v>123.97137451171875</c:v>
                </c:pt>
                <c:pt idx="19">
                  <c:v>130.85867309570313</c:v>
                </c:pt>
                <c:pt idx="20">
                  <c:v>137.7459716796875</c:v>
                </c:pt>
                <c:pt idx="21">
                  <c:v>144.63327026367188</c:v>
                </c:pt>
                <c:pt idx="22">
                  <c:v>151.52056884765625</c:v>
                </c:pt>
                <c:pt idx="23">
                  <c:v>158.40786743164063</c:v>
                </c:pt>
                <c:pt idx="24">
                  <c:v>165.295166015625</c:v>
                </c:pt>
                <c:pt idx="25">
                  <c:v>172.18246459960938</c:v>
                </c:pt>
                <c:pt idx="26">
                  <c:v>179.06976318359375</c:v>
                </c:pt>
                <c:pt idx="27">
                  <c:v>185.95706176757813</c:v>
                </c:pt>
                <c:pt idx="28">
                  <c:v>192.8443603515625</c:v>
                </c:pt>
                <c:pt idx="29">
                  <c:v>199.73165893554688</c:v>
                </c:pt>
                <c:pt idx="30">
                  <c:v>206.61895751953125</c:v>
                </c:pt>
                <c:pt idx="31">
                  <c:v>213.50625610351563</c:v>
                </c:pt>
                <c:pt idx="32">
                  <c:v>220.3935546875</c:v>
                </c:pt>
                <c:pt idx="33">
                  <c:v>227.28085327148438</c:v>
                </c:pt>
                <c:pt idx="34">
                  <c:v>234.16815185546875</c:v>
                </c:pt>
                <c:pt idx="35">
                  <c:v>241.05545043945313</c:v>
                </c:pt>
                <c:pt idx="36">
                  <c:v>247.9427490234375</c:v>
                </c:pt>
                <c:pt idx="37">
                  <c:v>254.83004760742188</c:v>
                </c:pt>
                <c:pt idx="38">
                  <c:v>261.71734619140625</c:v>
                </c:pt>
                <c:pt idx="39">
                  <c:v>268.60464477539063</c:v>
                </c:pt>
                <c:pt idx="40">
                  <c:v>275.491943359375</c:v>
                </c:pt>
                <c:pt idx="41">
                  <c:v>282.37924194335938</c:v>
                </c:pt>
                <c:pt idx="42">
                  <c:v>289.26654052734375</c:v>
                </c:pt>
                <c:pt idx="43">
                  <c:v>296.15383911132813</c:v>
                </c:pt>
                <c:pt idx="44">
                  <c:v>303.0411376953125</c:v>
                </c:pt>
                <c:pt idx="45">
                  <c:v>309.92843627929688</c:v>
                </c:pt>
                <c:pt idx="46">
                  <c:v>316.81573486328125</c:v>
                </c:pt>
                <c:pt idx="47">
                  <c:v>323.70303344726563</c:v>
                </c:pt>
                <c:pt idx="48">
                  <c:v>330.59033203125</c:v>
                </c:pt>
                <c:pt idx="49">
                  <c:v>337.47763061523438</c:v>
                </c:pt>
                <c:pt idx="50">
                  <c:v>344.36492919921875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E8B-45A0-93F0-138DB4DE3FB4}"/>
            </c:ext>
          </c:extLst>
        </c:ser>
        <c:ser>
          <c:idx val="33"/>
          <c:order val="33"/>
          <c:tx>
            <c:strRef>
              <c:f>Skymaps!$D$139</c:f>
              <c:strCache>
                <c:ptCount val="1"/>
                <c:pt idx="0">
                  <c:v>33000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Skymaps!$E$139:$BC$139</c:f>
              <c:numCache>
                <c:formatCode>General</c:formatCode>
                <c:ptCount val="51"/>
                <c:pt idx="0">
                  <c:v>0</c:v>
                </c:pt>
                <c:pt idx="1">
                  <c:v>6.7294507026672363</c:v>
                </c:pt>
                <c:pt idx="2">
                  <c:v>13.458901405334473</c:v>
                </c:pt>
                <c:pt idx="3">
                  <c:v>20.188352584838867</c:v>
                </c:pt>
                <c:pt idx="4">
                  <c:v>26.917802810668945</c:v>
                </c:pt>
                <c:pt idx="5">
                  <c:v>33.647254943847656</c:v>
                </c:pt>
                <c:pt idx="6">
                  <c:v>40.376705169677734</c:v>
                </c:pt>
                <c:pt idx="7">
                  <c:v>47.106155395507813</c:v>
                </c:pt>
                <c:pt idx="8">
                  <c:v>53.835605621337891</c:v>
                </c:pt>
                <c:pt idx="9">
                  <c:v>60.565055847167969</c:v>
                </c:pt>
                <c:pt idx="10">
                  <c:v>67.294509887695313</c:v>
                </c:pt>
                <c:pt idx="11">
                  <c:v>74.023956298828125</c:v>
                </c:pt>
                <c:pt idx="12">
                  <c:v>80.753410339355469</c:v>
                </c:pt>
                <c:pt idx="13">
                  <c:v>87.482856750488281</c:v>
                </c:pt>
                <c:pt idx="14">
                  <c:v>94.212310791015625</c:v>
                </c:pt>
                <c:pt idx="15">
                  <c:v>100.94175720214844</c:v>
                </c:pt>
                <c:pt idx="16">
                  <c:v>107.67121124267578</c:v>
                </c:pt>
                <c:pt idx="17">
                  <c:v>114.40066528320313</c:v>
                </c:pt>
                <c:pt idx="18">
                  <c:v>121.13011169433594</c:v>
                </c:pt>
                <c:pt idx="19">
                  <c:v>127.85956573486328</c:v>
                </c:pt>
                <c:pt idx="20">
                  <c:v>134.58901977539063</c:v>
                </c:pt>
                <c:pt idx="21">
                  <c:v>141.31846618652344</c:v>
                </c:pt>
                <c:pt idx="22">
                  <c:v>148.04791259765625</c:v>
                </c:pt>
                <c:pt idx="23">
                  <c:v>154.77735900878906</c:v>
                </c:pt>
                <c:pt idx="24">
                  <c:v>161.50682067871094</c:v>
                </c:pt>
                <c:pt idx="25">
                  <c:v>168.23626708984375</c:v>
                </c:pt>
                <c:pt idx="26">
                  <c:v>174.96571350097656</c:v>
                </c:pt>
                <c:pt idx="27">
                  <c:v>181.69517517089844</c:v>
                </c:pt>
                <c:pt idx="28">
                  <c:v>188.42462158203125</c:v>
                </c:pt>
                <c:pt idx="29">
                  <c:v>195.15406799316406</c:v>
                </c:pt>
                <c:pt idx="30">
                  <c:v>201.88351440429688</c:v>
                </c:pt>
                <c:pt idx="31">
                  <c:v>208.61297607421875</c:v>
                </c:pt>
                <c:pt idx="32">
                  <c:v>215.34242248535156</c:v>
                </c:pt>
                <c:pt idx="33">
                  <c:v>222.07186889648438</c:v>
                </c:pt>
                <c:pt idx="34">
                  <c:v>228.80133056640625</c:v>
                </c:pt>
                <c:pt idx="35">
                  <c:v>235.53077697753906</c:v>
                </c:pt>
                <c:pt idx="36">
                  <c:v>242.26022338867188</c:v>
                </c:pt>
                <c:pt idx="37">
                  <c:v>248.98966979980469</c:v>
                </c:pt>
                <c:pt idx="38">
                  <c:v>255.71913146972656</c:v>
                </c:pt>
                <c:pt idx="39">
                  <c:v>262.44857788085938</c:v>
                </c:pt>
                <c:pt idx="40">
                  <c:v>269.17803955078125</c:v>
                </c:pt>
                <c:pt idx="41">
                  <c:v>275.907470703125</c:v>
                </c:pt>
                <c:pt idx="42">
                  <c:v>282.63693237304688</c:v>
                </c:pt>
                <c:pt idx="43">
                  <c:v>289.36639404296875</c:v>
                </c:pt>
                <c:pt idx="44">
                  <c:v>296.0958251953125</c:v>
                </c:pt>
                <c:pt idx="45">
                  <c:v>302.82528686523438</c:v>
                </c:pt>
                <c:pt idx="46">
                  <c:v>309.55471801757813</c:v>
                </c:pt>
                <c:pt idx="47">
                  <c:v>316.2841796875</c:v>
                </c:pt>
                <c:pt idx="48">
                  <c:v>323.01364135742188</c:v>
                </c:pt>
                <c:pt idx="49">
                  <c:v>329.74307250976563</c:v>
                </c:pt>
                <c:pt idx="50">
                  <c:v>336.4725341796875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AE8B-45A0-93F0-138DB4DE3FB4}"/>
            </c:ext>
          </c:extLst>
        </c:ser>
        <c:ser>
          <c:idx val="34"/>
          <c:order val="34"/>
          <c:tx>
            <c:strRef>
              <c:f>Skymaps!$D$140</c:f>
              <c:strCache>
                <c:ptCount val="1"/>
                <c:pt idx="0">
                  <c:v>34000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Skymaps!$E$140:$BC$140</c:f>
              <c:numCache>
                <c:formatCode>General</c:formatCode>
                <c:ptCount val="51"/>
                <c:pt idx="0">
                  <c:v>0</c:v>
                </c:pt>
                <c:pt idx="1">
                  <c:v>6.573878288269043</c:v>
                </c:pt>
                <c:pt idx="2">
                  <c:v>13.147756576538086</c:v>
                </c:pt>
                <c:pt idx="3">
                  <c:v>19.721633911132813</c:v>
                </c:pt>
                <c:pt idx="4">
                  <c:v>26.295513153076172</c:v>
                </c:pt>
                <c:pt idx="5">
                  <c:v>32.869392395019531</c:v>
                </c:pt>
                <c:pt idx="6">
                  <c:v>39.443267822265625</c:v>
                </c:pt>
                <c:pt idx="7">
                  <c:v>46.017147064208984</c:v>
                </c:pt>
                <c:pt idx="8">
                  <c:v>52.591026306152344</c:v>
                </c:pt>
                <c:pt idx="9">
                  <c:v>59.164905548095703</c:v>
                </c:pt>
                <c:pt idx="10">
                  <c:v>65.738784790039063</c:v>
                </c:pt>
                <c:pt idx="11">
                  <c:v>72.312660217285156</c:v>
                </c:pt>
                <c:pt idx="12">
                  <c:v>78.88653564453125</c:v>
                </c:pt>
                <c:pt idx="13">
                  <c:v>85.460418701171875</c:v>
                </c:pt>
                <c:pt idx="14">
                  <c:v>92.034294128417969</c:v>
                </c:pt>
                <c:pt idx="15">
                  <c:v>98.608177185058594</c:v>
                </c:pt>
                <c:pt idx="16">
                  <c:v>105.18205261230469</c:v>
                </c:pt>
                <c:pt idx="17">
                  <c:v>111.75592803955078</c:v>
                </c:pt>
                <c:pt idx="18">
                  <c:v>118.32981109619141</c:v>
                </c:pt>
                <c:pt idx="19">
                  <c:v>124.9036865234375</c:v>
                </c:pt>
                <c:pt idx="20">
                  <c:v>131.47756958007813</c:v>
                </c:pt>
                <c:pt idx="21">
                  <c:v>138.05143737792969</c:v>
                </c:pt>
                <c:pt idx="22">
                  <c:v>144.62532043457031</c:v>
                </c:pt>
                <c:pt idx="23">
                  <c:v>151.19920349121094</c:v>
                </c:pt>
                <c:pt idx="24">
                  <c:v>157.7730712890625</c:v>
                </c:pt>
                <c:pt idx="25">
                  <c:v>164.34695434570313</c:v>
                </c:pt>
                <c:pt idx="26">
                  <c:v>170.92083740234375</c:v>
                </c:pt>
                <c:pt idx="27">
                  <c:v>177.49472045898438</c:v>
                </c:pt>
                <c:pt idx="28">
                  <c:v>184.06858825683594</c:v>
                </c:pt>
                <c:pt idx="29">
                  <c:v>190.64247131347656</c:v>
                </c:pt>
                <c:pt idx="30">
                  <c:v>197.21635437011719</c:v>
                </c:pt>
                <c:pt idx="31">
                  <c:v>203.79023742675781</c:v>
                </c:pt>
                <c:pt idx="32">
                  <c:v>210.36410522460938</c:v>
                </c:pt>
                <c:pt idx="33">
                  <c:v>216.93797302246094</c:v>
                </c:pt>
                <c:pt idx="34">
                  <c:v>223.51185607910156</c:v>
                </c:pt>
                <c:pt idx="35">
                  <c:v>230.08573913574219</c:v>
                </c:pt>
                <c:pt idx="36">
                  <c:v>236.65962219238281</c:v>
                </c:pt>
                <c:pt idx="37">
                  <c:v>243.23350524902344</c:v>
                </c:pt>
                <c:pt idx="38">
                  <c:v>249.807373046875</c:v>
                </c:pt>
                <c:pt idx="39">
                  <c:v>256.38125610351563</c:v>
                </c:pt>
                <c:pt idx="40">
                  <c:v>262.95513916015625</c:v>
                </c:pt>
                <c:pt idx="41">
                  <c:v>269.52902221679688</c:v>
                </c:pt>
                <c:pt idx="42">
                  <c:v>276.10287475585938</c:v>
                </c:pt>
                <c:pt idx="43">
                  <c:v>282.6767578125</c:v>
                </c:pt>
                <c:pt idx="44">
                  <c:v>289.25064086914063</c:v>
                </c:pt>
                <c:pt idx="45">
                  <c:v>295.82452392578125</c:v>
                </c:pt>
                <c:pt idx="46">
                  <c:v>302.39840698242188</c:v>
                </c:pt>
                <c:pt idx="47">
                  <c:v>308.9722900390625</c:v>
                </c:pt>
                <c:pt idx="48">
                  <c:v>315.546142578125</c:v>
                </c:pt>
                <c:pt idx="49">
                  <c:v>322.12002563476563</c:v>
                </c:pt>
                <c:pt idx="50">
                  <c:v>328.69390869140625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AE8B-45A0-93F0-138DB4DE3FB4}"/>
            </c:ext>
          </c:extLst>
        </c:ser>
        <c:ser>
          <c:idx val="35"/>
          <c:order val="35"/>
          <c:tx>
            <c:strRef>
              <c:f>Skymaps!$D$141</c:f>
              <c:strCache>
                <c:ptCount val="1"/>
                <c:pt idx="0">
                  <c:v>35000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Skymaps!$E$141:$BC$141</c:f>
              <c:numCache>
                <c:formatCode>General</c:formatCode>
                <c:ptCount val="51"/>
                <c:pt idx="0">
                  <c:v>0</c:v>
                </c:pt>
                <c:pt idx="1">
                  <c:v>6.4205684661865234</c:v>
                </c:pt>
                <c:pt idx="2">
                  <c:v>12.841136932373047</c:v>
                </c:pt>
                <c:pt idx="3">
                  <c:v>19.26170539855957</c:v>
                </c:pt>
                <c:pt idx="4">
                  <c:v>25.682273864746094</c:v>
                </c:pt>
                <c:pt idx="5">
                  <c:v>32.102840423583984</c:v>
                </c:pt>
                <c:pt idx="6">
                  <c:v>38.523410797119141</c:v>
                </c:pt>
                <c:pt idx="7">
                  <c:v>44.943977355957031</c:v>
                </c:pt>
                <c:pt idx="8">
                  <c:v>51.364547729492188</c:v>
                </c:pt>
                <c:pt idx="9">
                  <c:v>57.785114288330078</c:v>
                </c:pt>
                <c:pt idx="10">
                  <c:v>64.205680847167969</c:v>
                </c:pt>
                <c:pt idx="11">
                  <c:v>70.626251220703125</c:v>
                </c:pt>
                <c:pt idx="12">
                  <c:v>77.046821594238281</c:v>
                </c:pt>
                <c:pt idx="13">
                  <c:v>83.467384338378906</c:v>
                </c:pt>
                <c:pt idx="14">
                  <c:v>89.887954711914063</c:v>
                </c:pt>
                <c:pt idx="15">
                  <c:v>96.308525085449219</c:v>
                </c:pt>
                <c:pt idx="16">
                  <c:v>102.72909545898438</c:v>
                </c:pt>
                <c:pt idx="17">
                  <c:v>109.14966583251953</c:v>
                </c:pt>
                <c:pt idx="18">
                  <c:v>115.57022857666016</c:v>
                </c:pt>
                <c:pt idx="19">
                  <c:v>121.99079895019531</c:v>
                </c:pt>
                <c:pt idx="20">
                  <c:v>128.41136169433594</c:v>
                </c:pt>
                <c:pt idx="21">
                  <c:v>134.83193969726563</c:v>
                </c:pt>
                <c:pt idx="22">
                  <c:v>141.25250244140625</c:v>
                </c:pt>
                <c:pt idx="23">
                  <c:v>147.67306518554688</c:v>
                </c:pt>
                <c:pt idx="24">
                  <c:v>154.09364318847656</c:v>
                </c:pt>
                <c:pt idx="25">
                  <c:v>160.51420593261719</c:v>
                </c:pt>
                <c:pt idx="26">
                  <c:v>166.93476867675781</c:v>
                </c:pt>
                <c:pt idx="27">
                  <c:v>173.3553466796875</c:v>
                </c:pt>
                <c:pt idx="28">
                  <c:v>179.77590942382813</c:v>
                </c:pt>
                <c:pt idx="29">
                  <c:v>186.19648742675781</c:v>
                </c:pt>
                <c:pt idx="30">
                  <c:v>192.61705017089844</c:v>
                </c:pt>
                <c:pt idx="31">
                  <c:v>199.03762817382813</c:v>
                </c:pt>
                <c:pt idx="32">
                  <c:v>205.45819091796875</c:v>
                </c:pt>
                <c:pt idx="33">
                  <c:v>211.87875366210938</c:v>
                </c:pt>
                <c:pt idx="34">
                  <c:v>218.29933166503906</c:v>
                </c:pt>
                <c:pt idx="35">
                  <c:v>224.71989440917969</c:v>
                </c:pt>
                <c:pt idx="36">
                  <c:v>231.14045715332031</c:v>
                </c:pt>
                <c:pt idx="37">
                  <c:v>237.56101989746094</c:v>
                </c:pt>
                <c:pt idx="38">
                  <c:v>243.98159790039063</c:v>
                </c:pt>
                <c:pt idx="39">
                  <c:v>250.40216064453125</c:v>
                </c:pt>
                <c:pt idx="40">
                  <c:v>256.82272338867188</c:v>
                </c:pt>
                <c:pt idx="41">
                  <c:v>263.2432861328125</c:v>
                </c:pt>
                <c:pt idx="42">
                  <c:v>269.66387939453125</c:v>
                </c:pt>
                <c:pt idx="43">
                  <c:v>276.08444213867188</c:v>
                </c:pt>
                <c:pt idx="44">
                  <c:v>282.5050048828125</c:v>
                </c:pt>
                <c:pt idx="45">
                  <c:v>288.92556762695313</c:v>
                </c:pt>
                <c:pt idx="46">
                  <c:v>295.34613037109375</c:v>
                </c:pt>
                <c:pt idx="47">
                  <c:v>301.7667236328125</c:v>
                </c:pt>
                <c:pt idx="48">
                  <c:v>308.18728637695313</c:v>
                </c:pt>
                <c:pt idx="49">
                  <c:v>314.60784912109375</c:v>
                </c:pt>
                <c:pt idx="50">
                  <c:v>321.02841186523438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AE8B-45A0-93F0-138DB4DE3FB4}"/>
            </c:ext>
          </c:extLst>
        </c:ser>
        <c:ser>
          <c:idx val="36"/>
          <c:order val="36"/>
          <c:tx>
            <c:strRef>
              <c:f>Skymaps!$D$142</c:f>
              <c:strCache>
                <c:ptCount val="1"/>
                <c:pt idx="0">
                  <c:v>36000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Skymaps!$E$142:$BC$142</c:f>
              <c:numCache>
                <c:formatCode>General</c:formatCode>
                <c:ptCount val="51"/>
                <c:pt idx="0">
                  <c:v>0</c:v>
                </c:pt>
                <c:pt idx="1">
                  <c:v>6.269507884979248</c:v>
                </c:pt>
                <c:pt idx="2">
                  <c:v>12.539015769958496</c:v>
                </c:pt>
                <c:pt idx="3">
                  <c:v>18.808523178100586</c:v>
                </c:pt>
                <c:pt idx="4">
                  <c:v>25.078031539916992</c:v>
                </c:pt>
                <c:pt idx="5">
                  <c:v>31.347537994384766</c:v>
                </c:pt>
                <c:pt idx="6">
                  <c:v>37.617046356201172</c:v>
                </c:pt>
                <c:pt idx="7">
                  <c:v>43.886550903320313</c:v>
                </c:pt>
                <c:pt idx="8">
                  <c:v>50.156063079833984</c:v>
                </c:pt>
                <c:pt idx="9">
                  <c:v>56.425567626953125</c:v>
                </c:pt>
                <c:pt idx="10">
                  <c:v>62.695075988769531</c:v>
                </c:pt>
                <c:pt idx="11">
                  <c:v>68.964584350585938</c:v>
                </c:pt>
                <c:pt idx="12">
                  <c:v>75.234092712402344</c:v>
                </c:pt>
                <c:pt idx="13">
                  <c:v>81.50360107421875</c:v>
                </c:pt>
                <c:pt idx="14">
                  <c:v>87.773101806640625</c:v>
                </c:pt>
                <c:pt idx="15">
                  <c:v>94.042610168457031</c:v>
                </c:pt>
                <c:pt idx="16">
                  <c:v>100.31212615966797</c:v>
                </c:pt>
                <c:pt idx="17">
                  <c:v>106.58162689208984</c:v>
                </c:pt>
                <c:pt idx="18">
                  <c:v>112.85113525390625</c:v>
                </c:pt>
                <c:pt idx="19">
                  <c:v>119.12064361572266</c:v>
                </c:pt>
                <c:pt idx="20">
                  <c:v>125.39015197753906</c:v>
                </c:pt>
                <c:pt idx="21">
                  <c:v>131.65965270996094</c:v>
                </c:pt>
                <c:pt idx="22">
                  <c:v>137.92916870117188</c:v>
                </c:pt>
                <c:pt idx="23">
                  <c:v>144.19866943359375</c:v>
                </c:pt>
                <c:pt idx="24">
                  <c:v>150.46818542480469</c:v>
                </c:pt>
                <c:pt idx="25">
                  <c:v>156.73768615722656</c:v>
                </c:pt>
                <c:pt idx="26">
                  <c:v>163.0072021484375</c:v>
                </c:pt>
                <c:pt idx="27">
                  <c:v>169.27670288085938</c:v>
                </c:pt>
                <c:pt idx="28">
                  <c:v>175.54620361328125</c:v>
                </c:pt>
                <c:pt idx="29">
                  <c:v>181.81571960449219</c:v>
                </c:pt>
                <c:pt idx="30">
                  <c:v>188.08522033691406</c:v>
                </c:pt>
                <c:pt idx="31">
                  <c:v>194.354736328125</c:v>
                </c:pt>
                <c:pt idx="32">
                  <c:v>200.62425231933594</c:v>
                </c:pt>
                <c:pt idx="33">
                  <c:v>206.89375305175781</c:v>
                </c:pt>
                <c:pt idx="34">
                  <c:v>213.16325378417969</c:v>
                </c:pt>
                <c:pt idx="35">
                  <c:v>219.43275451660156</c:v>
                </c:pt>
                <c:pt idx="36">
                  <c:v>225.7022705078125</c:v>
                </c:pt>
                <c:pt idx="37">
                  <c:v>231.97178649902344</c:v>
                </c:pt>
                <c:pt idx="38">
                  <c:v>238.24128723144531</c:v>
                </c:pt>
                <c:pt idx="39">
                  <c:v>244.51078796386719</c:v>
                </c:pt>
                <c:pt idx="40">
                  <c:v>250.78030395507813</c:v>
                </c:pt>
                <c:pt idx="41">
                  <c:v>257.0498046875</c:v>
                </c:pt>
                <c:pt idx="42">
                  <c:v>263.31930541992188</c:v>
                </c:pt>
                <c:pt idx="43">
                  <c:v>269.58883666992188</c:v>
                </c:pt>
                <c:pt idx="44">
                  <c:v>275.85833740234375</c:v>
                </c:pt>
                <c:pt idx="45">
                  <c:v>282.12783813476563</c:v>
                </c:pt>
                <c:pt idx="46">
                  <c:v>288.3973388671875</c:v>
                </c:pt>
                <c:pt idx="47">
                  <c:v>294.66683959960938</c:v>
                </c:pt>
                <c:pt idx="48">
                  <c:v>300.93637084960938</c:v>
                </c:pt>
                <c:pt idx="49">
                  <c:v>307.20587158203125</c:v>
                </c:pt>
                <c:pt idx="50">
                  <c:v>313.47537231445313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E8B-45A0-93F0-138DB4DE3FB4}"/>
            </c:ext>
          </c:extLst>
        </c:ser>
        <c:ser>
          <c:idx val="37"/>
          <c:order val="37"/>
          <c:tx>
            <c:strRef>
              <c:f>Skymaps!$D$143</c:f>
              <c:strCache>
                <c:ptCount val="1"/>
                <c:pt idx="0">
                  <c:v>37000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Skymaps!$E$143:$BC$143</c:f>
              <c:numCache>
                <c:formatCode>General</c:formatCode>
                <c:ptCount val="51"/>
                <c:pt idx="0">
                  <c:v>0</c:v>
                </c:pt>
                <c:pt idx="1">
                  <c:v>6.121150016784668</c:v>
                </c:pt>
                <c:pt idx="2">
                  <c:v>12.242300033569336</c:v>
                </c:pt>
                <c:pt idx="3">
                  <c:v>18.36345100402832</c:v>
                </c:pt>
                <c:pt idx="4">
                  <c:v>24.484600067138672</c:v>
                </c:pt>
                <c:pt idx="5">
                  <c:v>30.605751037597656</c:v>
                </c:pt>
                <c:pt idx="6">
                  <c:v>36.726902008056641</c:v>
                </c:pt>
                <c:pt idx="7">
                  <c:v>42.848052978515625</c:v>
                </c:pt>
                <c:pt idx="8">
                  <c:v>48.969200134277344</c:v>
                </c:pt>
                <c:pt idx="9">
                  <c:v>55.090351104736328</c:v>
                </c:pt>
                <c:pt idx="10">
                  <c:v>61.211502075195313</c:v>
                </c:pt>
                <c:pt idx="11">
                  <c:v>67.332649230957031</c:v>
                </c:pt>
                <c:pt idx="12">
                  <c:v>73.453804016113281</c:v>
                </c:pt>
                <c:pt idx="13">
                  <c:v>79.574951171875</c:v>
                </c:pt>
                <c:pt idx="14">
                  <c:v>85.69610595703125</c:v>
                </c:pt>
                <c:pt idx="15">
                  <c:v>91.817253112792969</c:v>
                </c:pt>
                <c:pt idx="16">
                  <c:v>97.938400268554688</c:v>
                </c:pt>
                <c:pt idx="17">
                  <c:v>104.05954742431641</c:v>
                </c:pt>
                <c:pt idx="18">
                  <c:v>110.18070220947266</c:v>
                </c:pt>
                <c:pt idx="19">
                  <c:v>116.30184936523438</c:v>
                </c:pt>
                <c:pt idx="20">
                  <c:v>122.42300415039063</c:v>
                </c:pt>
                <c:pt idx="21">
                  <c:v>128.54415893554688</c:v>
                </c:pt>
                <c:pt idx="22">
                  <c:v>134.66529846191406</c:v>
                </c:pt>
                <c:pt idx="23">
                  <c:v>140.78645324707031</c:v>
                </c:pt>
                <c:pt idx="24">
                  <c:v>146.90760803222656</c:v>
                </c:pt>
                <c:pt idx="25">
                  <c:v>153.02874755859375</c:v>
                </c:pt>
                <c:pt idx="26">
                  <c:v>159.14990234375</c:v>
                </c:pt>
                <c:pt idx="27">
                  <c:v>165.27105712890625</c:v>
                </c:pt>
                <c:pt idx="28">
                  <c:v>171.3922119140625</c:v>
                </c:pt>
                <c:pt idx="29">
                  <c:v>177.51335144042969</c:v>
                </c:pt>
                <c:pt idx="30">
                  <c:v>183.63450622558594</c:v>
                </c:pt>
                <c:pt idx="31">
                  <c:v>189.75566101074219</c:v>
                </c:pt>
                <c:pt idx="32">
                  <c:v>195.87680053710938</c:v>
                </c:pt>
                <c:pt idx="33">
                  <c:v>201.99795532226563</c:v>
                </c:pt>
                <c:pt idx="34">
                  <c:v>208.11909484863281</c:v>
                </c:pt>
                <c:pt idx="35">
                  <c:v>214.24024963378906</c:v>
                </c:pt>
                <c:pt idx="36">
                  <c:v>220.36140441894531</c:v>
                </c:pt>
                <c:pt idx="37">
                  <c:v>226.48255920410156</c:v>
                </c:pt>
                <c:pt idx="38">
                  <c:v>232.60369873046875</c:v>
                </c:pt>
                <c:pt idx="39">
                  <c:v>238.724853515625</c:v>
                </c:pt>
                <c:pt idx="40">
                  <c:v>244.84600830078125</c:v>
                </c:pt>
                <c:pt idx="41">
                  <c:v>250.9671630859375</c:v>
                </c:pt>
                <c:pt idx="42">
                  <c:v>257.08831787109375</c:v>
                </c:pt>
                <c:pt idx="43">
                  <c:v>263.20947265625</c:v>
                </c:pt>
                <c:pt idx="44">
                  <c:v>269.33059692382813</c:v>
                </c:pt>
                <c:pt idx="45">
                  <c:v>275.45175170898438</c:v>
                </c:pt>
                <c:pt idx="46">
                  <c:v>281.57290649414063</c:v>
                </c:pt>
                <c:pt idx="47">
                  <c:v>287.69406127929688</c:v>
                </c:pt>
                <c:pt idx="48">
                  <c:v>293.81521606445313</c:v>
                </c:pt>
                <c:pt idx="49">
                  <c:v>299.93637084960938</c:v>
                </c:pt>
                <c:pt idx="50">
                  <c:v>306.0574951171875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E8B-45A0-93F0-138DB4DE3FB4}"/>
            </c:ext>
          </c:extLst>
        </c:ser>
        <c:ser>
          <c:idx val="38"/>
          <c:order val="38"/>
          <c:tx>
            <c:strRef>
              <c:f>Skymaps!$D$144</c:f>
              <c:strCache>
                <c:ptCount val="1"/>
                <c:pt idx="0">
                  <c:v>38000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Skymaps!$E$144:$BC$144</c:f>
              <c:numCache>
                <c:formatCode>General</c:formatCode>
                <c:ptCount val="51"/>
                <c:pt idx="0">
                  <c:v>0</c:v>
                </c:pt>
                <c:pt idx="1">
                  <c:v>5.9763169288635254</c:v>
                </c:pt>
                <c:pt idx="2">
                  <c:v>11.952633857727051</c:v>
                </c:pt>
                <c:pt idx="3">
                  <c:v>17.928951263427734</c:v>
                </c:pt>
                <c:pt idx="4">
                  <c:v>23.905267715454102</c:v>
                </c:pt>
                <c:pt idx="5">
                  <c:v>29.881586074829102</c:v>
                </c:pt>
                <c:pt idx="6">
                  <c:v>35.857902526855469</c:v>
                </c:pt>
                <c:pt idx="7">
                  <c:v>41.834220886230469</c:v>
                </c:pt>
                <c:pt idx="8">
                  <c:v>47.810535430908203</c:v>
                </c:pt>
                <c:pt idx="9">
                  <c:v>53.786853790283203</c:v>
                </c:pt>
                <c:pt idx="10">
                  <c:v>59.763172149658203</c:v>
                </c:pt>
                <c:pt idx="11">
                  <c:v>65.739486694335938</c:v>
                </c:pt>
                <c:pt idx="12">
                  <c:v>71.715805053710938</c:v>
                </c:pt>
                <c:pt idx="13">
                  <c:v>77.692123413085938</c:v>
                </c:pt>
                <c:pt idx="14">
                  <c:v>83.668441772460938</c:v>
                </c:pt>
                <c:pt idx="15">
                  <c:v>89.644752502441406</c:v>
                </c:pt>
                <c:pt idx="16">
                  <c:v>95.621070861816406</c:v>
                </c:pt>
                <c:pt idx="17">
                  <c:v>101.59738922119141</c:v>
                </c:pt>
                <c:pt idx="18">
                  <c:v>107.57370758056641</c:v>
                </c:pt>
                <c:pt idx="19">
                  <c:v>113.55002593994141</c:v>
                </c:pt>
                <c:pt idx="20">
                  <c:v>119.52634429931641</c:v>
                </c:pt>
                <c:pt idx="21">
                  <c:v>125.50265502929688</c:v>
                </c:pt>
                <c:pt idx="22">
                  <c:v>131.47897338867188</c:v>
                </c:pt>
                <c:pt idx="23">
                  <c:v>137.45529174804688</c:v>
                </c:pt>
                <c:pt idx="24">
                  <c:v>143.43161010742188</c:v>
                </c:pt>
                <c:pt idx="25">
                  <c:v>149.40792846679688</c:v>
                </c:pt>
                <c:pt idx="26">
                  <c:v>155.38424682617188</c:v>
                </c:pt>
                <c:pt idx="27">
                  <c:v>161.36054992675781</c:v>
                </c:pt>
                <c:pt idx="28">
                  <c:v>167.33688354492188</c:v>
                </c:pt>
                <c:pt idx="29">
                  <c:v>173.31318664550781</c:v>
                </c:pt>
                <c:pt idx="30">
                  <c:v>179.28950500488281</c:v>
                </c:pt>
                <c:pt idx="31">
                  <c:v>185.26582336425781</c:v>
                </c:pt>
                <c:pt idx="32">
                  <c:v>191.24214172363281</c:v>
                </c:pt>
                <c:pt idx="33">
                  <c:v>197.21846008300781</c:v>
                </c:pt>
                <c:pt idx="34">
                  <c:v>203.19477844238281</c:v>
                </c:pt>
                <c:pt idx="35">
                  <c:v>209.17109680175781</c:v>
                </c:pt>
                <c:pt idx="36">
                  <c:v>215.14741516113281</c:v>
                </c:pt>
                <c:pt idx="37">
                  <c:v>221.12373352050781</c:v>
                </c:pt>
                <c:pt idx="38">
                  <c:v>227.10005187988281</c:v>
                </c:pt>
                <c:pt idx="39">
                  <c:v>233.07635498046875</c:v>
                </c:pt>
                <c:pt idx="40">
                  <c:v>239.05268859863281</c:v>
                </c:pt>
                <c:pt idx="41">
                  <c:v>245.02899169921875</c:v>
                </c:pt>
                <c:pt idx="42">
                  <c:v>251.00531005859375</c:v>
                </c:pt>
                <c:pt idx="43">
                  <c:v>256.98162841796875</c:v>
                </c:pt>
                <c:pt idx="44">
                  <c:v>262.95794677734375</c:v>
                </c:pt>
                <c:pt idx="45">
                  <c:v>268.93426513671875</c:v>
                </c:pt>
                <c:pt idx="46">
                  <c:v>274.91058349609375</c:v>
                </c:pt>
                <c:pt idx="47">
                  <c:v>280.88690185546875</c:v>
                </c:pt>
                <c:pt idx="48">
                  <c:v>286.86322021484375</c:v>
                </c:pt>
                <c:pt idx="49">
                  <c:v>292.83953857421875</c:v>
                </c:pt>
                <c:pt idx="50">
                  <c:v>298.81585693359375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E8B-45A0-93F0-138DB4DE3FB4}"/>
            </c:ext>
          </c:extLst>
        </c:ser>
        <c:ser>
          <c:idx val="39"/>
          <c:order val="39"/>
          <c:tx>
            <c:strRef>
              <c:f>Skymaps!$D$145</c:f>
              <c:strCache>
                <c:ptCount val="1"/>
                <c:pt idx="0">
                  <c:v>39000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Skymaps!$E$145:$BC$145</c:f>
              <c:numCache>
                <c:formatCode>General</c:formatCode>
                <c:ptCount val="51"/>
                <c:pt idx="0">
                  <c:v>0</c:v>
                </c:pt>
                <c:pt idx="1">
                  <c:v>5.8349242210388184</c:v>
                </c:pt>
                <c:pt idx="2">
                  <c:v>11.669848442077637</c:v>
                </c:pt>
                <c:pt idx="3">
                  <c:v>17.504772186279297</c:v>
                </c:pt>
                <c:pt idx="4">
                  <c:v>23.339696884155273</c:v>
                </c:pt>
                <c:pt idx="5">
                  <c:v>29.17462158203125</c:v>
                </c:pt>
                <c:pt idx="6">
                  <c:v>35.009544372558594</c:v>
                </c:pt>
                <c:pt idx="7">
                  <c:v>40.844470977783203</c:v>
                </c:pt>
                <c:pt idx="8">
                  <c:v>46.679393768310547</c:v>
                </c:pt>
                <c:pt idx="9">
                  <c:v>52.514316558837891</c:v>
                </c:pt>
                <c:pt idx="10">
                  <c:v>58.3492431640625</c:v>
                </c:pt>
                <c:pt idx="11">
                  <c:v>64.184165954589844</c:v>
                </c:pt>
                <c:pt idx="12">
                  <c:v>70.019088745117188</c:v>
                </c:pt>
                <c:pt idx="13">
                  <c:v>75.854019165039063</c:v>
                </c:pt>
                <c:pt idx="14">
                  <c:v>81.688941955566406</c:v>
                </c:pt>
                <c:pt idx="15">
                  <c:v>87.52386474609375</c:v>
                </c:pt>
                <c:pt idx="16">
                  <c:v>93.358787536621094</c:v>
                </c:pt>
                <c:pt idx="17">
                  <c:v>99.193717956542969</c:v>
                </c:pt>
                <c:pt idx="18">
                  <c:v>105.02863311767578</c:v>
                </c:pt>
                <c:pt idx="19">
                  <c:v>110.86356353759766</c:v>
                </c:pt>
                <c:pt idx="20">
                  <c:v>116.698486328125</c:v>
                </c:pt>
                <c:pt idx="21">
                  <c:v>122.53340911865234</c:v>
                </c:pt>
                <c:pt idx="22">
                  <c:v>128.36833190917969</c:v>
                </c:pt>
                <c:pt idx="23">
                  <c:v>134.20326232910156</c:v>
                </c:pt>
                <c:pt idx="24">
                  <c:v>140.03817749023438</c:v>
                </c:pt>
                <c:pt idx="25">
                  <c:v>145.87310791015625</c:v>
                </c:pt>
                <c:pt idx="26">
                  <c:v>151.70803833007813</c:v>
                </c:pt>
                <c:pt idx="27">
                  <c:v>157.54295349121094</c:v>
                </c:pt>
                <c:pt idx="28">
                  <c:v>163.37788391113281</c:v>
                </c:pt>
                <c:pt idx="29">
                  <c:v>169.21279907226563</c:v>
                </c:pt>
                <c:pt idx="30">
                  <c:v>175.0477294921875</c:v>
                </c:pt>
                <c:pt idx="31">
                  <c:v>180.88265991210938</c:v>
                </c:pt>
                <c:pt idx="32">
                  <c:v>186.71757507324219</c:v>
                </c:pt>
                <c:pt idx="33">
                  <c:v>192.55250549316406</c:v>
                </c:pt>
                <c:pt idx="34">
                  <c:v>198.38743591308594</c:v>
                </c:pt>
                <c:pt idx="35">
                  <c:v>204.22235107421875</c:v>
                </c:pt>
                <c:pt idx="36">
                  <c:v>210.05726623535156</c:v>
                </c:pt>
                <c:pt idx="37">
                  <c:v>215.89219665527344</c:v>
                </c:pt>
                <c:pt idx="38">
                  <c:v>221.72712707519531</c:v>
                </c:pt>
                <c:pt idx="39">
                  <c:v>227.56205749511719</c:v>
                </c:pt>
                <c:pt idx="40">
                  <c:v>233.39697265625</c:v>
                </c:pt>
                <c:pt idx="41">
                  <c:v>239.23190307617188</c:v>
                </c:pt>
                <c:pt idx="42">
                  <c:v>245.06681823730469</c:v>
                </c:pt>
                <c:pt idx="43">
                  <c:v>250.90174865722656</c:v>
                </c:pt>
                <c:pt idx="44">
                  <c:v>256.73666381835938</c:v>
                </c:pt>
                <c:pt idx="45">
                  <c:v>262.57159423828125</c:v>
                </c:pt>
                <c:pt idx="46">
                  <c:v>268.40652465820313</c:v>
                </c:pt>
                <c:pt idx="47">
                  <c:v>274.241455078125</c:v>
                </c:pt>
                <c:pt idx="48">
                  <c:v>280.07635498046875</c:v>
                </c:pt>
                <c:pt idx="49">
                  <c:v>285.91128540039063</c:v>
                </c:pt>
                <c:pt idx="50">
                  <c:v>291.7462158203125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AE8B-45A0-93F0-138DB4DE3FB4}"/>
            </c:ext>
          </c:extLst>
        </c:ser>
        <c:ser>
          <c:idx val="40"/>
          <c:order val="40"/>
          <c:tx>
            <c:strRef>
              <c:f>Skymaps!$D$146</c:f>
              <c:strCache>
                <c:ptCount val="1"/>
                <c:pt idx="0">
                  <c:v>40000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Skymaps!$E$146:$BC$146</c:f>
              <c:numCache>
                <c:formatCode>General</c:formatCode>
                <c:ptCount val="51"/>
                <c:pt idx="0">
                  <c:v>0</c:v>
                </c:pt>
                <c:pt idx="1">
                  <c:v>5.6968894004821777</c:v>
                </c:pt>
                <c:pt idx="2">
                  <c:v>11.393778800964355</c:v>
                </c:pt>
                <c:pt idx="3">
                  <c:v>17.090667724609375</c:v>
                </c:pt>
                <c:pt idx="4">
                  <c:v>22.787557601928711</c:v>
                </c:pt>
                <c:pt idx="5">
                  <c:v>28.484447479248047</c:v>
                </c:pt>
                <c:pt idx="6">
                  <c:v>34.18133544921875</c:v>
                </c:pt>
                <c:pt idx="7">
                  <c:v>39.878227233886719</c:v>
                </c:pt>
                <c:pt idx="8">
                  <c:v>45.575115203857422</c:v>
                </c:pt>
                <c:pt idx="9">
                  <c:v>51.272006988525391</c:v>
                </c:pt>
                <c:pt idx="10">
                  <c:v>56.968894958496094</c:v>
                </c:pt>
                <c:pt idx="11">
                  <c:v>62.665782928466797</c:v>
                </c:pt>
                <c:pt idx="12">
                  <c:v>68.3626708984375</c:v>
                </c:pt>
                <c:pt idx="13">
                  <c:v>74.059562683105469</c:v>
                </c:pt>
                <c:pt idx="14">
                  <c:v>79.756454467773438</c:v>
                </c:pt>
                <c:pt idx="15">
                  <c:v>85.453346252441406</c:v>
                </c:pt>
                <c:pt idx="16">
                  <c:v>91.150230407714844</c:v>
                </c:pt>
                <c:pt idx="17">
                  <c:v>96.847122192382813</c:v>
                </c:pt>
                <c:pt idx="18">
                  <c:v>102.54401397705078</c:v>
                </c:pt>
                <c:pt idx="19">
                  <c:v>108.24089813232422</c:v>
                </c:pt>
                <c:pt idx="20">
                  <c:v>113.93778991699219</c:v>
                </c:pt>
                <c:pt idx="21">
                  <c:v>119.63468170166016</c:v>
                </c:pt>
                <c:pt idx="22">
                  <c:v>125.33156585693359</c:v>
                </c:pt>
                <c:pt idx="23">
                  <c:v>131.02845764160156</c:v>
                </c:pt>
                <c:pt idx="24">
                  <c:v>136.725341796875</c:v>
                </c:pt>
                <c:pt idx="25">
                  <c:v>142.4222412109375</c:v>
                </c:pt>
                <c:pt idx="26">
                  <c:v>148.11912536621094</c:v>
                </c:pt>
                <c:pt idx="27">
                  <c:v>153.81602478027344</c:v>
                </c:pt>
                <c:pt idx="28">
                  <c:v>159.51290893554688</c:v>
                </c:pt>
                <c:pt idx="29">
                  <c:v>165.20979309082031</c:v>
                </c:pt>
                <c:pt idx="30">
                  <c:v>170.90669250488281</c:v>
                </c:pt>
                <c:pt idx="31">
                  <c:v>176.60357666015625</c:v>
                </c:pt>
                <c:pt idx="32">
                  <c:v>182.30046081542969</c:v>
                </c:pt>
                <c:pt idx="33">
                  <c:v>187.99734497070313</c:v>
                </c:pt>
                <c:pt idx="34">
                  <c:v>193.69424438476563</c:v>
                </c:pt>
                <c:pt idx="35">
                  <c:v>199.39112854003906</c:v>
                </c:pt>
                <c:pt idx="36">
                  <c:v>205.08802795410156</c:v>
                </c:pt>
                <c:pt idx="37">
                  <c:v>210.784912109375</c:v>
                </c:pt>
                <c:pt idx="38">
                  <c:v>216.48179626464844</c:v>
                </c:pt>
                <c:pt idx="39">
                  <c:v>222.17869567871094</c:v>
                </c:pt>
                <c:pt idx="40">
                  <c:v>227.87557983398438</c:v>
                </c:pt>
                <c:pt idx="41">
                  <c:v>233.57246398925781</c:v>
                </c:pt>
                <c:pt idx="42">
                  <c:v>239.26936340332031</c:v>
                </c:pt>
                <c:pt idx="43">
                  <c:v>244.96624755859375</c:v>
                </c:pt>
                <c:pt idx="44">
                  <c:v>250.66313171386719</c:v>
                </c:pt>
                <c:pt idx="45">
                  <c:v>256.36001586914063</c:v>
                </c:pt>
                <c:pt idx="46">
                  <c:v>262.05691528320313</c:v>
                </c:pt>
                <c:pt idx="47">
                  <c:v>267.75381469726563</c:v>
                </c:pt>
                <c:pt idx="48">
                  <c:v>273.45068359375</c:v>
                </c:pt>
                <c:pt idx="49">
                  <c:v>279.1475830078125</c:v>
                </c:pt>
                <c:pt idx="50">
                  <c:v>284.844482421875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E8B-45A0-93F0-138DB4DE3FB4}"/>
            </c:ext>
          </c:extLst>
        </c:ser>
        <c:ser>
          <c:idx val="41"/>
          <c:order val="41"/>
          <c:tx>
            <c:strRef>
              <c:f>Skymaps!$D$147</c:f>
              <c:strCache>
                <c:ptCount val="1"/>
                <c:pt idx="0">
                  <c:v>41000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Skymaps!$E$147:$BC$147</c:f>
              <c:numCache>
                <c:formatCode>General</c:formatCode>
                <c:ptCount val="51"/>
                <c:pt idx="0">
                  <c:v>0</c:v>
                </c:pt>
                <c:pt idx="1">
                  <c:v>5.5621328353881836</c:v>
                </c:pt>
                <c:pt idx="2">
                  <c:v>11.124265670776367</c:v>
                </c:pt>
                <c:pt idx="3">
                  <c:v>16.686399459838867</c:v>
                </c:pt>
                <c:pt idx="4">
                  <c:v>22.248531341552734</c:v>
                </c:pt>
                <c:pt idx="5">
                  <c:v>27.810665130615234</c:v>
                </c:pt>
                <c:pt idx="6">
                  <c:v>33.372798919677734</c:v>
                </c:pt>
                <c:pt idx="7">
                  <c:v>38.934928894042969</c:v>
                </c:pt>
                <c:pt idx="8">
                  <c:v>44.497062683105469</c:v>
                </c:pt>
                <c:pt idx="9">
                  <c:v>50.059196472167969</c:v>
                </c:pt>
                <c:pt idx="10">
                  <c:v>55.621330261230469</c:v>
                </c:pt>
                <c:pt idx="11">
                  <c:v>61.183464050292969</c:v>
                </c:pt>
                <c:pt idx="12">
                  <c:v>66.745597839355469</c:v>
                </c:pt>
                <c:pt idx="13">
                  <c:v>72.307723999023438</c:v>
                </c:pt>
                <c:pt idx="14">
                  <c:v>77.869857788085938</c:v>
                </c:pt>
                <c:pt idx="15">
                  <c:v>83.431991577148438</c:v>
                </c:pt>
                <c:pt idx="16">
                  <c:v>88.994125366210938</c:v>
                </c:pt>
                <c:pt idx="17">
                  <c:v>94.556259155273438</c:v>
                </c:pt>
                <c:pt idx="18">
                  <c:v>100.11839294433594</c:v>
                </c:pt>
                <c:pt idx="19">
                  <c:v>105.68052673339844</c:v>
                </c:pt>
                <c:pt idx="20">
                  <c:v>111.24266052246094</c:v>
                </c:pt>
                <c:pt idx="21">
                  <c:v>116.80479431152344</c:v>
                </c:pt>
                <c:pt idx="22">
                  <c:v>122.36692810058594</c:v>
                </c:pt>
                <c:pt idx="23">
                  <c:v>127.92906188964844</c:v>
                </c:pt>
                <c:pt idx="24">
                  <c:v>133.49119567871094</c:v>
                </c:pt>
                <c:pt idx="25">
                  <c:v>139.05332946777344</c:v>
                </c:pt>
                <c:pt idx="26">
                  <c:v>144.61544799804688</c:v>
                </c:pt>
                <c:pt idx="27">
                  <c:v>150.17759704589844</c:v>
                </c:pt>
                <c:pt idx="28">
                  <c:v>155.73971557617188</c:v>
                </c:pt>
                <c:pt idx="29">
                  <c:v>161.30186462402344</c:v>
                </c:pt>
                <c:pt idx="30">
                  <c:v>166.86398315429688</c:v>
                </c:pt>
                <c:pt idx="31">
                  <c:v>172.42611694335938</c:v>
                </c:pt>
                <c:pt idx="32">
                  <c:v>177.98825073242188</c:v>
                </c:pt>
                <c:pt idx="33">
                  <c:v>183.55038452148438</c:v>
                </c:pt>
                <c:pt idx="34">
                  <c:v>189.11251831054688</c:v>
                </c:pt>
                <c:pt idx="35">
                  <c:v>194.67465209960938</c:v>
                </c:pt>
                <c:pt idx="36">
                  <c:v>200.23678588867188</c:v>
                </c:pt>
                <c:pt idx="37">
                  <c:v>205.79891967773438</c:v>
                </c:pt>
                <c:pt idx="38">
                  <c:v>211.36105346679688</c:v>
                </c:pt>
                <c:pt idx="39">
                  <c:v>216.92318725585938</c:v>
                </c:pt>
                <c:pt idx="40">
                  <c:v>222.48532104492188</c:v>
                </c:pt>
                <c:pt idx="41">
                  <c:v>228.04745483398438</c:v>
                </c:pt>
                <c:pt idx="42">
                  <c:v>233.60958862304688</c:v>
                </c:pt>
                <c:pt idx="43">
                  <c:v>239.17170715332031</c:v>
                </c:pt>
                <c:pt idx="44">
                  <c:v>244.73385620117188</c:v>
                </c:pt>
                <c:pt idx="45">
                  <c:v>250.29598999023438</c:v>
                </c:pt>
                <c:pt idx="46">
                  <c:v>255.85812377929688</c:v>
                </c:pt>
                <c:pt idx="47">
                  <c:v>261.42025756835938</c:v>
                </c:pt>
                <c:pt idx="48">
                  <c:v>266.98239135742188</c:v>
                </c:pt>
                <c:pt idx="49">
                  <c:v>272.54452514648438</c:v>
                </c:pt>
                <c:pt idx="50">
                  <c:v>278.10665893554688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E8B-45A0-93F0-138DB4DE3FB4}"/>
            </c:ext>
          </c:extLst>
        </c:ser>
        <c:ser>
          <c:idx val="42"/>
          <c:order val="42"/>
          <c:tx>
            <c:strRef>
              <c:f>Skymaps!$D$148</c:f>
              <c:strCache>
                <c:ptCount val="1"/>
                <c:pt idx="0">
                  <c:v>42000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Skymaps!$E$148:$BC$148</c:f>
              <c:numCache>
                <c:formatCode>General</c:formatCode>
                <c:ptCount val="51"/>
                <c:pt idx="0">
                  <c:v>0</c:v>
                </c:pt>
                <c:pt idx="1">
                  <c:v>5.4305768013000488</c:v>
                </c:pt>
                <c:pt idx="2">
                  <c:v>10.861153602600098</c:v>
                </c:pt>
                <c:pt idx="3">
                  <c:v>16.291728973388672</c:v>
                </c:pt>
                <c:pt idx="4">
                  <c:v>21.722307205200195</c:v>
                </c:pt>
                <c:pt idx="5">
                  <c:v>27.152883529663086</c:v>
                </c:pt>
                <c:pt idx="6">
                  <c:v>32.583457946777344</c:v>
                </c:pt>
                <c:pt idx="7">
                  <c:v>38.0140380859375</c:v>
                </c:pt>
                <c:pt idx="8">
                  <c:v>43.444614410400391</c:v>
                </c:pt>
                <c:pt idx="9">
                  <c:v>48.875190734863281</c:v>
                </c:pt>
                <c:pt idx="10">
                  <c:v>54.305767059326172</c:v>
                </c:pt>
                <c:pt idx="11">
                  <c:v>59.736343383789063</c:v>
                </c:pt>
                <c:pt idx="12">
                  <c:v>65.166915893554688</c:v>
                </c:pt>
                <c:pt idx="13">
                  <c:v>70.597496032714844</c:v>
                </c:pt>
                <c:pt idx="14">
                  <c:v>76.028076171875</c:v>
                </c:pt>
                <c:pt idx="15">
                  <c:v>81.458648681640625</c:v>
                </c:pt>
                <c:pt idx="16">
                  <c:v>86.889228820800781</c:v>
                </c:pt>
                <c:pt idx="17">
                  <c:v>92.319801330566406</c:v>
                </c:pt>
                <c:pt idx="18">
                  <c:v>97.750381469726563</c:v>
                </c:pt>
                <c:pt idx="19">
                  <c:v>103.18095397949219</c:v>
                </c:pt>
                <c:pt idx="20">
                  <c:v>108.61153411865234</c:v>
                </c:pt>
                <c:pt idx="21">
                  <c:v>114.04210662841797</c:v>
                </c:pt>
                <c:pt idx="22">
                  <c:v>119.47268676757813</c:v>
                </c:pt>
                <c:pt idx="23">
                  <c:v>124.90325927734375</c:v>
                </c:pt>
                <c:pt idx="24">
                  <c:v>130.33383178710938</c:v>
                </c:pt>
                <c:pt idx="25">
                  <c:v>135.76441955566406</c:v>
                </c:pt>
                <c:pt idx="26">
                  <c:v>141.19499206542969</c:v>
                </c:pt>
                <c:pt idx="27">
                  <c:v>146.62556457519531</c:v>
                </c:pt>
                <c:pt idx="28">
                  <c:v>152.05615234375</c:v>
                </c:pt>
                <c:pt idx="29">
                  <c:v>157.48672485351563</c:v>
                </c:pt>
                <c:pt idx="30">
                  <c:v>162.91729736328125</c:v>
                </c:pt>
                <c:pt idx="31">
                  <c:v>168.34788513183594</c:v>
                </c:pt>
                <c:pt idx="32">
                  <c:v>173.77845764160156</c:v>
                </c:pt>
                <c:pt idx="33">
                  <c:v>179.20903015136719</c:v>
                </c:pt>
                <c:pt idx="34">
                  <c:v>184.63960266113281</c:v>
                </c:pt>
                <c:pt idx="35">
                  <c:v>190.07017517089844</c:v>
                </c:pt>
                <c:pt idx="36">
                  <c:v>195.50076293945313</c:v>
                </c:pt>
                <c:pt idx="37">
                  <c:v>200.93133544921875</c:v>
                </c:pt>
                <c:pt idx="38">
                  <c:v>206.36190795898438</c:v>
                </c:pt>
                <c:pt idx="39">
                  <c:v>211.79248046875</c:v>
                </c:pt>
                <c:pt idx="40">
                  <c:v>217.22306823730469</c:v>
                </c:pt>
                <c:pt idx="41">
                  <c:v>222.65364074707031</c:v>
                </c:pt>
                <c:pt idx="42">
                  <c:v>228.08421325683594</c:v>
                </c:pt>
                <c:pt idx="43">
                  <c:v>233.51480102539063</c:v>
                </c:pt>
                <c:pt idx="44">
                  <c:v>238.94537353515625</c:v>
                </c:pt>
                <c:pt idx="45">
                  <c:v>244.37594604492188</c:v>
                </c:pt>
                <c:pt idx="46">
                  <c:v>249.8065185546875</c:v>
                </c:pt>
                <c:pt idx="47">
                  <c:v>255.23710632324219</c:v>
                </c:pt>
                <c:pt idx="48">
                  <c:v>260.66766357421875</c:v>
                </c:pt>
                <c:pt idx="49">
                  <c:v>266.0982666015625</c:v>
                </c:pt>
                <c:pt idx="50">
                  <c:v>271.52883911132813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AE8B-45A0-93F0-138DB4DE3FB4}"/>
            </c:ext>
          </c:extLst>
        </c:ser>
        <c:ser>
          <c:idx val="43"/>
          <c:order val="43"/>
          <c:tx>
            <c:strRef>
              <c:f>Skymaps!$D$149</c:f>
              <c:strCache>
                <c:ptCount val="1"/>
                <c:pt idx="0">
                  <c:v>43000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Skymaps!$E$149:$BC$149</c:f>
              <c:numCache>
                <c:formatCode>General</c:formatCode>
                <c:ptCount val="51"/>
                <c:pt idx="0">
                  <c:v>0</c:v>
                </c:pt>
                <c:pt idx="1">
                  <c:v>5.3021440505981445</c:v>
                </c:pt>
                <c:pt idx="2">
                  <c:v>10.604288101196289</c:v>
                </c:pt>
                <c:pt idx="3">
                  <c:v>15.906432151794434</c:v>
                </c:pt>
                <c:pt idx="4">
                  <c:v>21.208576202392578</c:v>
                </c:pt>
                <c:pt idx="5">
                  <c:v>26.510721206665039</c:v>
                </c:pt>
                <c:pt idx="6">
                  <c:v>31.812864303588867</c:v>
                </c:pt>
                <c:pt idx="7">
                  <c:v>37.115009307861328</c:v>
                </c:pt>
                <c:pt idx="8">
                  <c:v>42.417152404785156</c:v>
                </c:pt>
                <c:pt idx="9">
                  <c:v>47.719295501708984</c:v>
                </c:pt>
                <c:pt idx="10">
                  <c:v>53.021442413330078</c:v>
                </c:pt>
                <c:pt idx="11">
                  <c:v>58.323585510253906</c:v>
                </c:pt>
                <c:pt idx="12">
                  <c:v>63.625728607177734</c:v>
                </c:pt>
                <c:pt idx="13">
                  <c:v>68.927871704101563</c:v>
                </c:pt>
                <c:pt idx="14">
                  <c:v>74.230018615722656</c:v>
                </c:pt>
                <c:pt idx="15">
                  <c:v>79.532157897949219</c:v>
                </c:pt>
                <c:pt idx="16">
                  <c:v>84.834304809570313</c:v>
                </c:pt>
                <c:pt idx="17">
                  <c:v>90.136451721191406</c:v>
                </c:pt>
                <c:pt idx="18">
                  <c:v>95.438591003417969</c:v>
                </c:pt>
                <c:pt idx="19">
                  <c:v>100.74073791503906</c:v>
                </c:pt>
                <c:pt idx="20">
                  <c:v>106.04288482666016</c:v>
                </c:pt>
                <c:pt idx="21">
                  <c:v>111.34502410888672</c:v>
                </c:pt>
                <c:pt idx="22">
                  <c:v>116.64717102050781</c:v>
                </c:pt>
                <c:pt idx="23">
                  <c:v>121.94931030273438</c:v>
                </c:pt>
                <c:pt idx="24">
                  <c:v>127.25145721435547</c:v>
                </c:pt>
                <c:pt idx="25">
                  <c:v>132.55360412597656</c:v>
                </c:pt>
                <c:pt idx="26">
                  <c:v>137.85574340820313</c:v>
                </c:pt>
                <c:pt idx="27">
                  <c:v>143.15788269042969</c:v>
                </c:pt>
                <c:pt idx="28">
                  <c:v>148.46003723144531</c:v>
                </c:pt>
                <c:pt idx="29">
                  <c:v>153.76217651367188</c:v>
                </c:pt>
                <c:pt idx="30">
                  <c:v>159.06431579589844</c:v>
                </c:pt>
                <c:pt idx="31">
                  <c:v>164.36647033691406</c:v>
                </c:pt>
                <c:pt idx="32">
                  <c:v>169.66860961914063</c:v>
                </c:pt>
                <c:pt idx="33">
                  <c:v>174.97074890136719</c:v>
                </c:pt>
                <c:pt idx="34">
                  <c:v>180.27290344238281</c:v>
                </c:pt>
                <c:pt idx="35">
                  <c:v>185.57504272460938</c:v>
                </c:pt>
                <c:pt idx="36">
                  <c:v>190.87718200683594</c:v>
                </c:pt>
                <c:pt idx="37">
                  <c:v>196.1793212890625</c:v>
                </c:pt>
                <c:pt idx="38">
                  <c:v>201.48147583007813</c:v>
                </c:pt>
                <c:pt idx="39">
                  <c:v>206.78361511230469</c:v>
                </c:pt>
                <c:pt idx="40">
                  <c:v>212.08576965332031</c:v>
                </c:pt>
                <c:pt idx="41">
                  <c:v>217.38790893554688</c:v>
                </c:pt>
                <c:pt idx="42">
                  <c:v>222.69004821777344</c:v>
                </c:pt>
                <c:pt idx="43">
                  <c:v>227.99220275878906</c:v>
                </c:pt>
                <c:pt idx="44">
                  <c:v>233.29434204101563</c:v>
                </c:pt>
                <c:pt idx="45">
                  <c:v>238.59648132324219</c:v>
                </c:pt>
                <c:pt idx="46">
                  <c:v>243.89862060546875</c:v>
                </c:pt>
                <c:pt idx="47">
                  <c:v>249.20077514648438</c:v>
                </c:pt>
                <c:pt idx="48">
                  <c:v>254.50291442871094</c:v>
                </c:pt>
                <c:pt idx="49">
                  <c:v>259.8050537109375</c:v>
                </c:pt>
                <c:pt idx="50">
                  <c:v>265.10720825195313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AE8B-45A0-93F0-138DB4DE3FB4}"/>
            </c:ext>
          </c:extLst>
        </c:ser>
        <c:ser>
          <c:idx val="44"/>
          <c:order val="44"/>
          <c:tx>
            <c:strRef>
              <c:f>Skymaps!$D$150</c:f>
              <c:strCache>
                <c:ptCount val="1"/>
                <c:pt idx="0">
                  <c:v>44000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Skymaps!$E$150:$BC$150</c:f>
              <c:numCache>
                <c:formatCode>General</c:formatCode>
                <c:ptCount val="51"/>
                <c:pt idx="0">
                  <c:v>0</c:v>
                </c:pt>
                <c:pt idx="1">
                  <c:v>5.1767606735229492</c:v>
                </c:pt>
                <c:pt idx="2">
                  <c:v>10.353521347045898</c:v>
                </c:pt>
                <c:pt idx="3">
                  <c:v>15.530281066894531</c:v>
                </c:pt>
                <c:pt idx="4">
                  <c:v>20.707042694091797</c:v>
                </c:pt>
                <c:pt idx="5">
                  <c:v>25.88380241394043</c:v>
                </c:pt>
                <c:pt idx="6">
                  <c:v>31.060562133789063</c:v>
                </c:pt>
                <c:pt idx="7">
                  <c:v>36.237323760986328</c:v>
                </c:pt>
                <c:pt idx="8">
                  <c:v>41.414085388183594</c:v>
                </c:pt>
                <c:pt idx="9">
                  <c:v>46.590843200683594</c:v>
                </c:pt>
                <c:pt idx="10">
                  <c:v>51.767604827880859</c:v>
                </c:pt>
                <c:pt idx="11">
                  <c:v>56.944366455078125</c:v>
                </c:pt>
                <c:pt idx="12">
                  <c:v>62.121124267578125</c:v>
                </c:pt>
                <c:pt idx="13">
                  <c:v>67.297889709472656</c:v>
                </c:pt>
                <c:pt idx="14">
                  <c:v>72.474647521972656</c:v>
                </c:pt>
                <c:pt idx="15">
                  <c:v>77.651405334472656</c:v>
                </c:pt>
                <c:pt idx="16">
                  <c:v>82.828170776367188</c:v>
                </c:pt>
                <c:pt idx="17">
                  <c:v>88.004928588867188</c:v>
                </c:pt>
                <c:pt idx="18">
                  <c:v>93.181686401367188</c:v>
                </c:pt>
                <c:pt idx="19">
                  <c:v>98.358451843261719</c:v>
                </c:pt>
                <c:pt idx="20">
                  <c:v>103.53520965576172</c:v>
                </c:pt>
                <c:pt idx="21">
                  <c:v>108.71196746826172</c:v>
                </c:pt>
                <c:pt idx="22">
                  <c:v>113.88873291015625</c:v>
                </c:pt>
                <c:pt idx="23">
                  <c:v>119.06549072265625</c:v>
                </c:pt>
                <c:pt idx="24">
                  <c:v>124.24224853515625</c:v>
                </c:pt>
                <c:pt idx="25">
                  <c:v>129.41900634765625</c:v>
                </c:pt>
                <c:pt idx="26">
                  <c:v>134.59577941894531</c:v>
                </c:pt>
                <c:pt idx="27">
                  <c:v>139.77253723144531</c:v>
                </c:pt>
                <c:pt idx="28">
                  <c:v>144.94929504394531</c:v>
                </c:pt>
                <c:pt idx="29">
                  <c:v>150.12605285644531</c:v>
                </c:pt>
                <c:pt idx="30">
                  <c:v>155.30281066894531</c:v>
                </c:pt>
                <c:pt idx="31">
                  <c:v>160.47956848144531</c:v>
                </c:pt>
                <c:pt idx="32">
                  <c:v>165.65634155273438</c:v>
                </c:pt>
                <c:pt idx="33">
                  <c:v>170.83309936523438</c:v>
                </c:pt>
                <c:pt idx="34">
                  <c:v>176.00985717773438</c:v>
                </c:pt>
                <c:pt idx="35">
                  <c:v>181.18661499023438</c:v>
                </c:pt>
                <c:pt idx="36">
                  <c:v>186.36337280273438</c:v>
                </c:pt>
                <c:pt idx="37">
                  <c:v>191.54013061523438</c:v>
                </c:pt>
                <c:pt idx="38">
                  <c:v>196.71690368652344</c:v>
                </c:pt>
                <c:pt idx="39">
                  <c:v>201.89366149902344</c:v>
                </c:pt>
                <c:pt idx="40">
                  <c:v>207.07041931152344</c:v>
                </c:pt>
                <c:pt idx="41">
                  <c:v>212.24717712402344</c:v>
                </c:pt>
                <c:pt idx="42">
                  <c:v>217.42393493652344</c:v>
                </c:pt>
                <c:pt idx="43">
                  <c:v>222.6007080078125</c:v>
                </c:pt>
                <c:pt idx="44">
                  <c:v>227.7774658203125</c:v>
                </c:pt>
                <c:pt idx="45">
                  <c:v>232.9542236328125</c:v>
                </c:pt>
                <c:pt idx="46">
                  <c:v>238.1309814453125</c:v>
                </c:pt>
                <c:pt idx="47">
                  <c:v>243.3077392578125</c:v>
                </c:pt>
                <c:pt idx="48">
                  <c:v>248.4844970703125</c:v>
                </c:pt>
                <c:pt idx="49">
                  <c:v>253.6612548828125</c:v>
                </c:pt>
                <c:pt idx="50">
                  <c:v>258.8380126953125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E8B-45A0-93F0-138DB4DE3FB4}"/>
            </c:ext>
          </c:extLst>
        </c:ser>
        <c:ser>
          <c:idx val="45"/>
          <c:order val="45"/>
          <c:tx>
            <c:strRef>
              <c:f>Skymaps!$D$151</c:f>
              <c:strCache>
                <c:ptCount val="1"/>
                <c:pt idx="0">
                  <c:v>45000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Skymaps!$E$151:$BC$151</c:f>
              <c:numCache>
                <c:formatCode>General</c:formatCode>
                <c:ptCount val="51"/>
                <c:pt idx="0">
                  <c:v>0</c:v>
                </c:pt>
                <c:pt idx="1">
                  <c:v>5.0543537139892578</c:v>
                </c:pt>
                <c:pt idx="2">
                  <c:v>10.108707427978516</c:v>
                </c:pt>
                <c:pt idx="3">
                  <c:v>15.163061141967773</c:v>
                </c:pt>
                <c:pt idx="4">
                  <c:v>20.217414855957031</c:v>
                </c:pt>
                <c:pt idx="5">
                  <c:v>25.271768569946289</c:v>
                </c:pt>
                <c:pt idx="6">
                  <c:v>30.326122283935547</c:v>
                </c:pt>
                <c:pt idx="7">
                  <c:v>35.380477905273438</c:v>
                </c:pt>
                <c:pt idx="8">
                  <c:v>40.434829711914063</c:v>
                </c:pt>
                <c:pt idx="9">
                  <c:v>45.489185333251953</c:v>
                </c:pt>
                <c:pt idx="10">
                  <c:v>50.543537139892578</c:v>
                </c:pt>
                <c:pt idx="11">
                  <c:v>55.597892761230469</c:v>
                </c:pt>
                <c:pt idx="12">
                  <c:v>60.652244567871094</c:v>
                </c:pt>
                <c:pt idx="13">
                  <c:v>65.706596374511719</c:v>
                </c:pt>
                <c:pt idx="14">
                  <c:v>70.760955810546875</c:v>
                </c:pt>
                <c:pt idx="15">
                  <c:v>75.8153076171875</c:v>
                </c:pt>
                <c:pt idx="16">
                  <c:v>80.869659423828125</c:v>
                </c:pt>
                <c:pt idx="17">
                  <c:v>85.92401123046875</c:v>
                </c:pt>
                <c:pt idx="18">
                  <c:v>90.978370666503906</c:v>
                </c:pt>
                <c:pt idx="19">
                  <c:v>96.032722473144531</c:v>
                </c:pt>
                <c:pt idx="20">
                  <c:v>101.08707427978516</c:v>
                </c:pt>
                <c:pt idx="21">
                  <c:v>106.14143371582031</c:v>
                </c:pt>
                <c:pt idx="22">
                  <c:v>111.19578552246094</c:v>
                </c:pt>
                <c:pt idx="23">
                  <c:v>116.25013732910156</c:v>
                </c:pt>
                <c:pt idx="24">
                  <c:v>121.30448913574219</c:v>
                </c:pt>
                <c:pt idx="25">
                  <c:v>126.35884094238281</c:v>
                </c:pt>
                <c:pt idx="26">
                  <c:v>131.41319274902344</c:v>
                </c:pt>
                <c:pt idx="27">
                  <c:v>136.46755981445313</c:v>
                </c:pt>
                <c:pt idx="28">
                  <c:v>141.52191162109375</c:v>
                </c:pt>
                <c:pt idx="29">
                  <c:v>146.57626342773438</c:v>
                </c:pt>
                <c:pt idx="30">
                  <c:v>151.630615234375</c:v>
                </c:pt>
                <c:pt idx="31">
                  <c:v>156.68496704101563</c:v>
                </c:pt>
                <c:pt idx="32">
                  <c:v>161.73931884765625</c:v>
                </c:pt>
                <c:pt idx="33">
                  <c:v>166.79367065429688</c:v>
                </c:pt>
                <c:pt idx="34">
                  <c:v>171.8480224609375</c:v>
                </c:pt>
                <c:pt idx="35">
                  <c:v>176.90238952636719</c:v>
                </c:pt>
                <c:pt idx="36">
                  <c:v>181.95674133300781</c:v>
                </c:pt>
                <c:pt idx="37">
                  <c:v>187.01109313964844</c:v>
                </c:pt>
                <c:pt idx="38">
                  <c:v>192.06544494628906</c:v>
                </c:pt>
                <c:pt idx="39">
                  <c:v>197.11979675292969</c:v>
                </c:pt>
                <c:pt idx="40">
                  <c:v>202.17414855957031</c:v>
                </c:pt>
                <c:pt idx="41">
                  <c:v>207.22850036621094</c:v>
                </c:pt>
                <c:pt idx="42">
                  <c:v>212.28286743164063</c:v>
                </c:pt>
                <c:pt idx="43">
                  <c:v>217.33721923828125</c:v>
                </c:pt>
                <c:pt idx="44">
                  <c:v>222.39157104492188</c:v>
                </c:pt>
                <c:pt idx="45">
                  <c:v>227.4459228515625</c:v>
                </c:pt>
                <c:pt idx="46">
                  <c:v>232.50027465820313</c:v>
                </c:pt>
                <c:pt idx="47">
                  <c:v>237.55462646484375</c:v>
                </c:pt>
                <c:pt idx="48">
                  <c:v>242.60897827148438</c:v>
                </c:pt>
                <c:pt idx="49">
                  <c:v>247.663330078125</c:v>
                </c:pt>
                <c:pt idx="50">
                  <c:v>252.71768188476563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E8B-45A0-93F0-138DB4DE3FB4}"/>
            </c:ext>
          </c:extLst>
        </c:ser>
        <c:ser>
          <c:idx val="46"/>
          <c:order val="46"/>
          <c:tx>
            <c:strRef>
              <c:f>Skymaps!$D$152</c:f>
              <c:strCache>
                <c:ptCount val="1"/>
                <c:pt idx="0">
                  <c:v>46000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Skymaps!$E$152:$BC$152</c:f>
              <c:numCache>
                <c:formatCode>General</c:formatCode>
                <c:ptCount val="51"/>
                <c:pt idx="0">
                  <c:v>0</c:v>
                </c:pt>
                <c:pt idx="1">
                  <c:v>4.9348526000976563</c:v>
                </c:pt>
                <c:pt idx="2">
                  <c:v>9.8697052001953125</c:v>
                </c:pt>
                <c:pt idx="3">
                  <c:v>14.804557800292969</c:v>
                </c:pt>
                <c:pt idx="4">
                  <c:v>19.739410400390625</c:v>
                </c:pt>
                <c:pt idx="5">
                  <c:v>24.674263000488281</c:v>
                </c:pt>
                <c:pt idx="6">
                  <c:v>29.609115600585938</c:v>
                </c:pt>
                <c:pt idx="7">
                  <c:v>34.543968200683594</c:v>
                </c:pt>
                <c:pt idx="8">
                  <c:v>39.47882080078125</c:v>
                </c:pt>
                <c:pt idx="9">
                  <c:v>44.413673400878906</c:v>
                </c:pt>
                <c:pt idx="10">
                  <c:v>49.348526000976563</c:v>
                </c:pt>
                <c:pt idx="11">
                  <c:v>54.283378601074219</c:v>
                </c:pt>
                <c:pt idx="12">
                  <c:v>59.218231201171875</c:v>
                </c:pt>
                <c:pt idx="13">
                  <c:v>64.153083801269531</c:v>
                </c:pt>
                <c:pt idx="14">
                  <c:v>69.087936401367188</c:v>
                </c:pt>
                <c:pt idx="15">
                  <c:v>74.022789001464844</c:v>
                </c:pt>
                <c:pt idx="16">
                  <c:v>78.9576416015625</c:v>
                </c:pt>
                <c:pt idx="17">
                  <c:v>83.892494201660156</c:v>
                </c:pt>
                <c:pt idx="18">
                  <c:v>88.827346801757813</c:v>
                </c:pt>
                <c:pt idx="19">
                  <c:v>93.762199401855469</c:v>
                </c:pt>
                <c:pt idx="20">
                  <c:v>98.697052001953125</c:v>
                </c:pt>
                <c:pt idx="21">
                  <c:v>103.63190460205078</c:v>
                </c:pt>
                <c:pt idx="22">
                  <c:v>108.56675720214844</c:v>
                </c:pt>
                <c:pt idx="23">
                  <c:v>113.50160980224609</c:v>
                </c:pt>
                <c:pt idx="24">
                  <c:v>118.43646240234375</c:v>
                </c:pt>
                <c:pt idx="25">
                  <c:v>123.37131500244141</c:v>
                </c:pt>
                <c:pt idx="26">
                  <c:v>128.30616760253906</c:v>
                </c:pt>
                <c:pt idx="27">
                  <c:v>133.24101257324219</c:v>
                </c:pt>
                <c:pt idx="28">
                  <c:v>138.17587280273438</c:v>
                </c:pt>
                <c:pt idx="29">
                  <c:v>143.1107177734375</c:v>
                </c:pt>
                <c:pt idx="30">
                  <c:v>148.04557800292969</c:v>
                </c:pt>
                <c:pt idx="31">
                  <c:v>152.98042297363281</c:v>
                </c:pt>
                <c:pt idx="32">
                  <c:v>157.915283203125</c:v>
                </c:pt>
                <c:pt idx="33">
                  <c:v>162.85014343261719</c:v>
                </c:pt>
                <c:pt idx="34">
                  <c:v>167.78498840332031</c:v>
                </c:pt>
                <c:pt idx="35">
                  <c:v>172.7198486328125</c:v>
                </c:pt>
                <c:pt idx="36">
                  <c:v>177.65469360351563</c:v>
                </c:pt>
                <c:pt idx="37">
                  <c:v>182.58955383300781</c:v>
                </c:pt>
                <c:pt idx="38">
                  <c:v>187.52439880371094</c:v>
                </c:pt>
                <c:pt idx="39">
                  <c:v>192.45925903320313</c:v>
                </c:pt>
                <c:pt idx="40">
                  <c:v>197.39410400390625</c:v>
                </c:pt>
                <c:pt idx="41">
                  <c:v>202.32894897460938</c:v>
                </c:pt>
                <c:pt idx="42">
                  <c:v>207.26380920410156</c:v>
                </c:pt>
                <c:pt idx="43">
                  <c:v>212.19865417480469</c:v>
                </c:pt>
                <c:pt idx="44">
                  <c:v>217.13351440429688</c:v>
                </c:pt>
                <c:pt idx="45">
                  <c:v>222.06837463378906</c:v>
                </c:pt>
                <c:pt idx="46">
                  <c:v>227.00321960449219</c:v>
                </c:pt>
                <c:pt idx="47">
                  <c:v>231.93807983398438</c:v>
                </c:pt>
                <c:pt idx="48">
                  <c:v>236.8729248046875</c:v>
                </c:pt>
                <c:pt idx="49">
                  <c:v>241.80778503417969</c:v>
                </c:pt>
                <c:pt idx="50">
                  <c:v>246.74263000488281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E8B-45A0-93F0-138DB4DE3FB4}"/>
            </c:ext>
          </c:extLst>
        </c:ser>
        <c:ser>
          <c:idx val="47"/>
          <c:order val="47"/>
          <c:tx>
            <c:strRef>
              <c:f>Skymaps!$D$153</c:f>
              <c:strCache>
                <c:ptCount val="1"/>
                <c:pt idx="0">
                  <c:v>47000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Skymaps!$E$153:$BC$153</c:f>
              <c:numCache>
                <c:formatCode>General</c:formatCode>
                <c:ptCount val="51"/>
                <c:pt idx="0">
                  <c:v>0</c:v>
                </c:pt>
                <c:pt idx="1">
                  <c:v>4.8181877136230469</c:v>
                </c:pt>
                <c:pt idx="2">
                  <c:v>9.6363754272460938</c:v>
                </c:pt>
                <c:pt idx="3">
                  <c:v>14.454563140869141</c:v>
                </c:pt>
                <c:pt idx="4">
                  <c:v>19.272750854492188</c:v>
                </c:pt>
                <c:pt idx="5">
                  <c:v>24.090938568115234</c:v>
                </c:pt>
                <c:pt idx="6">
                  <c:v>28.909126281738281</c:v>
                </c:pt>
                <c:pt idx="7">
                  <c:v>33.727313995361328</c:v>
                </c:pt>
                <c:pt idx="8">
                  <c:v>38.545501708984375</c:v>
                </c:pt>
                <c:pt idx="9">
                  <c:v>43.363689422607422</c:v>
                </c:pt>
                <c:pt idx="10">
                  <c:v>48.181877136230469</c:v>
                </c:pt>
                <c:pt idx="11">
                  <c:v>53.000064849853516</c:v>
                </c:pt>
                <c:pt idx="12">
                  <c:v>57.818252563476563</c:v>
                </c:pt>
                <c:pt idx="13">
                  <c:v>62.636440277099609</c:v>
                </c:pt>
                <c:pt idx="14">
                  <c:v>67.454627990722656</c:v>
                </c:pt>
                <c:pt idx="15">
                  <c:v>72.272819519042969</c:v>
                </c:pt>
                <c:pt idx="16">
                  <c:v>77.09100341796875</c:v>
                </c:pt>
                <c:pt idx="17">
                  <c:v>81.909194946289063</c:v>
                </c:pt>
                <c:pt idx="18">
                  <c:v>86.727378845214844</c:v>
                </c:pt>
                <c:pt idx="19">
                  <c:v>91.545562744140625</c:v>
                </c:pt>
                <c:pt idx="20">
                  <c:v>96.363754272460938</c:v>
                </c:pt>
                <c:pt idx="21">
                  <c:v>101.18193817138672</c:v>
                </c:pt>
                <c:pt idx="22">
                  <c:v>106.00012969970703</c:v>
                </c:pt>
                <c:pt idx="23">
                  <c:v>110.81831359863281</c:v>
                </c:pt>
                <c:pt idx="24">
                  <c:v>115.63650512695313</c:v>
                </c:pt>
                <c:pt idx="25">
                  <c:v>120.45469665527344</c:v>
                </c:pt>
                <c:pt idx="26">
                  <c:v>125.27288055419922</c:v>
                </c:pt>
                <c:pt idx="27">
                  <c:v>130.091064453125</c:v>
                </c:pt>
                <c:pt idx="28">
                  <c:v>134.90925598144531</c:v>
                </c:pt>
                <c:pt idx="29">
                  <c:v>139.72744750976563</c:v>
                </c:pt>
                <c:pt idx="30">
                  <c:v>144.54563903808594</c:v>
                </c:pt>
                <c:pt idx="31">
                  <c:v>149.36381530761719</c:v>
                </c:pt>
                <c:pt idx="32">
                  <c:v>154.1820068359375</c:v>
                </c:pt>
                <c:pt idx="33">
                  <c:v>159.00019836425781</c:v>
                </c:pt>
                <c:pt idx="34">
                  <c:v>163.81838989257813</c:v>
                </c:pt>
                <c:pt idx="35">
                  <c:v>168.63656616210938</c:v>
                </c:pt>
                <c:pt idx="36">
                  <c:v>173.45475769042969</c:v>
                </c:pt>
                <c:pt idx="37">
                  <c:v>178.27294921875</c:v>
                </c:pt>
                <c:pt idx="38">
                  <c:v>183.09112548828125</c:v>
                </c:pt>
                <c:pt idx="39">
                  <c:v>187.90933227539063</c:v>
                </c:pt>
                <c:pt idx="40">
                  <c:v>192.72750854492188</c:v>
                </c:pt>
                <c:pt idx="41">
                  <c:v>197.54570007324219</c:v>
                </c:pt>
                <c:pt idx="42">
                  <c:v>202.36387634277344</c:v>
                </c:pt>
                <c:pt idx="43">
                  <c:v>207.18206787109375</c:v>
                </c:pt>
                <c:pt idx="44">
                  <c:v>212.00025939941406</c:v>
                </c:pt>
                <c:pt idx="45">
                  <c:v>216.81845092773438</c:v>
                </c:pt>
                <c:pt idx="46">
                  <c:v>221.63662719726563</c:v>
                </c:pt>
                <c:pt idx="47">
                  <c:v>226.45481872558594</c:v>
                </c:pt>
                <c:pt idx="48">
                  <c:v>231.27301025390625</c:v>
                </c:pt>
                <c:pt idx="49">
                  <c:v>236.09120178222656</c:v>
                </c:pt>
                <c:pt idx="50">
                  <c:v>240.90939331054688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AE8B-45A0-93F0-138DB4DE3FB4}"/>
            </c:ext>
          </c:extLst>
        </c:ser>
        <c:ser>
          <c:idx val="48"/>
          <c:order val="48"/>
          <c:tx>
            <c:strRef>
              <c:f>Skymaps!$D$154</c:f>
              <c:strCache>
                <c:ptCount val="1"/>
                <c:pt idx="0">
                  <c:v>48000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Skymaps!$E$154:$BC$154</c:f>
              <c:numCache>
                <c:formatCode>General</c:formatCode>
                <c:ptCount val="51"/>
                <c:pt idx="0">
                  <c:v>0</c:v>
                </c:pt>
                <c:pt idx="1">
                  <c:v>4.704291820526123</c:v>
                </c:pt>
                <c:pt idx="2">
                  <c:v>9.4085836410522461</c:v>
                </c:pt>
                <c:pt idx="3">
                  <c:v>14.112875938415527</c:v>
                </c:pt>
                <c:pt idx="4">
                  <c:v>18.817167282104492</c:v>
                </c:pt>
                <c:pt idx="5">
                  <c:v>23.521459579467773</c:v>
                </c:pt>
                <c:pt idx="6">
                  <c:v>28.225751876831055</c:v>
                </c:pt>
                <c:pt idx="7">
                  <c:v>32.930042266845703</c:v>
                </c:pt>
                <c:pt idx="8">
                  <c:v>37.634334564208984</c:v>
                </c:pt>
                <c:pt idx="9">
                  <c:v>42.338626861572266</c:v>
                </c:pt>
                <c:pt idx="10">
                  <c:v>47.042919158935547</c:v>
                </c:pt>
                <c:pt idx="11">
                  <c:v>51.747211456298828</c:v>
                </c:pt>
                <c:pt idx="12">
                  <c:v>56.451503753662109</c:v>
                </c:pt>
                <c:pt idx="13">
                  <c:v>61.155796051025391</c:v>
                </c:pt>
                <c:pt idx="14">
                  <c:v>65.860084533691406</c:v>
                </c:pt>
                <c:pt idx="15">
                  <c:v>70.564376831054688</c:v>
                </c:pt>
                <c:pt idx="16">
                  <c:v>75.268669128417969</c:v>
                </c:pt>
                <c:pt idx="17">
                  <c:v>79.97296142578125</c:v>
                </c:pt>
                <c:pt idx="18">
                  <c:v>84.677253723144531</c:v>
                </c:pt>
                <c:pt idx="19">
                  <c:v>89.381546020507813</c:v>
                </c:pt>
                <c:pt idx="20">
                  <c:v>94.085838317871094</c:v>
                </c:pt>
                <c:pt idx="21">
                  <c:v>98.790130615234375</c:v>
                </c:pt>
                <c:pt idx="22">
                  <c:v>103.49442291259766</c:v>
                </c:pt>
                <c:pt idx="23">
                  <c:v>108.19871520996094</c:v>
                </c:pt>
                <c:pt idx="24">
                  <c:v>112.90300750732422</c:v>
                </c:pt>
                <c:pt idx="25">
                  <c:v>117.6072998046875</c:v>
                </c:pt>
                <c:pt idx="26">
                  <c:v>122.31159210205078</c:v>
                </c:pt>
                <c:pt idx="27">
                  <c:v>127.01588439941406</c:v>
                </c:pt>
                <c:pt idx="28">
                  <c:v>131.72016906738281</c:v>
                </c:pt>
                <c:pt idx="29">
                  <c:v>136.42446899414063</c:v>
                </c:pt>
                <c:pt idx="30">
                  <c:v>141.12875366210938</c:v>
                </c:pt>
                <c:pt idx="31">
                  <c:v>145.83305358886719</c:v>
                </c:pt>
                <c:pt idx="32">
                  <c:v>150.53733825683594</c:v>
                </c:pt>
                <c:pt idx="33">
                  <c:v>155.24163818359375</c:v>
                </c:pt>
                <c:pt idx="34">
                  <c:v>159.9459228515625</c:v>
                </c:pt>
                <c:pt idx="35">
                  <c:v>164.65022277832031</c:v>
                </c:pt>
                <c:pt idx="36">
                  <c:v>169.35450744628906</c:v>
                </c:pt>
                <c:pt idx="37">
                  <c:v>174.05880737304688</c:v>
                </c:pt>
                <c:pt idx="38">
                  <c:v>178.76309204101563</c:v>
                </c:pt>
                <c:pt idx="39">
                  <c:v>183.46739196777344</c:v>
                </c:pt>
                <c:pt idx="40">
                  <c:v>188.17167663574219</c:v>
                </c:pt>
                <c:pt idx="41">
                  <c:v>192.8759765625</c:v>
                </c:pt>
                <c:pt idx="42">
                  <c:v>197.58026123046875</c:v>
                </c:pt>
                <c:pt idx="43">
                  <c:v>202.28456115722656</c:v>
                </c:pt>
                <c:pt idx="44">
                  <c:v>206.98884582519531</c:v>
                </c:pt>
                <c:pt idx="45">
                  <c:v>211.69313049316406</c:v>
                </c:pt>
                <c:pt idx="46">
                  <c:v>216.39743041992188</c:v>
                </c:pt>
                <c:pt idx="47">
                  <c:v>221.10171508789063</c:v>
                </c:pt>
                <c:pt idx="48">
                  <c:v>225.80601501464844</c:v>
                </c:pt>
                <c:pt idx="49">
                  <c:v>230.51031494140625</c:v>
                </c:pt>
                <c:pt idx="50">
                  <c:v>235.214599609375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AE8B-45A0-93F0-138DB4DE3FB4}"/>
            </c:ext>
          </c:extLst>
        </c:ser>
        <c:ser>
          <c:idx val="49"/>
          <c:order val="49"/>
          <c:tx>
            <c:strRef>
              <c:f>Skymaps!$D$155</c:f>
              <c:strCache>
                <c:ptCount val="1"/>
                <c:pt idx="0">
                  <c:v>49000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Skymaps!$E$155:$BC$155</c:f>
              <c:numCache>
                <c:formatCode>General</c:formatCode>
                <c:ptCount val="51"/>
                <c:pt idx="0">
                  <c:v>0</c:v>
                </c:pt>
                <c:pt idx="1">
                  <c:v>4.5930986404418945</c:v>
                </c:pt>
                <c:pt idx="2">
                  <c:v>9.1861972808837891</c:v>
                </c:pt>
                <c:pt idx="3">
                  <c:v>13.779295921325684</c:v>
                </c:pt>
                <c:pt idx="4">
                  <c:v>18.372394561767578</c:v>
                </c:pt>
                <c:pt idx="5">
                  <c:v>22.965494155883789</c:v>
                </c:pt>
                <c:pt idx="6">
                  <c:v>27.558591842651367</c:v>
                </c:pt>
                <c:pt idx="7">
                  <c:v>32.151691436767578</c:v>
                </c:pt>
                <c:pt idx="8">
                  <c:v>36.744789123535156</c:v>
                </c:pt>
                <c:pt idx="9">
                  <c:v>41.337890625</c:v>
                </c:pt>
                <c:pt idx="10">
                  <c:v>45.930988311767578</c:v>
                </c:pt>
                <c:pt idx="11">
                  <c:v>50.524085998535156</c:v>
                </c:pt>
                <c:pt idx="12">
                  <c:v>55.117183685302734</c:v>
                </c:pt>
                <c:pt idx="13">
                  <c:v>59.710285186767578</c:v>
                </c:pt>
                <c:pt idx="14">
                  <c:v>64.303382873535156</c:v>
                </c:pt>
                <c:pt idx="15">
                  <c:v>68.896476745605469</c:v>
                </c:pt>
                <c:pt idx="16">
                  <c:v>73.489578247070313</c:v>
                </c:pt>
                <c:pt idx="17">
                  <c:v>78.082679748535156</c:v>
                </c:pt>
                <c:pt idx="18">
                  <c:v>82.67578125</c:v>
                </c:pt>
                <c:pt idx="19">
                  <c:v>87.268875122070313</c:v>
                </c:pt>
                <c:pt idx="20">
                  <c:v>91.861976623535156</c:v>
                </c:pt>
                <c:pt idx="21">
                  <c:v>96.455078125</c:v>
                </c:pt>
                <c:pt idx="22">
                  <c:v>101.04817199707031</c:v>
                </c:pt>
                <c:pt idx="23">
                  <c:v>105.64127349853516</c:v>
                </c:pt>
                <c:pt idx="24">
                  <c:v>110.23436737060547</c:v>
                </c:pt>
                <c:pt idx="25">
                  <c:v>114.82746887207031</c:v>
                </c:pt>
                <c:pt idx="26">
                  <c:v>119.42057037353516</c:v>
                </c:pt>
                <c:pt idx="27">
                  <c:v>124.013671875</c:v>
                </c:pt>
                <c:pt idx="28">
                  <c:v>128.60676574707031</c:v>
                </c:pt>
                <c:pt idx="29">
                  <c:v>133.19985961914063</c:v>
                </c:pt>
                <c:pt idx="30">
                  <c:v>137.79295349121094</c:v>
                </c:pt>
                <c:pt idx="31">
                  <c:v>142.38606262207031</c:v>
                </c:pt>
                <c:pt idx="32">
                  <c:v>146.97915649414063</c:v>
                </c:pt>
                <c:pt idx="33">
                  <c:v>151.572265625</c:v>
                </c:pt>
                <c:pt idx="34">
                  <c:v>156.16535949707031</c:v>
                </c:pt>
                <c:pt idx="35">
                  <c:v>160.75845336914063</c:v>
                </c:pt>
                <c:pt idx="36">
                  <c:v>165.3515625</c:v>
                </c:pt>
                <c:pt idx="37">
                  <c:v>169.94465637207031</c:v>
                </c:pt>
                <c:pt idx="38">
                  <c:v>174.53775024414063</c:v>
                </c:pt>
                <c:pt idx="39">
                  <c:v>179.130859375</c:v>
                </c:pt>
                <c:pt idx="40">
                  <c:v>183.72395324707031</c:v>
                </c:pt>
                <c:pt idx="41">
                  <c:v>188.31704711914063</c:v>
                </c:pt>
                <c:pt idx="42">
                  <c:v>192.91015625</c:v>
                </c:pt>
                <c:pt idx="43">
                  <c:v>197.50325012207031</c:v>
                </c:pt>
                <c:pt idx="44">
                  <c:v>202.09634399414063</c:v>
                </c:pt>
                <c:pt idx="45">
                  <c:v>206.68943786621094</c:v>
                </c:pt>
                <c:pt idx="46">
                  <c:v>211.28254699707031</c:v>
                </c:pt>
                <c:pt idx="47">
                  <c:v>215.87564086914063</c:v>
                </c:pt>
                <c:pt idx="48">
                  <c:v>220.46873474121094</c:v>
                </c:pt>
                <c:pt idx="49">
                  <c:v>225.06184387207031</c:v>
                </c:pt>
                <c:pt idx="50">
                  <c:v>229.65493774414063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AE8B-45A0-93F0-138DB4DE3FB4}"/>
            </c:ext>
          </c:extLst>
        </c:ser>
        <c:ser>
          <c:idx val="50"/>
          <c:order val="50"/>
          <c:tx>
            <c:strRef>
              <c:f>Skymaps!$D$156</c:f>
              <c:strCache>
                <c:ptCount val="1"/>
                <c:pt idx="0">
                  <c:v>50000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Skymaps!$E$156:$BC$156</c:f>
              <c:numCache>
                <c:formatCode>General</c:formatCode>
                <c:ptCount val="51"/>
                <c:pt idx="0">
                  <c:v>0</c:v>
                </c:pt>
                <c:pt idx="1">
                  <c:v>4.4845442771911621</c:v>
                </c:pt>
                <c:pt idx="2">
                  <c:v>8.9690885543823242</c:v>
                </c:pt>
                <c:pt idx="3">
                  <c:v>13.453633308410645</c:v>
                </c:pt>
                <c:pt idx="4">
                  <c:v>17.938177108764648</c:v>
                </c:pt>
                <c:pt idx="5">
                  <c:v>22.422721862792969</c:v>
                </c:pt>
                <c:pt idx="6">
                  <c:v>26.907266616821289</c:v>
                </c:pt>
                <c:pt idx="7">
                  <c:v>31.391809463500977</c:v>
                </c:pt>
                <c:pt idx="8">
                  <c:v>35.876354217529297</c:v>
                </c:pt>
                <c:pt idx="9">
                  <c:v>40.36090087890625</c:v>
                </c:pt>
                <c:pt idx="10">
                  <c:v>44.845443725585938</c:v>
                </c:pt>
                <c:pt idx="11">
                  <c:v>49.329986572265625</c:v>
                </c:pt>
                <c:pt idx="12">
                  <c:v>53.814533233642578</c:v>
                </c:pt>
                <c:pt idx="13">
                  <c:v>58.299079895019531</c:v>
                </c:pt>
                <c:pt idx="14">
                  <c:v>62.783618927001953</c:v>
                </c:pt>
                <c:pt idx="15">
                  <c:v>67.268165588378906</c:v>
                </c:pt>
                <c:pt idx="16">
                  <c:v>71.752708435058594</c:v>
                </c:pt>
                <c:pt idx="17">
                  <c:v>76.237251281738281</c:v>
                </c:pt>
                <c:pt idx="18">
                  <c:v>80.7218017578125</c:v>
                </c:pt>
                <c:pt idx="19">
                  <c:v>85.206344604492188</c:v>
                </c:pt>
                <c:pt idx="20">
                  <c:v>89.690887451171875</c:v>
                </c:pt>
                <c:pt idx="21">
                  <c:v>94.175430297851563</c:v>
                </c:pt>
                <c:pt idx="22">
                  <c:v>98.65997314453125</c:v>
                </c:pt>
                <c:pt idx="23">
                  <c:v>103.14452362060547</c:v>
                </c:pt>
                <c:pt idx="24">
                  <c:v>107.62906646728516</c:v>
                </c:pt>
                <c:pt idx="25">
                  <c:v>112.11360931396484</c:v>
                </c:pt>
                <c:pt idx="26">
                  <c:v>116.59815979003906</c:v>
                </c:pt>
                <c:pt idx="27">
                  <c:v>121.08270263671875</c:v>
                </c:pt>
                <c:pt idx="28">
                  <c:v>125.56723785400391</c:v>
                </c:pt>
                <c:pt idx="29">
                  <c:v>130.05178833007813</c:v>
                </c:pt>
                <c:pt idx="30">
                  <c:v>134.53633117675781</c:v>
                </c:pt>
                <c:pt idx="31">
                  <c:v>139.0208740234375</c:v>
                </c:pt>
                <c:pt idx="32">
                  <c:v>143.50541687011719</c:v>
                </c:pt>
                <c:pt idx="33">
                  <c:v>147.98995971679688</c:v>
                </c:pt>
                <c:pt idx="34">
                  <c:v>152.47450256347656</c:v>
                </c:pt>
                <c:pt idx="35">
                  <c:v>156.95906066894531</c:v>
                </c:pt>
                <c:pt idx="36">
                  <c:v>161.443603515625</c:v>
                </c:pt>
                <c:pt idx="37">
                  <c:v>165.92814636230469</c:v>
                </c:pt>
                <c:pt idx="38">
                  <c:v>170.41268920898438</c:v>
                </c:pt>
                <c:pt idx="39">
                  <c:v>174.89723205566406</c:v>
                </c:pt>
                <c:pt idx="40">
                  <c:v>179.38177490234375</c:v>
                </c:pt>
                <c:pt idx="41">
                  <c:v>183.86631774902344</c:v>
                </c:pt>
                <c:pt idx="42">
                  <c:v>188.35086059570313</c:v>
                </c:pt>
                <c:pt idx="43">
                  <c:v>192.83541870117188</c:v>
                </c:pt>
                <c:pt idx="44">
                  <c:v>197.3199462890625</c:v>
                </c:pt>
                <c:pt idx="45">
                  <c:v>201.80448913574219</c:v>
                </c:pt>
                <c:pt idx="46">
                  <c:v>206.28904724121094</c:v>
                </c:pt>
                <c:pt idx="47">
                  <c:v>210.77359008789063</c:v>
                </c:pt>
                <c:pt idx="48">
                  <c:v>215.25813293457031</c:v>
                </c:pt>
                <c:pt idx="49">
                  <c:v>219.74267578125</c:v>
                </c:pt>
                <c:pt idx="50">
                  <c:v>224.22721862792969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AE8B-45A0-93F0-138DB4DE3FB4}"/>
            </c:ext>
          </c:extLst>
        </c:ser>
        <c:bandFmts/>
        <c:axId val="457659624"/>
        <c:axId val="457668808"/>
        <c:axId val="621233168"/>
      </c:surfaceChart>
      <c:catAx>
        <c:axId val="457659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8808"/>
        <c:crosses val="autoZero"/>
        <c:auto val="1"/>
        <c:lblAlgn val="ctr"/>
        <c:lblOffset val="100"/>
        <c:noMultiLvlLbl val="0"/>
      </c:catAx>
      <c:valAx>
        <c:axId val="45766880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457659624"/>
        <c:crosses val="autoZero"/>
        <c:crossBetween val="midCat"/>
        <c:majorUnit val="50"/>
      </c:valAx>
      <c:serAx>
        <c:axId val="62123316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8808"/>
        <c:crosses val="autoZero"/>
      </c:ser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Skymaps!$D$158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Skymaps!$E$158:$BC$158</c:f>
              <c:numCache>
                <c:formatCode>General</c:formatCode>
                <c:ptCount val="51"/>
                <c:pt idx="13">
                  <c:v>1.1666600704193115</c:v>
                </c:pt>
                <c:pt idx="14">
                  <c:v>1.0059467554092407</c:v>
                </c:pt>
                <c:pt idx="15">
                  <c:v>0.87629139423370361</c:v>
                </c:pt>
                <c:pt idx="16">
                  <c:v>0.77017796039581299</c:v>
                </c:pt>
                <c:pt idx="17">
                  <c:v>0.68223375082015991</c:v>
                </c:pt>
                <c:pt idx="18">
                  <c:v>0.60853564739227295</c:v>
                </c:pt>
                <c:pt idx="19">
                  <c:v>0.54616498947143555</c:v>
                </c:pt>
                <c:pt idx="20">
                  <c:v>0.4929138720035553</c:v>
                </c:pt>
                <c:pt idx="21">
                  <c:v>0.44708740711212158</c:v>
                </c:pt>
                <c:pt idx="22">
                  <c:v>0.40736684203147888</c:v>
                </c:pt>
                <c:pt idx="23">
                  <c:v>0.37271371483802795</c:v>
                </c:pt>
                <c:pt idx="24">
                  <c:v>0.34230130910873413</c:v>
                </c:pt>
                <c:pt idx="25">
                  <c:v>0.31546488404273987</c:v>
                </c:pt>
                <c:pt idx="26">
                  <c:v>0.29166501760482788</c:v>
                </c:pt>
                <c:pt idx="27">
                  <c:v>0.27046030759811401</c:v>
                </c:pt>
                <c:pt idx="28">
                  <c:v>0.25148668885231018</c:v>
                </c:pt>
                <c:pt idx="29">
                  <c:v>0.23444180190563202</c:v>
                </c:pt>
                <c:pt idx="30">
                  <c:v>0.2190728485584259</c:v>
                </c:pt>
                <c:pt idx="31">
                  <c:v>0.20516707003116608</c:v>
                </c:pt>
                <c:pt idx="32">
                  <c:v>0.19254449009895325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E9-4416-853D-DABBE93460CC}"/>
            </c:ext>
          </c:extLst>
        </c:ser>
        <c:ser>
          <c:idx val="1"/>
          <c:order val="1"/>
          <c:tx>
            <c:strRef>
              <c:f>Skymaps!$D$159</c:f>
              <c:strCache>
                <c:ptCount val="1"/>
                <c:pt idx="0">
                  <c:v>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Skymaps!$E$159:$BC$159</c:f>
              <c:numCache>
                <c:formatCode>General</c:formatCode>
                <c:ptCount val="51"/>
                <c:pt idx="14">
                  <c:v>1.0430920124053955</c:v>
                </c:pt>
                <c:pt idx="15">
                  <c:v>0.90864908695220947</c:v>
                </c:pt>
                <c:pt idx="16">
                  <c:v>0.79861736297607422</c:v>
                </c:pt>
                <c:pt idx="17">
                  <c:v>0.70742577314376831</c:v>
                </c:pt>
                <c:pt idx="18">
                  <c:v>0.63100630044937134</c:v>
                </c:pt>
                <c:pt idx="19">
                  <c:v>0.56633251905441284</c:v>
                </c:pt>
                <c:pt idx="20">
                  <c:v>0.51111507415771484</c:v>
                </c:pt>
                <c:pt idx="21">
                  <c:v>0.46359646320343018</c:v>
                </c:pt>
                <c:pt idx="22">
                  <c:v>0.42240917682647705</c:v>
                </c:pt>
                <c:pt idx="23">
                  <c:v>0.38647645711898804</c:v>
                </c:pt>
                <c:pt idx="24">
                  <c:v>0.35494107007980347</c:v>
                </c:pt>
                <c:pt idx="25">
                  <c:v>0.32711365818977356</c:v>
                </c:pt>
                <c:pt idx="26">
                  <c:v>0.30243498086929321</c:v>
                </c:pt>
                <c:pt idx="27">
                  <c:v>0.28044724464416504</c:v>
                </c:pt>
                <c:pt idx="28">
                  <c:v>0.26077300310134888</c:v>
                </c:pt>
                <c:pt idx="29">
                  <c:v>0.24309875071048737</c:v>
                </c:pt>
                <c:pt idx="30">
                  <c:v>0.22716227173805237</c:v>
                </c:pt>
                <c:pt idx="31">
                  <c:v>0.21274301409721375</c:v>
                </c:pt>
                <c:pt idx="32">
                  <c:v>0.19965434074401855</c:v>
                </c:pt>
                <c:pt idx="33">
                  <c:v>0.18773740530014038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E9-4416-853D-DABBE93460CC}"/>
            </c:ext>
          </c:extLst>
        </c:ser>
        <c:ser>
          <c:idx val="2"/>
          <c:order val="2"/>
          <c:tx>
            <c:strRef>
              <c:f>Skymaps!$D$160</c:f>
              <c:strCache>
                <c:ptCount val="1"/>
                <c:pt idx="0">
                  <c:v>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Skymaps!$E$160:$BC$160</c:f>
              <c:numCache>
                <c:formatCode>General</c:formatCode>
                <c:ptCount val="51"/>
                <c:pt idx="14">
                  <c:v>1.081877589225769</c:v>
                </c:pt>
                <c:pt idx="15">
                  <c:v>0.94243556261062622</c:v>
                </c:pt>
                <c:pt idx="16">
                  <c:v>0.82831251621246338</c:v>
                </c:pt>
                <c:pt idx="17">
                  <c:v>0.73373013734817505</c:v>
                </c:pt>
                <c:pt idx="18">
                  <c:v>0.65446913242340088</c:v>
                </c:pt>
                <c:pt idx="19">
                  <c:v>0.58739066123962402</c:v>
                </c:pt>
                <c:pt idx="20">
                  <c:v>0.53012001514434814</c:v>
                </c:pt>
                <c:pt idx="21">
                  <c:v>0.4808344841003418</c:v>
                </c:pt>
                <c:pt idx="22">
                  <c:v>0.43811571598052979</c:v>
                </c:pt>
                <c:pt idx="23">
                  <c:v>0.40084689855575562</c:v>
                </c:pt>
                <c:pt idx="24">
                  <c:v>0.36813890933990479</c:v>
                </c:pt>
                <c:pt idx="25">
                  <c:v>0.33927682042121887</c:v>
                </c:pt>
                <c:pt idx="26">
                  <c:v>0.313680499792099</c:v>
                </c:pt>
                <c:pt idx="27">
                  <c:v>0.29087519645690918</c:v>
                </c:pt>
                <c:pt idx="28">
                  <c:v>0.27046939730644226</c:v>
                </c:pt>
                <c:pt idx="29">
                  <c:v>0.2521379292011261</c:v>
                </c:pt>
                <c:pt idx="30">
                  <c:v>0.23560889065265656</c:v>
                </c:pt>
                <c:pt idx="31">
                  <c:v>0.22065348923206329</c:v>
                </c:pt>
                <c:pt idx="32">
                  <c:v>0.20707812905311584</c:v>
                </c:pt>
                <c:pt idx="33">
                  <c:v>0.19471810758113861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E9-4416-853D-DABBE93460CC}"/>
            </c:ext>
          </c:extLst>
        </c:ser>
        <c:ser>
          <c:idx val="3"/>
          <c:order val="3"/>
          <c:tx>
            <c:strRef>
              <c:f>Skymaps!$D$161</c:f>
              <c:strCache>
                <c:ptCount val="1"/>
                <c:pt idx="0">
                  <c:v>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Skymaps!$E$161:$BC$161</c:f>
              <c:numCache>
                <c:formatCode>General</c:formatCode>
                <c:ptCount val="51"/>
                <c:pt idx="14">
                  <c:v>1.1223880052566528</c:v>
                </c:pt>
                <c:pt idx="15">
                  <c:v>0.97772473096847534</c:v>
                </c:pt>
                <c:pt idx="16">
                  <c:v>0.85932832956314087</c:v>
                </c:pt>
                <c:pt idx="17">
                  <c:v>0.76120436191558838</c:v>
                </c:pt>
                <c:pt idx="18">
                  <c:v>0.67897552251815796</c:v>
                </c:pt>
                <c:pt idx="19">
                  <c:v>0.60938519239425659</c:v>
                </c:pt>
                <c:pt idx="20">
                  <c:v>0.54997014999389648</c:v>
                </c:pt>
                <c:pt idx="21">
                  <c:v>0.49883913993835449</c:v>
                </c:pt>
                <c:pt idx="22">
                  <c:v>0.45452079176902771</c:v>
                </c:pt>
                <c:pt idx="23">
                  <c:v>0.41585645079612732</c:v>
                </c:pt>
                <c:pt idx="24">
                  <c:v>0.38192370533943176</c:v>
                </c:pt>
                <c:pt idx="25">
                  <c:v>0.35198089480400085</c:v>
                </c:pt>
                <c:pt idx="26">
                  <c:v>0.3254261314868927</c:v>
                </c:pt>
                <c:pt idx="27">
                  <c:v>0.30176690220832825</c:v>
                </c:pt>
                <c:pt idx="28">
                  <c:v>0.28059700131416321</c:v>
                </c:pt>
                <c:pt idx="29">
                  <c:v>0.26157915592193604</c:v>
                </c:pt>
                <c:pt idx="30">
                  <c:v>0.24443118274211884</c:v>
                </c:pt>
                <c:pt idx="31">
                  <c:v>0.22891576588153839</c:v>
                </c:pt>
                <c:pt idx="32">
                  <c:v>0.21483208239078522</c:v>
                </c:pt>
                <c:pt idx="33">
                  <c:v>0.20200923085212708</c:v>
                </c:pt>
                <c:pt idx="34">
                  <c:v>0.19030109047889709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E9-4416-853D-DABBE93460CC}"/>
            </c:ext>
          </c:extLst>
        </c:ser>
        <c:ser>
          <c:idx val="4"/>
          <c:order val="4"/>
          <c:tx>
            <c:strRef>
              <c:f>Skymaps!$D$162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Skymaps!$E$162:$BC$162</c:f>
              <c:numCache>
                <c:formatCode>General</c:formatCode>
                <c:ptCount val="51"/>
                <c:pt idx="14">
                  <c:v>1.16471266746521</c:v>
                </c:pt>
                <c:pt idx="15">
                  <c:v>1.0145941972732544</c:v>
                </c:pt>
                <c:pt idx="16">
                  <c:v>0.89173322916030884</c:v>
                </c:pt>
                <c:pt idx="17">
                  <c:v>0.78990894556045532</c:v>
                </c:pt>
                <c:pt idx="18">
                  <c:v>0.70457929372787476</c:v>
                </c:pt>
                <c:pt idx="19">
                  <c:v>0.63236474990844727</c:v>
                </c:pt>
                <c:pt idx="20">
                  <c:v>0.570709228515625</c:v>
                </c:pt>
                <c:pt idx="21">
                  <c:v>0.51765012741088867</c:v>
                </c:pt>
                <c:pt idx="22">
                  <c:v>0.47166052460670471</c:v>
                </c:pt>
                <c:pt idx="23">
                  <c:v>0.4315381646156311</c:v>
                </c:pt>
                <c:pt idx="24">
                  <c:v>0.39632585644721985</c:v>
                </c:pt>
                <c:pt idx="25">
                  <c:v>0.36525389552116394</c:v>
                </c:pt>
                <c:pt idx="26">
                  <c:v>0.33769777417182922</c:v>
                </c:pt>
                <c:pt idx="27">
                  <c:v>0.31314635276794434</c:v>
                </c:pt>
                <c:pt idx="28">
                  <c:v>0.29117816686630249</c:v>
                </c:pt>
                <c:pt idx="29">
                  <c:v>0.27144315838813782</c:v>
                </c:pt>
                <c:pt idx="30">
                  <c:v>0.2536485493183136</c:v>
                </c:pt>
                <c:pt idx="31">
                  <c:v>0.23754805326461792</c:v>
                </c:pt>
                <c:pt idx="32">
                  <c:v>0.22293330729007721</c:v>
                </c:pt>
                <c:pt idx="33">
                  <c:v>0.20962689816951752</c:v>
                </c:pt>
                <c:pt idx="34">
                  <c:v>0.19747723639011383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E9-4416-853D-DABBE93460CC}"/>
            </c:ext>
          </c:extLst>
        </c:ser>
        <c:ser>
          <c:idx val="5"/>
          <c:order val="5"/>
          <c:tx>
            <c:strRef>
              <c:f>Skymaps!$D$163</c:f>
              <c:strCache>
                <c:ptCount val="1"/>
                <c:pt idx="0">
                  <c:v>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Skymaps!$E$163:$BC$163</c:f>
              <c:numCache>
                <c:formatCode>General</c:formatCode>
                <c:ptCount val="51"/>
                <c:pt idx="15">
                  <c:v>1.0531266927719116</c:v>
                </c:pt>
                <c:pt idx="16">
                  <c:v>0.92559963464736938</c:v>
                </c:pt>
                <c:pt idx="17">
                  <c:v>0.81990832090377808</c:v>
                </c:pt>
                <c:pt idx="18">
                  <c:v>0.7313380241394043</c:v>
                </c:pt>
                <c:pt idx="19">
                  <c:v>0.65638095140457153</c:v>
                </c:pt>
                <c:pt idx="20">
                  <c:v>0.59238380193710327</c:v>
                </c:pt>
                <c:pt idx="21">
                  <c:v>0.53730952739715576</c:v>
                </c:pt>
                <c:pt idx="22">
                  <c:v>0.48957335948944092</c:v>
                </c:pt>
                <c:pt idx="23">
                  <c:v>0.44792723655700684</c:v>
                </c:pt>
                <c:pt idx="24">
                  <c:v>0.41137760877609253</c:v>
                </c:pt>
                <c:pt idx="25">
                  <c:v>0.37912562489509583</c:v>
                </c:pt>
                <c:pt idx="26">
                  <c:v>0.3505229651927948</c:v>
                </c:pt>
                <c:pt idx="27">
                  <c:v>0.32503911852836609</c:v>
                </c:pt>
                <c:pt idx="28">
                  <c:v>0.30223661661148071</c:v>
                </c:pt>
                <c:pt idx="29">
                  <c:v>0.2817520797252655</c:v>
                </c:pt>
                <c:pt idx="30">
                  <c:v>0.26328167319297791</c:v>
                </c:pt>
                <c:pt idx="31">
                  <c:v>0.24656973779201508</c:v>
                </c:pt>
                <c:pt idx="32">
                  <c:v>0.23139990866184235</c:v>
                </c:pt>
                <c:pt idx="33">
                  <c:v>0.21758817136287689</c:v>
                </c:pt>
                <c:pt idx="34">
                  <c:v>0.20497708022594452</c:v>
                </c:pt>
                <c:pt idx="35">
                  <c:v>0.19343143701553345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2E9-4416-853D-DABBE93460CC}"/>
            </c:ext>
          </c:extLst>
        </c:ser>
        <c:ser>
          <c:idx val="6"/>
          <c:order val="6"/>
          <c:tx>
            <c:strRef>
              <c:f>Skymaps!$D$164</c:f>
              <c:strCache>
                <c:ptCount val="1"/>
                <c:pt idx="0">
                  <c:v>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Skymaps!$E$164:$BC$164</c:f>
              <c:numCache>
                <c:formatCode>General</c:formatCode>
                <c:ptCount val="51"/>
                <c:pt idx="15">
                  <c:v>1.0934097766876221</c:v>
                </c:pt>
                <c:pt idx="16">
                  <c:v>0.96100467443466187</c:v>
                </c:pt>
                <c:pt idx="17">
                  <c:v>0.85127055644989014</c:v>
                </c:pt>
                <c:pt idx="18">
                  <c:v>0.75931233167648315</c:v>
                </c:pt>
                <c:pt idx="19">
                  <c:v>0.681488037109375</c:v>
                </c:pt>
                <c:pt idx="20">
                  <c:v>0.61504298448562622</c:v>
                </c:pt>
                <c:pt idx="21">
                  <c:v>0.55786210298538208</c:v>
                </c:pt>
                <c:pt idx="22">
                  <c:v>0.50829994678497314</c:v>
                </c:pt>
                <c:pt idx="23">
                  <c:v>0.46506083011627197</c:v>
                </c:pt>
                <c:pt idx="24">
                  <c:v>0.42711320519447327</c:v>
                </c:pt>
                <c:pt idx="25">
                  <c:v>0.39362749457359314</c:v>
                </c:pt>
                <c:pt idx="26">
                  <c:v>0.36393076181411743</c:v>
                </c:pt>
                <c:pt idx="27">
                  <c:v>0.33747214078903198</c:v>
                </c:pt>
                <c:pt idx="28">
                  <c:v>0.31379744410514832</c:v>
                </c:pt>
                <c:pt idx="29">
                  <c:v>0.29252934455871582</c:v>
                </c:pt>
                <c:pt idx="30">
                  <c:v>0.27335244417190552</c:v>
                </c:pt>
                <c:pt idx="31">
                  <c:v>0.25600123405456543</c:v>
                </c:pt>
                <c:pt idx="32">
                  <c:v>0.24025116860866547</c:v>
                </c:pt>
                <c:pt idx="33">
                  <c:v>0.22591108083724976</c:v>
                </c:pt>
                <c:pt idx="34">
                  <c:v>0.21281763911247253</c:v>
                </c:pt>
                <c:pt idx="35">
                  <c:v>0.20083035528659821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2E9-4416-853D-DABBE93460CC}"/>
            </c:ext>
          </c:extLst>
        </c:ser>
        <c:ser>
          <c:idx val="7"/>
          <c:order val="7"/>
          <c:tx>
            <c:strRef>
              <c:f>Skymaps!$D$165</c:f>
              <c:strCache>
                <c:ptCount val="1"/>
                <c:pt idx="0">
                  <c:v>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Skymaps!$E$165:$BC$165</c:f>
              <c:numCache>
                <c:formatCode>General</c:formatCode>
                <c:ptCount val="51"/>
                <c:pt idx="16">
                  <c:v>0.99802964925765991</c:v>
                </c:pt>
                <c:pt idx="17">
                  <c:v>0.8840678334236145</c:v>
                </c:pt>
                <c:pt idx="18">
                  <c:v>0.78856664896011353</c:v>
                </c:pt>
                <c:pt idx="19">
                  <c:v>0.7077440619468689</c:v>
                </c:pt>
                <c:pt idx="20">
                  <c:v>0.63873904943466187</c:v>
                </c:pt>
                <c:pt idx="21">
                  <c:v>0.57935512065887451</c:v>
                </c:pt>
                <c:pt idx="22">
                  <c:v>0.52788347005844116</c:v>
                </c:pt>
                <c:pt idx="23">
                  <c:v>0.4829784631729126</c:v>
                </c:pt>
                <c:pt idx="24">
                  <c:v>0.44356876611709595</c:v>
                </c:pt>
                <c:pt idx="25">
                  <c:v>0.40879297256469727</c:v>
                </c:pt>
                <c:pt idx="26">
                  <c:v>0.37795206904411316</c:v>
                </c:pt>
                <c:pt idx="27">
                  <c:v>0.35047408938407898</c:v>
                </c:pt>
                <c:pt idx="28">
                  <c:v>0.32588723301887512</c:v>
                </c:pt>
                <c:pt idx="29">
                  <c:v>0.30379977822303772</c:v>
                </c:pt>
                <c:pt idx="30">
                  <c:v>0.28388401865959167</c:v>
                </c:pt>
                <c:pt idx="31">
                  <c:v>0.26586431264877319</c:v>
                </c:pt>
                <c:pt idx="32">
                  <c:v>0.24950741231441498</c:v>
                </c:pt>
                <c:pt idx="33">
                  <c:v>0.23461487889289856</c:v>
                </c:pt>
                <c:pt idx="34">
                  <c:v>0.22101695835590363</c:v>
                </c:pt>
                <c:pt idx="35">
                  <c:v>0.20856782793998718</c:v>
                </c:pt>
                <c:pt idx="36">
                  <c:v>0.19714166224002838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2E9-4416-853D-DABBE93460CC}"/>
            </c:ext>
          </c:extLst>
        </c:ser>
        <c:ser>
          <c:idx val="8"/>
          <c:order val="8"/>
          <c:tx>
            <c:strRef>
              <c:f>Skymaps!$D$166</c:f>
              <c:strCache>
                <c:ptCount val="1"/>
                <c:pt idx="0">
                  <c:v>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Skymaps!$E$166:$BC$166</c:f>
              <c:numCache>
                <c:formatCode>General</c:formatCode>
                <c:ptCount val="51"/>
                <c:pt idx="16">
                  <c:v>1.0367614030838013</c:v>
                </c:pt>
                <c:pt idx="17">
                  <c:v>0.9183768630027771</c:v>
                </c:pt>
                <c:pt idx="18">
                  <c:v>0.81916952133178711</c:v>
                </c:pt>
                <c:pt idx="19">
                  <c:v>0.73521029949188232</c:v>
                </c:pt>
                <c:pt idx="20">
                  <c:v>0.66352730989456177</c:v>
                </c:pt>
                <c:pt idx="21">
                  <c:v>0.60183882713317871</c:v>
                </c:pt>
                <c:pt idx="22">
                  <c:v>0.5483696460723877</c:v>
                </c:pt>
                <c:pt idx="23">
                  <c:v>0.50172197818756104</c:v>
                </c:pt>
                <c:pt idx="24">
                  <c:v>0.46078285574913025</c:v>
                </c:pt>
                <c:pt idx="25">
                  <c:v>0.42465746402740479</c:v>
                </c:pt>
                <c:pt idx="26">
                  <c:v>0.39261969923973083</c:v>
                </c:pt>
                <c:pt idx="27">
                  <c:v>0.36407533288002014</c:v>
                </c:pt>
                <c:pt idx="28">
                  <c:v>0.33853435516357422</c:v>
                </c:pt>
                <c:pt idx="29">
                  <c:v>0.31558969616889954</c:v>
                </c:pt>
                <c:pt idx="30">
                  <c:v>0.294901043176651</c:v>
                </c:pt>
                <c:pt idx="31">
                  <c:v>0.27618202567100525</c:v>
                </c:pt>
                <c:pt idx="32">
                  <c:v>0.25919035077095032</c:v>
                </c:pt>
                <c:pt idx="33">
                  <c:v>0.24371984601020813</c:v>
                </c:pt>
                <c:pt idx="34">
                  <c:v>0.22959421575069427</c:v>
                </c:pt>
                <c:pt idx="35">
                  <c:v>0.2166619747877121</c:v>
                </c:pt>
                <c:pt idx="36">
                  <c:v>0.20479238033294678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2E9-4416-853D-DABBE93460CC}"/>
            </c:ext>
          </c:extLst>
        </c:ser>
        <c:ser>
          <c:idx val="9"/>
          <c:order val="9"/>
          <c:tx>
            <c:strRef>
              <c:f>Skymaps!$D$167</c:f>
              <c:strCache>
                <c:ptCount val="1"/>
                <c:pt idx="0">
                  <c:v>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Skymaps!$E$167:$BC$167</c:f>
              <c:numCache>
                <c:formatCode>General</c:formatCode>
                <c:ptCount val="51"/>
                <c:pt idx="17">
                  <c:v>0.95427906513214111</c:v>
                </c:pt>
                <c:pt idx="18">
                  <c:v>0.85119336843490601</c:v>
                </c:pt>
                <c:pt idx="19">
                  <c:v>0.76395189762115479</c:v>
                </c:pt>
                <c:pt idx="20">
                  <c:v>0.68946659564971924</c:v>
                </c:pt>
                <c:pt idx="21">
                  <c:v>0.62536650896072388</c:v>
                </c:pt>
                <c:pt idx="22">
                  <c:v>0.56980711221694946</c:v>
                </c:pt>
                <c:pt idx="23">
                  <c:v>0.52133578062057495</c:v>
                </c:pt>
                <c:pt idx="24">
                  <c:v>0.47879624366760254</c:v>
                </c:pt>
                <c:pt idx="25">
                  <c:v>0.44125860929489136</c:v>
                </c:pt>
                <c:pt idx="26">
                  <c:v>0.40796837210655212</c:v>
                </c:pt>
                <c:pt idx="27">
                  <c:v>0.37830814719200134</c:v>
                </c:pt>
                <c:pt idx="28">
                  <c:v>0.35176867246627808</c:v>
                </c:pt>
                <c:pt idx="29">
                  <c:v>0.32792705297470093</c:v>
                </c:pt>
                <c:pt idx="30">
                  <c:v>0.30642959475517273</c:v>
                </c:pt>
                <c:pt idx="31">
                  <c:v>0.28697881102561951</c:v>
                </c:pt>
                <c:pt idx="32">
                  <c:v>0.26932287216186523</c:v>
                </c:pt>
                <c:pt idx="33">
                  <c:v>0.25324758887290955</c:v>
                </c:pt>
                <c:pt idx="34">
                  <c:v>0.23856976628303528</c:v>
                </c:pt>
                <c:pt idx="35">
                  <c:v>0.22513195872306824</c:v>
                </c:pt>
                <c:pt idx="36">
                  <c:v>0.2127983421087265</c:v>
                </c:pt>
                <c:pt idx="37">
                  <c:v>0.20145115256309509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2E9-4416-853D-DABBE93460CC}"/>
            </c:ext>
          </c:extLst>
        </c:ser>
        <c:ser>
          <c:idx val="10"/>
          <c:order val="10"/>
          <c:tx>
            <c:strRef>
              <c:f>Skymaps!$D$168</c:f>
              <c:strCache>
                <c:ptCount val="1"/>
                <c:pt idx="0">
                  <c:v>10000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Skymaps!$E$168:$BC$168</c:f>
              <c:numCache>
                <c:formatCode>General</c:formatCode>
                <c:ptCount val="51"/>
                <c:pt idx="17">
                  <c:v>0.99186044931411743</c:v>
                </c:pt>
                <c:pt idx="18">
                  <c:v>0.88471502065658569</c:v>
                </c:pt>
                <c:pt idx="19">
                  <c:v>0.79403787851333618</c:v>
                </c:pt>
                <c:pt idx="20">
                  <c:v>0.71661919355392456</c:v>
                </c:pt>
                <c:pt idx="21">
                  <c:v>0.64999473094940186</c:v>
                </c:pt>
                <c:pt idx="22">
                  <c:v>0.59224724769592285</c:v>
                </c:pt>
                <c:pt idx="23">
                  <c:v>0.54186701774597168</c:v>
                </c:pt>
                <c:pt idx="24">
                  <c:v>0.49765220284461975</c:v>
                </c:pt>
                <c:pt idx="25">
                  <c:v>0.45863628387451172</c:v>
                </c:pt>
                <c:pt idx="26">
                  <c:v>0.42403504252433777</c:v>
                </c:pt>
                <c:pt idx="27">
                  <c:v>0.39320665597915649</c:v>
                </c:pt>
                <c:pt idx="28">
                  <c:v>0.36562204360961914</c:v>
                </c:pt>
                <c:pt idx="29">
                  <c:v>0.34084147214889526</c:v>
                </c:pt>
                <c:pt idx="30">
                  <c:v>0.3184974193572998</c:v>
                </c:pt>
                <c:pt idx="31">
                  <c:v>0.29828062653541565</c:v>
                </c:pt>
                <c:pt idx="32">
                  <c:v>0.27992936968803406</c:v>
                </c:pt>
                <c:pt idx="33">
                  <c:v>0.26322099566459656</c:v>
                </c:pt>
                <c:pt idx="34">
                  <c:v>0.24796511232852936</c:v>
                </c:pt>
                <c:pt idx="35">
                  <c:v>0.23399810492992401</c:v>
                </c:pt>
                <c:pt idx="36">
                  <c:v>0.22117875516414642</c:v>
                </c:pt>
                <c:pt idx="37">
                  <c:v>0.20938470959663391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2E9-4416-853D-DABBE93460CC}"/>
            </c:ext>
          </c:extLst>
        </c:ser>
        <c:ser>
          <c:idx val="11"/>
          <c:order val="11"/>
          <c:tx>
            <c:strRef>
              <c:f>Skymaps!$D$169</c:f>
              <c:strCache>
                <c:ptCount val="1"/>
                <c:pt idx="0">
                  <c:v>11000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Skymaps!$E$169:$BC$169</c:f>
              <c:numCache>
                <c:formatCode>General</c:formatCode>
                <c:ptCount val="51"/>
                <c:pt idx="17">
                  <c:v>1.0312129259109497</c:v>
                </c:pt>
                <c:pt idx="18">
                  <c:v>0.91981643438339233</c:v>
                </c:pt>
                <c:pt idx="19">
                  <c:v>0.82554167509078979</c:v>
                </c:pt>
                <c:pt idx="20">
                  <c:v>0.74505132436752319</c:v>
                </c:pt>
                <c:pt idx="21">
                  <c:v>0.67578357458114624</c:v>
                </c:pt>
                <c:pt idx="22">
                  <c:v>0.61574488878250122</c:v>
                </c:pt>
                <c:pt idx="23">
                  <c:v>0.5633658766746521</c:v>
                </c:pt>
                <c:pt idx="24">
                  <c:v>0.51739674806594849</c:v>
                </c:pt>
                <c:pt idx="25">
                  <c:v>0.47683286666870117</c:v>
                </c:pt>
                <c:pt idx="26">
                  <c:v>0.44085881114006042</c:v>
                </c:pt>
                <c:pt idx="27">
                  <c:v>0.40880730748176575</c:v>
                </c:pt>
                <c:pt idx="28">
                  <c:v>0.38012823462486267</c:v>
                </c:pt>
                <c:pt idx="29">
                  <c:v>0.35436448454856873</c:v>
                </c:pt>
                <c:pt idx="30">
                  <c:v>0.33113393187522888</c:v>
                </c:pt>
                <c:pt idx="31">
                  <c:v>0.31011500954627991</c:v>
                </c:pt>
                <c:pt idx="32">
                  <c:v>0.29103568196296692</c:v>
                </c:pt>
                <c:pt idx="33">
                  <c:v>0.27366441488265991</c:v>
                </c:pt>
                <c:pt idx="34">
                  <c:v>0.25780323147773743</c:v>
                </c:pt>
                <c:pt idx="35">
                  <c:v>0.24328206479549408</c:v>
                </c:pt>
                <c:pt idx="36">
                  <c:v>0.22995410859584808</c:v>
                </c:pt>
                <c:pt idx="37">
                  <c:v>0.21769213676452637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2E9-4416-853D-DABBE93460CC}"/>
            </c:ext>
          </c:extLst>
        </c:ser>
        <c:ser>
          <c:idx val="12"/>
          <c:order val="12"/>
          <c:tx>
            <c:strRef>
              <c:f>Skymaps!$D$170</c:f>
              <c:strCache>
                <c:ptCount val="1"/>
                <c:pt idx="0">
                  <c:v>12000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Skymaps!$E$170:$BC$170</c:f>
              <c:numCache>
                <c:formatCode>General</c:formatCode>
                <c:ptCount val="51"/>
                <c:pt idx="18">
                  <c:v>0.95658451318740845</c:v>
                </c:pt>
                <c:pt idx="19">
                  <c:v>0.85854119062423706</c:v>
                </c:pt>
                <c:pt idx="20">
                  <c:v>0.77483344078063965</c:v>
                </c:pt>
                <c:pt idx="21">
                  <c:v>0.70279675722122192</c:v>
                </c:pt>
                <c:pt idx="22">
                  <c:v>0.64035820960998535</c:v>
                </c:pt>
                <c:pt idx="23">
                  <c:v>0.58588534593582153</c:v>
                </c:pt>
                <c:pt idx="24">
                  <c:v>0.53807878494262695</c:v>
                </c:pt>
                <c:pt idx="25">
                  <c:v>0.49589338898658752</c:v>
                </c:pt>
                <c:pt idx="26">
                  <c:v>0.4584813117980957</c:v>
                </c:pt>
                <c:pt idx="27">
                  <c:v>0.42514863610267639</c:v>
                </c:pt>
                <c:pt idx="28">
                  <c:v>0.39532315731048584</c:v>
                </c:pt>
                <c:pt idx="29">
                  <c:v>0.36852958798408508</c:v>
                </c:pt>
                <c:pt idx="30">
                  <c:v>0.34437039494514465</c:v>
                </c:pt>
                <c:pt idx="31">
                  <c:v>0.32251131534576416</c:v>
                </c:pt>
                <c:pt idx="32">
                  <c:v>0.30266931653022766</c:v>
                </c:pt>
                <c:pt idx="33">
                  <c:v>0.28460362553596497</c:v>
                </c:pt>
                <c:pt idx="34">
                  <c:v>0.26810845732688904</c:v>
                </c:pt>
                <c:pt idx="35">
                  <c:v>0.25300684571266174</c:v>
                </c:pt>
                <c:pt idx="36">
                  <c:v>0.23914612829685211</c:v>
                </c:pt>
                <c:pt idx="37">
                  <c:v>0.22639399766921997</c:v>
                </c:pt>
                <c:pt idx="38">
                  <c:v>0.21463529765605927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2E9-4416-853D-DABBE93460CC}"/>
            </c:ext>
          </c:extLst>
        </c:ser>
        <c:ser>
          <c:idx val="13"/>
          <c:order val="13"/>
          <c:tx>
            <c:strRef>
              <c:f>Skymaps!$D$171</c:f>
              <c:strCache>
                <c:ptCount val="1"/>
                <c:pt idx="0">
                  <c:v>13000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Skymaps!$E$171:$BC$171</c:f>
              <c:numCache>
                <c:formatCode>General</c:formatCode>
                <c:ptCount val="51"/>
                <c:pt idx="18">
                  <c:v>0.99511146545410156</c:v>
                </c:pt>
                <c:pt idx="19">
                  <c:v>0.8931194543838501</c:v>
                </c:pt>
                <c:pt idx="20">
                  <c:v>0.80604028701782227</c:v>
                </c:pt>
                <c:pt idx="21">
                  <c:v>0.7311023473739624</c:v>
                </c:pt>
                <c:pt idx="22">
                  <c:v>0.66614896059036255</c:v>
                </c:pt>
                <c:pt idx="23">
                  <c:v>0.6094822883605957</c:v>
                </c:pt>
                <c:pt idx="24">
                  <c:v>0.55975019931793213</c:v>
                </c:pt>
                <c:pt idx="25">
                  <c:v>0.51586580276489258</c:v>
                </c:pt>
                <c:pt idx="26">
                  <c:v>0.47694692015647888</c:v>
                </c:pt>
                <c:pt idx="27">
                  <c:v>0.44227173924446106</c:v>
                </c:pt>
                <c:pt idx="28">
                  <c:v>0.41124504804611206</c:v>
                </c:pt>
                <c:pt idx="29">
                  <c:v>0.38337230682373047</c:v>
                </c:pt>
                <c:pt idx="30">
                  <c:v>0.35824012756347656</c:v>
                </c:pt>
                <c:pt idx="31">
                  <c:v>0.33550065755844116</c:v>
                </c:pt>
                <c:pt idx="32">
                  <c:v>0.31485947966575623</c:v>
                </c:pt>
                <c:pt idx="33">
                  <c:v>0.29606622457504272</c:v>
                </c:pt>
                <c:pt idx="34">
                  <c:v>0.27890667319297791</c:v>
                </c:pt>
                <c:pt idx="35">
                  <c:v>0.26319682598114014</c:v>
                </c:pt>
                <c:pt idx="36">
                  <c:v>0.24877786636352539</c:v>
                </c:pt>
                <c:pt idx="37">
                  <c:v>0.2355121374130249</c:v>
                </c:pt>
                <c:pt idx="38">
                  <c:v>0.22327986359596252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2E9-4416-853D-DABBE93460CC}"/>
            </c:ext>
          </c:extLst>
        </c:ser>
        <c:ser>
          <c:idx val="14"/>
          <c:order val="14"/>
          <c:tx>
            <c:strRef>
              <c:f>Skymaps!$D$172</c:f>
              <c:strCache>
                <c:ptCount val="1"/>
                <c:pt idx="0">
                  <c:v>14000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Skymaps!$E$172:$BC$172</c:f>
              <c:numCache>
                <c:formatCode>General</c:formatCode>
                <c:ptCount val="51"/>
                <c:pt idx="19">
                  <c:v>0.92936456203460693</c:v>
                </c:pt>
                <c:pt idx="20">
                  <c:v>0.83875149488449097</c:v>
                </c:pt>
                <c:pt idx="21">
                  <c:v>0.76077234745025635</c:v>
                </c:pt>
                <c:pt idx="22">
                  <c:v>0.69318306446075439</c:v>
                </c:pt>
                <c:pt idx="23">
                  <c:v>0.63421660661697388</c:v>
                </c:pt>
                <c:pt idx="24">
                  <c:v>0.58246630430221558</c:v>
                </c:pt>
                <c:pt idx="25">
                  <c:v>0.53680098056793213</c:v>
                </c:pt>
                <c:pt idx="26">
                  <c:v>0.49630266427993774</c:v>
                </c:pt>
                <c:pt idx="27">
                  <c:v>0.46022030711174011</c:v>
                </c:pt>
                <c:pt idx="28">
                  <c:v>0.4279344379901886</c:v>
                </c:pt>
                <c:pt idx="29">
                  <c:v>0.39893051981925964</c:v>
                </c:pt>
                <c:pt idx="30">
                  <c:v>0.37277844548225403</c:v>
                </c:pt>
                <c:pt idx="31">
                  <c:v>0.34911614656448364</c:v>
                </c:pt>
                <c:pt idx="32">
                  <c:v>0.32763728499412537</c:v>
                </c:pt>
                <c:pt idx="33">
                  <c:v>0.30808135867118835</c:v>
                </c:pt>
                <c:pt idx="34">
                  <c:v>0.29022544622421265</c:v>
                </c:pt>
                <c:pt idx="35">
                  <c:v>0.27387803792953491</c:v>
                </c:pt>
                <c:pt idx="36">
                  <c:v>0.25887390971183777</c:v>
                </c:pt>
                <c:pt idx="37">
                  <c:v>0.24506983160972595</c:v>
                </c:pt>
                <c:pt idx="38">
                  <c:v>0.23234114050865173</c:v>
                </c:pt>
                <c:pt idx="39">
                  <c:v>0.22057896852493286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2E9-4416-853D-DABBE93460CC}"/>
            </c:ext>
          </c:extLst>
        </c:ser>
        <c:ser>
          <c:idx val="15"/>
          <c:order val="15"/>
          <c:tx>
            <c:strRef>
              <c:f>Skymaps!$D$173</c:f>
              <c:strCache>
                <c:ptCount val="1"/>
                <c:pt idx="0">
                  <c:v>15000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Skymaps!$E$173:$BC$173</c:f>
              <c:numCache>
                <c:formatCode>General</c:formatCode>
                <c:ptCount val="51"/>
                <c:pt idx="19">
                  <c:v>0.96737033128738403</c:v>
                </c:pt>
                <c:pt idx="20">
                  <c:v>0.87305164337158203</c:v>
                </c:pt>
                <c:pt idx="21">
                  <c:v>0.79188364744186401</c:v>
                </c:pt>
                <c:pt idx="22">
                  <c:v>0.72153031826019287</c:v>
                </c:pt>
                <c:pt idx="23">
                  <c:v>0.66015249490737915</c:v>
                </c:pt>
                <c:pt idx="24">
                  <c:v>0.60628592967987061</c:v>
                </c:pt>
                <c:pt idx="25">
                  <c:v>0.55875307321548462</c:v>
                </c:pt>
                <c:pt idx="26">
                  <c:v>0.51659864187240601</c:v>
                </c:pt>
                <c:pt idx="27">
                  <c:v>0.4790407121181488</c:v>
                </c:pt>
                <c:pt idx="28">
                  <c:v>0.4454345703125</c:v>
                </c:pt>
                <c:pt idx="29">
                  <c:v>0.41524454951286316</c:v>
                </c:pt>
                <c:pt idx="30">
                  <c:v>0.38802295923233032</c:v>
                </c:pt>
                <c:pt idx="31">
                  <c:v>0.36339300870895386</c:v>
                </c:pt>
                <c:pt idx="32">
                  <c:v>0.34103581309318542</c:v>
                </c:pt>
                <c:pt idx="33">
                  <c:v>0.32068014144897461</c:v>
                </c:pt>
                <c:pt idx="34">
                  <c:v>0.30209401249885559</c:v>
                </c:pt>
                <c:pt idx="35">
                  <c:v>0.28507810831069946</c:v>
                </c:pt>
                <c:pt idx="36">
                  <c:v>0.26946038007736206</c:v>
                </c:pt>
                <c:pt idx="37">
                  <c:v>0.25509181618690491</c:v>
                </c:pt>
                <c:pt idx="38">
                  <c:v>0.24184258282184601</c:v>
                </c:pt>
                <c:pt idx="39">
                  <c:v>0.22959938645362854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2E9-4416-853D-DABBE93460CC}"/>
            </c:ext>
          </c:extLst>
        </c:ser>
        <c:ser>
          <c:idx val="16"/>
          <c:order val="16"/>
          <c:tx>
            <c:strRef>
              <c:f>Skymaps!$D$174</c:f>
              <c:strCache>
                <c:ptCount val="1"/>
                <c:pt idx="0">
                  <c:v>16000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Skymaps!$E$174:$BC$174</c:f>
              <c:numCache>
                <c:formatCode>General</c:formatCode>
                <c:ptCount val="51"/>
                <c:pt idx="19">
                  <c:v>1.0072364807128906</c:v>
                </c:pt>
                <c:pt idx="20">
                  <c:v>0.90903091430664063</c:v>
                </c:pt>
                <c:pt idx="21">
                  <c:v>0.82451784610748291</c:v>
                </c:pt>
                <c:pt idx="22">
                  <c:v>0.75126522779464722</c:v>
                </c:pt>
                <c:pt idx="23">
                  <c:v>0.68735796213150024</c:v>
                </c:pt>
                <c:pt idx="24">
                  <c:v>0.63127142190933228</c:v>
                </c:pt>
                <c:pt idx="25">
                  <c:v>0.58177977800369263</c:v>
                </c:pt>
                <c:pt idx="26">
                  <c:v>0.53788810968399048</c:v>
                </c:pt>
                <c:pt idx="27">
                  <c:v>0.49878239631652832</c:v>
                </c:pt>
                <c:pt idx="28">
                  <c:v>0.46379128098487854</c:v>
                </c:pt>
                <c:pt idx="29">
                  <c:v>0.43235716223716736</c:v>
                </c:pt>
                <c:pt idx="30">
                  <c:v>0.40401375293731689</c:v>
                </c:pt>
                <c:pt idx="31">
                  <c:v>0.37836873531341553</c:v>
                </c:pt>
                <c:pt idx="32">
                  <c:v>0.35509020090103149</c:v>
                </c:pt>
                <c:pt idx="33">
                  <c:v>0.33389565348625183</c:v>
                </c:pt>
                <c:pt idx="34">
                  <c:v>0.31454357504844666</c:v>
                </c:pt>
                <c:pt idx="35">
                  <c:v>0.29682642221450806</c:v>
                </c:pt>
                <c:pt idx="36">
                  <c:v>0.28056508302688599</c:v>
                </c:pt>
                <c:pt idx="37">
                  <c:v>0.26560434699058533</c:v>
                </c:pt>
                <c:pt idx="38">
                  <c:v>0.25180912017822266</c:v>
                </c:pt>
                <c:pt idx="39">
                  <c:v>0.23906137049198151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2E9-4416-853D-DABBE93460CC}"/>
            </c:ext>
          </c:extLst>
        </c:ser>
        <c:ser>
          <c:idx val="17"/>
          <c:order val="17"/>
          <c:tx>
            <c:strRef>
              <c:f>Skymaps!$D$175</c:f>
              <c:strCache>
                <c:ptCount val="1"/>
                <c:pt idx="0">
                  <c:v>17000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Skymaps!$E$175:$BC$175</c:f>
              <c:numCache>
                <c:formatCode>General</c:formatCode>
                <c:ptCount val="51"/>
                <c:pt idx="20">
                  <c:v>0.94678527116775513</c:v>
                </c:pt>
                <c:pt idx="21">
                  <c:v>0.85876208543777466</c:v>
                </c:pt>
                <c:pt idx="22">
                  <c:v>0.78246712684631348</c:v>
                </c:pt>
                <c:pt idx="23">
                  <c:v>0.71590560674667358</c:v>
                </c:pt>
                <c:pt idx="24">
                  <c:v>0.65748977661132813</c:v>
                </c:pt>
                <c:pt idx="25">
                  <c:v>0.60594254732131958</c:v>
                </c:pt>
                <c:pt idx="26">
                  <c:v>0.56022793054580688</c:v>
                </c:pt>
                <c:pt idx="27">
                  <c:v>0.51949805021286011</c:v>
                </c:pt>
                <c:pt idx="28">
                  <c:v>0.48305368423461914</c:v>
                </c:pt>
                <c:pt idx="29">
                  <c:v>0.45031401515007019</c:v>
                </c:pt>
                <c:pt idx="30">
                  <c:v>0.42079341411590576</c:v>
                </c:pt>
                <c:pt idx="31">
                  <c:v>0.39408335089683533</c:v>
                </c:pt>
                <c:pt idx="32">
                  <c:v>0.36983799934387207</c:v>
                </c:pt>
                <c:pt idx="33">
                  <c:v>0.34776318073272705</c:v>
                </c:pt>
                <c:pt idx="34">
                  <c:v>0.32760736346244812</c:v>
                </c:pt>
                <c:pt idx="35">
                  <c:v>0.30915436148643494</c:v>
                </c:pt>
                <c:pt idx="36">
                  <c:v>0.29221764206886292</c:v>
                </c:pt>
                <c:pt idx="37">
                  <c:v>0.2766355574131012</c:v>
                </c:pt>
                <c:pt idx="38">
                  <c:v>0.26226738095283508</c:v>
                </c:pt>
                <c:pt idx="39">
                  <c:v>0.24899019300937653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2E9-4416-853D-DABBE93460CC}"/>
            </c:ext>
          </c:extLst>
        </c:ser>
        <c:ser>
          <c:idx val="18"/>
          <c:order val="18"/>
          <c:tx>
            <c:strRef>
              <c:f>Skymaps!$D$176</c:f>
              <c:strCache>
                <c:ptCount val="1"/>
                <c:pt idx="0">
                  <c:v>18000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Skymaps!$E$176:$BC$176</c:f>
              <c:numCache>
                <c:formatCode>General</c:formatCode>
                <c:ptCount val="51"/>
                <c:pt idx="20">
                  <c:v>0.98641687631607056</c:v>
                </c:pt>
                <c:pt idx="21">
                  <c:v>0.89470916986465454</c:v>
                </c:pt>
                <c:pt idx="22">
                  <c:v>0.81522053480148315</c:v>
                </c:pt>
                <c:pt idx="23">
                  <c:v>0.74587291479110718</c:v>
                </c:pt>
                <c:pt idx="24">
                  <c:v>0.68501174449920654</c:v>
                </c:pt>
                <c:pt idx="25">
                  <c:v>0.63130676746368408</c:v>
                </c:pt>
                <c:pt idx="26">
                  <c:v>0.58367860317230225</c:v>
                </c:pt>
                <c:pt idx="27">
                  <c:v>0.5412437915802002</c:v>
                </c:pt>
                <c:pt idx="28">
                  <c:v>0.50327390432357788</c:v>
                </c:pt>
                <c:pt idx="29">
                  <c:v>0.46916377544403076</c:v>
                </c:pt>
                <c:pt idx="30">
                  <c:v>0.43840748071670532</c:v>
                </c:pt>
                <c:pt idx="31">
                  <c:v>0.41057935357093811</c:v>
                </c:pt>
                <c:pt idx="32">
                  <c:v>0.38531908392906189</c:v>
                </c:pt>
                <c:pt idx="33">
                  <c:v>0.36232024431228638</c:v>
                </c:pt>
                <c:pt idx="34">
                  <c:v>0.34132072329521179</c:v>
                </c:pt>
                <c:pt idx="35">
                  <c:v>0.32209530472755432</c:v>
                </c:pt>
                <c:pt idx="36">
                  <c:v>0.3044496476650238</c:v>
                </c:pt>
                <c:pt idx="37">
                  <c:v>0.28821530938148499</c:v>
                </c:pt>
                <c:pt idx="38">
                  <c:v>0.27324566245079041</c:v>
                </c:pt>
                <c:pt idx="39">
                  <c:v>0.2594127357006073</c:v>
                </c:pt>
                <c:pt idx="40">
                  <c:v>0.24660421907901764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2E9-4416-853D-DABBE93460CC}"/>
            </c:ext>
          </c:extLst>
        </c:ser>
        <c:ser>
          <c:idx val="19"/>
          <c:order val="19"/>
          <c:tx>
            <c:strRef>
              <c:f>Skymaps!$D$177</c:f>
              <c:strCache>
                <c:ptCount val="1"/>
                <c:pt idx="0">
                  <c:v>19000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Skymaps!$E$177:$BC$177</c:f>
              <c:numCache>
                <c:formatCode>General</c:formatCode>
                <c:ptCount val="51"/>
                <c:pt idx="21">
                  <c:v>0.93245780467987061</c:v>
                </c:pt>
                <c:pt idx="22">
                  <c:v>0.84961551427841187</c:v>
                </c:pt>
                <c:pt idx="23">
                  <c:v>0.77734196186065674</c:v>
                </c:pt>
                <c:pt idx="24">
                  <c:v>0.71391302347183228</c:v>
                </c:pt>
                <c:pt idx="25">
                  <c:v>0.65794223546981812</c:v>
                </c:pt>
                <c:pt idx="26">
                  <c:v>0.60830461978912354</c:v>
                </c:pt>
                <c:pt idx="27">
                  <c:v>0.56407946348190308</c:v>
                </c:pt>
                <c:pt idx="28">
                  <c:v>0.52450752258300781</c:v>
                </c:pt>
                <c:pt idx="29">
                  <c:v>0.48895826935768127</c:v>
                </c:pt>
                <c:pt idx="30">
                  <c:v>0.45690435171127319</c:v>
                </c:pt>
                <c:pt idx="31">
                  <c:v>0.42790210247039795</c:v>
                </c:pt>
                <c:pt idx="32">
                  <c:v>0.40157607197761536</c:v>
                </c:pt>
                <c:pt idx="33">
                  <c:v>0.37760689854621887</c:v>
                </c:pt>
                <c:pt idx="34">
                  <c:v>0.35572135448455811</c:v>
                </c:pt>
                <c:pt idx="35">
                  <c:v>0.33568483591079712</c:v>
                </c:pt>
                <c:pt idx="36">
                  <c:v>0.31729468703269958</c:v>
                </c:pt>
                <c:pt idx="37">
                  <c:v>0.30037540197372437</c:v>
                </c:pt>
                <c:pt idx="38">
                  <c:v>0.28477415442466736</c:v>
                </c:pt>
                <c:pt idx="39">
                  <c:v>0.27035760879516602</c:v>
                </c:pt>
                <c:pt idx="40">
                  <c:v>0.25700870156288147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2E9-4416-853D-DABBE93460CC}"/>
            </c:ext>
          </c:extLst>
        </c:ser>
        <c:ser>
          <c:idx val="20"/>
          <c:order val="20"/>
          <c:tx>
            <c:strRef>
              <c:f>Skymaps!$D$178</c:f>
              <c:strCache>
                <c:ptCount val="1"/>
                <c:pt idx="0">
                  <c:v>20000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Skymaps!$E$178:$BC$178</c:f>
              <c:numCache>
                <c:formatCode>General</c:formatCode>
                <c:ptCount val="51"/>
                <c:pt idx="21">
                  <c:v>0.97211354970932007</c:v>
                </c:pt>
                <c:pt idx="22">
                  <c:v>0.88574814796447754</c:v>
                </c:pt>
                <c:pt idx="23">
                  <c:v>0.81040090322494507</c:v>
                </c:pt>
                <c:pt idx="24">
                  <c:v>0.74427443742752075</c:v>
                </c:pt>
                <c:pt idx="25">
                  <c:v>0.68592333793640137</c:v>
                </c:pt>
                <c:pt idx="26">
                  <c:v>0.63417470455169678</c:v>
                </c:pt>
                <c:pt idx="27">
                  <c:v>0.58806872367858887</c:v>
                </c:pt>
                <c:pt idx="28">
                  <c:v>0.54681390523910522</c:v>
                </c:pt>
                <c:pt idx="29">
                  <c:v>0.50975275039672852</c:v>
                </c:pt>
                <c:pt idx="30">
                  <c:v>0.47633567452430725</c:v>
                </c:pt>
                <c:pt idx="31">
                  <c:v>0.44609999656677246</c:v>
                </c:pt>
                <c:pt idx="32">
                  <c:v>0.41865438222885132</c:v>
                </c:pt>
                <c:pt idx="33">
                  <c:v>0.39366582036018372</c:v>
                </c:pt>
                <c:pt idx="34">
                  <c:v>0.37084954977035522</c:v>
                </c:pt>
                <c:pt idx="35">
                  <c:v>0.34996089339256287</c:v>
                </c:pt>
                <c:pt idx="36">
                  <c:v>0.33078867197036743</c:v>
                </c:pt>
                <c:pt idx="37">
                  <c:v>0.31314980983734131</c:v>
                </c:pt>
                <c:pt idx="38">
                  <c:v>0.29688510298728943</c:v>
                </c:pt>
                <c:pt idx="39">
                  <c:v>0.28185540437698364</c:v>
                </c:pt>
                <c:pt idx="40">
                  <c:v>0.26793882250785828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2E9-4416-853D-DABBE93460CC}"/>
            </c:ext>
          </c:extLst>
        </c:ser>
        <c:ser>
          <c:idx val="21"/>
          <c:order val="21"/>
          <c:tx>
            <c:strRef>
              <c:f>Skymaps!$D$179</c:f>
              <c:strCache>
                <c:ptCount val="1"/>
                <c:pt idx="0">
                  <c:v>21000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Skymaps!$E$179:$BC$179</c:f>
              <c:numCache>
                <c:formatCode>General</c:formatCode>
                <c:ptCount val="51"/>
                <c:pt idx="22">
                  <c:v>0.92372095584869385</c:v>
                </c:pt>
                <c:pt idx="23">
                  <c:v>0.84514355659484863</c:v>
                </c:pt>
                <c:pt idx="24">
                  <c:v>0.77618211507797241</c:v>
                </c:pt>
                <c:pt idx="25">
                  <c:v>0.71532946825027466</c:v>
                </c:pt>
                <c:pt idx="26">
                  <c:v>0.66136234998703003</c:v>
                </c:pt>
                <c:pt idx="27">
                  <c:v>0.61327970027923584</c:v>
                </c:pt>
                <c:pt idx="28">
                  <c:v>0.57025629281997681</c:v>
                </c:pt>
                <c:pt idx="29">
                  <c:v>0.53160631656646729</c:v>
                </c:pt>
                <c:pt idx="30">
                  <c:v>0.49675658345222473</c:v>
                </c:pt>
                <c:pt idx="31">
                  <c:v>0.46522468328475952</c:v>
                </c:pt>
                <c:pt idx="32">
                  <c:v>0.43660244345664978</c:v>
                </c:pt>
                <c:pt idx="33">
                  <c:v>0.41054263710975647</c:v>
                </c:pt>
                <c:pt idx="34">
                  <c:v>0.38674819469451904</c:v>
                </c:pt>
                <c:pt idx="35">
                  <c:v>0.36496400833129883</c:v>
                </c:pt>
                <c:pt idx="36">
                  <c:v>0.34496983885765076</c:v>
                </c:pt>
                <c:pt idx="37">
                  <c:v>0.32657483220100403</c:v>
                </c:pt>
                <c:pt idx="38">
                  <c:v>0.30961284041404724</c:v>
                </c:pt>
                <c:pt idx="39">
                  <c:v>0.29393878579139709</c:v>
                </c:pt>
                <c:pt idx="40">
                  <c:v>0.27942559123039246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2E9-4416-853D-DABBE93460CC}"/>
            </c:ext>
          </c:extLst>
        </c:ser>
        <c:ser>
          <c:idx val="22"/>
          <c:order val="22"/>
          <c:tx>
            <c:strRef>
              <c:f>Skymaps!$D$180</c:f>
              <c:strCache>
                <c:ptCount val="1"/>
                <c:pt idx="0">
                  <c:v>22000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Skymaps!$E$180:$BC$180</c:f>
              <c:numCache>
                <c:formatCode>General</c:formatCode>
                <c:ptCount val="51"/>
                <c:pt idx="22">
                  <c:v>0.96364337205886841</c:v>
                </c:pt>
                <c:pt idx="23">
                  <c:v>0.88166987895965576</c:v>
                </c:pt>
                <c:pt idx="24">
                  <c:v>0.80972802639007568</c:v>
                </c:pt>
                <c:pt idx="25">
                  <c:v>0.74624538421630859</c:v>
                </c:pt>
                <c:pt idx="26">
                  <c:v>0.6899457573890686</c:v>
                </c:pt>
                <c:pt idx="27">
                  <c:v>0.63978517055511475</c:v>
                </c:pt>
                <c:pt idx="28">
                  <c:v>0.59490221738815308</c:v>
                </c:pt>
                <c:pt idx="29">
                  <c:v>0.55458188056945801</c:v>
                </c:pt>
                <c:pt idx="30">
                  <c:v>0.51822596788406372</c:v>
                </c:pt>
                <c:pt idx="31">
                  <c:v>0.48533129692077637</c:v>
                </c:pt>
                <c:pt idx="32">
                  <c:v>0.45547202229499817</c:v>
                </c:pt>
                <c:pt idx="33">
                  <c:v>0.42828589677810669</c:v>
                </c:pt>
                <c:pt idx="34">
                  <c:v>0.40346309542655945</c:v>
                </c:pt>
                <c:pt idx="35">
                  <c:v>0.38073742389678955</c:v>
                </c:pt>
                <c:pt idx="36">
                  <c:v>0.35987913608551025</c:v>
                </c:pt>
                <c:pt idx="37">
                  <c:v>0.34068909287452698</c:v>
                </c:pt>
                <c:pt idx="38">
                  <c:v>0.32299402356147766</c:v>
                </c:pt>
                <c:pt idx="39">
                  <c:v>0.30664259195327759</c:v>
                </c:pt>
                <c:pt idx="40">
                  <c:v>0.29150211811065674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2E9-4416-853D-DABBE93460CC}"/>
            </c:ext>
          </c:extLst>
        </c:ser>
        <c:ser>
          <c:idx val="23"/>
          <c:order val="23"/>
          <c:tx>
            <c:strRef>
              <c:f>Skymaps!$D$181</c:f>
              <c:strCache>
                <c:ptCount val="1"/>
                <c:pt idx="0">
                  <c:v>23000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Skymaps!$E$181:$BC$181</c:f>
              <c:numCache>
                <c:formatCode>General</c:formatCode>
                <c:ptCount val="51"/>
                <c:pt idx="23">
                  <c:v>0.92008703947067261</c:v>
                </c:pt>
                <c:pt idx="24">
                  <c:v>0.84501045942306519</c:v>
                </c:pt>
                <c:pt idx="25">
                  <c:v>0.77876168489456177</c:v>
                </c:pt>
                <c:pt idx="26">
                  <c:v>0.72000890970230103</c:v>
                </c:pt>
                <c:pt idx="27">
                  <c:v>0.66766262054443359</c:v>
                </c:pt>
                <c:pt idx="28">
                  <c:v>0.62082403898239136</c:v>
                </c:pt>
                <c:pt idx="29">
                  <c:v>0.57874679565429688</c:v>
                </c:pt>
                <c:pt idx="30">
                  <c:v>0.54080671072006226</c:v>
                </c:pt>
                <c:pt idx="31">
                  <c:v>0.50647872686386108</c:v>
                </c:pt>
                <c:pt idx="32">
                  <c:v>0.47531840205192566</c:v>
                </c:pt>
                <c:pt idx="33">
                  <c:v>0.44694769382476807</c:v>
                </c:pt>
                <c:pt idx="34">
                  <c:v>0.4210432767868042</c:v>
                </c:pt>
                <c:pt idx="35">
                  <c:v>0.39732736349105835</c:v>
                </c:pt>
                <c:pt idx="36">
                  <c:v>0.37556019425392151</c:v>
                </c:pt>
                <c:pt idx="37">
                  <c:v>0.35553398728370667</c:v>
                </c:pt>
                <c:pt idx="38">
                  <c:v>0.33706790208816528</c:v>
                </c:pt>
                <c:pt idx="39">
                  <c:v>0.32000398635864258</c:v>
                </c:pt>
                <c:pt idx="40">
                  <c:v>0.30420377850532532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2E9-4416-853D-DABBE93460CC}"/>
            </c:ext>
          </c:extLst>
        </c:ser>
        <c:ser>
          <c:idx val="24"/>
          <c:order val="24"/>
          <c:tx>
            <c:strRef>
              <c:f>Skymaps!$D$182</c:f>
              <c:strCache>
                <c:ptCount val="1"/>
                <c:pt idx="0">
                  <c:v>24000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Skymaps!$E$182:$BC$182</c:f>
              <c:numCache>
                <c:formatCode>General</c:formatCode>
                <c:ptCount val="51"/>
                <c:pt idx="23">
                  <c:v>0.96050918102264404</c:v>
                </c:pt>
                <c:pt idx="24">
                  <c:v>0.88213431835174561</c:v>
                </c:pt>
                <c:pt idx="25">
                  <c:v>0.81297498941421509</c:v>
                </c:pt>
                <c:pt idx="26">
                  <c:v>0.75164109468460083</c:v>
                </c:pt>
                <c:pt idx="27">
                  <c:v>0.69699501991271973</c:v>
                </c:pt>
                <c:pt idx="28">
                  <c:v>0.6480986475944519</c:v>
                </c:pt>
                <c:pt idx="29">
                  <c:v>0.60417282581329346</c:v>
                </c:pt>
                <c:pt idx="30">
                  <c:v>0.56456595659255981</c:v>
                </c:pt>
                <c:pt idx="31">
                  <c:v>0.52872985601425171</c:v>
                </c:pt>
                <c:pt idx="32">
                  <c:v>0.49620053172111511</c:v>
                </c:pt>
                <c:pt idx="33">
                  <c:v>0.46658343076705933</c:v>
                </c:pt>
                <c:pt idx="34">
                  <c:v>0.43954098224639893</c:v>
                </c:pt>
                <c:pt idx="35">
                  <c:v>0.41478312015533447</c:v>
                </c:pt>
                <c:pt idx="36">
                  <c:v>0.39205968379974365</c:v>
                </c:pt>
                <c:pt idx="37">
                  <c:v>0.37115365266799927</c:v>
                </c:pt>
                <c:pt idx="38">
                  <c:v>0.35187628865242004</c:v>
                </c:pt>
                <c:pt idx="39">
                  <c:v>0.33406269550323486</c:v>
                </c:pt>
                <c:pt idx="40">
                  <c:v>0.31756836175918579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2E9-4416-853D-DABBE93460CC}"/>
            </c:ext>
          </c:extLst>
        </c:ser>
        <c:ser>
          <c:idx val="25"/>
          <c:order val="25"/>
          <c:tx>
            <c:strRef>
              <c:f>Skymaps!$D$183</c:f>
              <c:strCache>
                <c:ptCount val="1"/>
                <c:pt idx="0">
                  <c:v>25000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Skymaps!$E$183:$BC$183</c:f>
              <c:numCache>
                <c:formatCode>General</c:formatCode>
                <c:ptCount val="51"/>
                <c:pt idx="24">
                  <c:v>0.92121195793151855</c:v>
                </c:pt>
                <c:pt idx="25">
                  <c:v>0.84898889064788818</c:v>
                </c:pt>
                <c:pt idx="26">
                  <c:v>0.78493791818618774</c:v>
                </c:pt>
                <c:pt idx="27">
                  <c:v>0.7278711199760437</c:v>
                </c:pt>
                <c:pt idx="28">
                  <c:v>0.67680877447128296</c:v>
                </c:pt>
                <c:pt idx="29">
                  <c:v>0.63093703985214233</c:v>
                </c:pt>
                <c:pt idx="30">
                  <c:v>0.58957558870315552</c:v>
                </c:pt>
                <c:pt idx="31">
                  <c:v>0.55215197801589966</c:v>
                </c:pt>
                <c:pt idx="32">
                  <c:v>0.51818174123764038</c:v>
                </c:pt>
                <c:pt idx="33">
                  <c:v>0.48725259304046631</c:v>
                </c:pt>
                <c:pt idx="34">
                  <c:v>0.45901215076446533</c:v>
                </c:pt>
                <c:pt idx="35">
                  <c:v>0.43315759301185608</c:v>
                </c:pt>
                <c:pt idx="36">
                  <c:v>0.40942752361297607</c:v>
                </c:pt>
                <c:pt idx="37">
                  <c:v>0.38759538531303406</c:v>
                </c:pt>
                <c:pt idx="38">
                  <c:v>0.36746403574943542</c:v>
                </c:pt>
                <c:pt idx="39">
                  <c:v>0.34886130690574646</c:v>
                </c:pt>
                <c:pt idx="40">
                  <c:v>0.33163630962371826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2E9-4416-853D-DABBE93460CC}"/>
            </c:ext>
          </c:extLst>
        </c:ser>
        <c:ser>
          <c:idx val="26"/>
          <c:order val="26"/>
          <c:tx>
            <c:strRef>
              <c:f>Skymaps!$D$184</c:f>
              <c:strCache>
                <c:ptCount val="1"/>
                <c:pt idx="0">
                  <c:v>26000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Skymaps!$E$184:$BC$184</c:f>
              <c:numCache>
                <c:formatCode>General</c:formatCode>
                <c:ptCount val="51"/>
                <c:pt idx="24">
                  <c:v>0.96236336231231689</c:v>
                </c:pt>
                <c:pt idx="25">
                  <c:v>0.88691413402557373</c:v>
                </c:pt>
                <c:pt idx="26">
                  <c:v>0.82000195980072021</c:v>
                </c:pt>
                <c:pt idx="27">
                  <c:v>0.76038587093353271</c:v>
                </c:pt>
                <c:pt idx="28">
                  <c:v>0.70704251527786255</c:v>
                </c:pt>
                <c:pt idx="29">
                  <c:v>0.65912169218063354</c:v>
                </c:pt>
                <c:pt idx="30">
                  <c:v>0.61591255664825439</c:v>
                </c:pt>
                <c:pt idx="31">
                  <c:v>0.57681715488433838</c:v>
                </c:pt>
                <c:pt idx="32">
                  <c:v>0.54132944345474243</c:v>
                </c:pt>
                <c:pt idx="33">
                  <c:v>0.5090186595916748</c:v>
                </c:pt>
                <c:pt idx="34">
                  <c:v>0.47951671481132507</c:v>
                </c:pt>
                <c:pt idx="35">
                  <c:v>0.45250722765922546</c:v>
                </c:pt>
                <c:pt idx="36">
                  <c:v>0.42771705985069275</c:v>
                </c:pt>
                <c:pt idx="37">
                  <c:v>0.40490967035293579</c:v>
                </c:pt>
                <c:pt idx="38">
                  <c:v>0.38387903571128845</c:v>
                </c:pt>
                <c:pt idx="39">
                  <c:v>0.36444532871246338</c:v>
                </c:pt>
                <c:pt idx="40">
                  <c:v>0.34645083546638489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2E9-4416-853D-DABBE93460CC}"/>
            </c:ext>
          </c:extLst>
        </c:ser>
        <c:ser>
          <c:idx val="27"/>
          <c:order val="27"/>
          <c:tx>
            <c:strRef>
              <c:f>Skymaps!$D$185</c:f>
              <c:strCache>
                <c:ptCount val="1"/>
                <c:pt idx="0">
                  <c:v>27000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Skymaps!$E$185:$BC$185</c:f>
              <c:numCache>
                <c:formatCode>General</c:formatCode>
                <c:ptCount val="51"/>
                <c:pt idx="25">
                  <c:v>0.92686909437179565</c:v>
                </c:pt>
                <c:pt idx="26">
                  <c:v>0.85694259405136108</c:v>
                </c:pt>
                <c:pt idx="27">
                  <c:v>0.79464083909988403</c:v>
                </c:pt>
                <c:pt idx="28">
                  <c:v>0.73889440298080444</c:v>
                </c:pt>
                <c:pt idx="29">
                  <c:v>0.68881469964981079</c:v>
                </c:pt>
                <c:pt idx="30">
                  <c:v>0.64365911483764648</c:v>
                </c:pt>
                <c:pt idx="31">
                  <c:v>0.60280251502990723</c:v>
                </c:pt>
                <c:pt idx="32">
                  <c:v>0.56571602821350098</c:v>
                </c:pt>
                <c:pt idx="33">
                  <c:v>0.53194969892501831</c:v>
                </c:pt>
                <c:pt idx="34">
                  <c:v>0.50111871957778931</c:v>
                </c:pt>
                <c:pt idx="35">
                  <c:v>0.4728924036026001</c:v>
                </c:pt>
                <c:pt idx="36">
                  <c:v>0.44698551297187805</c:v>
                </c:pt>
                <c:pt idx="37">
                  <c:v>0.42315062880516052</c:v>
                </c:pt>
                <c:pt idx="38">
                  <c:v>0.40117257833480835</c:v>
                </c:pt>
                <c:pt idx="39">
                  <c:v>0.38086336851119995</c:v>
                </c:pt>
                <c:pt idx="40">
                  <c:v>0.36205822229385376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2E9-4416-853D-DABBE93460CC}"/>
            </c:ext>
          </c:extLst>
        </c:ser>
        <c:ser>
          <c:idx val="28"/>
          <c:order val="28"/>
          <c:tx>
            <c:strRef>
              <c:f>Skymaps!$D$186</c:f>
              <c:strCache>
                <c:ptCount val="1"/>
                <c:pt idx="0">
                  <c:v>28000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Skymaps!$E$186:$BC$186</c:f>
              <c:numCache>
                <c:formatCode>General</c:formatCode>
                <c:ptCount val="51"/>
                <c:pt idx="25">
                  <c:v>0.96898084878921509</c:v>
                </c:pt>
                <c:pt idx="26">
                  <c:v>0.89587730169296265</c:v>
                </c:pt>
                <c:pt idx="27">
                  <c:v>0.83074492216110229</c:v>
                </c:pt>
                <c:pt idx="28">
                  <c:v>0.77246558666229248</c:v>
                </c:pt>
                <c:pt idx="29">
                  <c:v>0.72011059522628784</c:v>
                </c:pt>
                <c:pt idx="30">
                  <c:v>0.67290335893630981</c:v>
                </c:pt>
                <c:pt idx="31">
                  <c:v>0.63019043207168579</c:v>
                </c:pt>
                <c:pt idx="32">
                  <c:v>0.59141898155212402</c:v>
                </c:pt>
                <c:pt idx="33">
                  <c:v>0.55611848831176758</c:v>
                </c:pt>
                <c:pt idx="34">
                  <c:v>0.52388674020767212</c:v>
                </c:pt>
                <c:pt idx="35">
                  <c:v>0.49437800049781799</c:v>
                </c:pt>
                <c:pt idx="36">
                  <c:v>0.46729400753974915</c:v>
                </c:pt>
                <c:pt idx="37">
                  <c:v>0.44237622618675232</c:v>
                </c:pt>
                <c:pt idx="38">
                  <c:v>0.41939958930015564</c:v>
                </c:pt>
                <c:pt idx="39">
                  <c:v>0.39816766977310181</c:v>
                </c:pt>
                <c:pt idx="40">
                  <c:v>0.37850815057754517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2E9-4416-853D-DABBE93460CC}"/>
            </c:ext>
          </c:extLst>
        </c:ser>
        <c:ser>
          <c:idx val="29"/>
          <c:order val="29"/>
          <c:tx>
            <c:strRef>
              <c:f>Skymaps!$D$187</c:f>
              <c:strCache>
                <c:ptCount val="1"/>
                <c:pt idx="0">
                  <c:v>29000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Skymaps!$E$187:$BC$187</c:f>
              <c:numCache>
                <c:formatCode>General</c:formatCode>
                <c:ptCount val="51"/>
                <c:pt idx="26">
                  <c:v>0.93693172931671143</c:v>
                </c:pt>
                <c:pt idx="27">
                  <c:v>0.86881464719772339</c:v>
                </c:pt>
                <c:pt idx="28">
                  <c:v>0.80786460638046265</c:v>
                </c:pt>
                <c:pt idx="29">
                  <c:v>0.75311040878295898</c:v>
                </c:pt>
                <c:pt idx="30">
                  <c:v>0.70373982191085815</c:v>
                </c:pt>
                <c:pt idx="31">
                  <c:v>0.65906959772109985</c:v>
                </c:pt>
                <c:pt idx="32">
                  <c:v>0.61852133274078369</c:v>
                </c:pt>
                <c:pt idx="33">
                  <c:v>0.58160316944122314</c:v>
                </c:pt>
                <c:pt idx="34">
                  <c:v>0.54789435863494873</c:v>
                </c:pt>
                <c:pt idx="35">
                  <c:v>0.51703333854675293</c:v>
                </c:pt>
                <c:pt idx="36">
                  <c:v>0.48870819807052612</c:v>
                </c:pt>
                <c:pt idx="37">
                  <c:v>0.46264854073524475</c:v>
                </c:pt>
                <c:pt idx="38">
                  <c:v>0.43861904740333557</c:v>
                </c:pt>
                <c:pt idx="39">
                  <c:v>0.41641408205032349</c:v>
                </c:pt>
                <c:pt idx="40">
                  <c:v>0.3958536684513092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2E9-4416-853D-DABBE93460CC}"/>
            </c:ext>
          </c:extLst>
        </c:ser>
        <c:ser>
          <c:idx val="30"/>
          <c:order val="30"/>
          <c:tx>
            <c:strRef>
              <c:f>Skymaps!$D$188</c:f>
              <c:strCache>
                <c:ptCount val="1"/>
                <c:pt idx="0">
                  <c:v>30000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Skymaps!$E$188:$BC$188</c:f>
              <c:numCache>
                <c:formatCode>General</c:formatCode>
                <c:ptCount val="51"/>
                <c:pt idx="27">
                  <c:v>0.90897512435913086</c:v>
                </c:pt>
                <c:pt idx="28">
                  <c:v>0.84520775079727173</c:v>
                </c:pt>
                <c:pt idx="29">
                  <c:v>0.78792256116867065</c:v>
                </c:pt>
                <c:pt idx="30">
                  <c:v>0.73626989126205444</c:v>
                </c:pt>
                <c:pt idx="31">
                  <c:v>0.68953472375869751</c:v>
                </c:pt>
                <c:pt idx="32">
                  <c:v>0.64711219072341919</c:v>
                </c:pt>
                <c:pt idx="33">
                  <c:v>0.60848748683929443</c:v>
                </c:pt>
                <c:pt idx="34">
                  <c:v>0.57322049140930176</c:v>
                </c:pt>
                <c:pt idx="35">
                  <c:v>0.54093295335769653</c:v>
                </c:pt>
                <c:pt idx="36">
                  <c:v>0.5112985372543335</c:v>
                </c:pt>
                <c:pt idx="37">
                  <c:v>0.48403424024581909</c:v>
                </c:pt>
                <c:pt idx="38">
                  <c:v>0.45889398455619812</c:v>
                </c:pt>
                <c:pt idx="39">
                  <c:v>0.43566262722015381</c:v>
                </c:pt>
                <c:pt idx="40">
                  <c:v>0.41415181756019592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2E9-4416-853D-DABBE93460CC}"/>
            </c:ext>
          </c:extLst>
        </c:ser>
        <c:ser>
          <c:idx val="31"/>
          <c:order val="31"/>
          <c:tx>
            <c:strRef>
              <c:f>Skymaps!$D$189</c:f>
              <c:strCache>
                <c:ptCount val="1"/>
                <c:pt idx="0">
                  <c:v>31000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Skymaps!$E$189:$BC$189</c:f>
              <c:numCache>
                <c:formatCode>General</c:formatCode>
                <c:ptCount val="51"/>
                <c:pt idx="27">
                  <c:v>0.95136064291000366</c:v>
                </c:pt>
                <c:pt idx="28">
                  <c:v>0.88461977243423462</c:v>
                </c:pt>
                <c:pt idx="29">
                  <c:v>0.82466340065002441</c:v>
                </c:pt>
                <c:pt idx="30">
                  <c:v>0.77060216665267944</c:v>
                </c:pt>
                <c:pt idx="31">
                  <c:v>0.72168773412704468</c:v>
                </c:pt>
                <c:pt idx="32">
                  <c:v>0.67728698253631592</c:v>
                </c:pt>
                <c:pt idx="33">
                  <c:v>0.63686126470565796</c:v>
                </c:pt>
                <c:pt idx="34">
                  <c:v>0.59994971752166748</c:v>
                </c:pt>
                <c:pt idx="35">
                  <c:v>0.56615662574768066</c:v>
                </c:pt>
                <c:pt idx="36">
                  <c:v>0.53514033555984497</c:v>
                </c:pt>
                <c:pt idx="37">
                  <c:v>0.50660473108291626</c:v>
                </c:pt>
                <c:pt idx="38">
                  <c:v>0.48029217123985291</c:v>
                </c:pt>
                <c:pt idx="39">
                  <c:v>0.45597758889198303</c:v>
                </c:pt>
                <c:pt idx="40">
                  <c:v>0.4334636926651001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2E9-4416-853D-DABBE93460CC}"/>
            </c:ext>
          </c:extLst>
        </c:ser>
        <c:ser>
          <c:idx val="32"/>
          <c:order val="32"/>
          <c:tx>
            <c:strRef>
              <c:f>Skymaps!$D$190</c:f>
              <c:strCache>
                <c:ptCount val="1"/>
                <c:pt idx="0">
                  <c:v>32000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Skymaps!$E$190:$BC$190</c:f>
              <c:numCache>
                <c:formatCode>General</c:formatCode>
                <c:ptCount val="51"/>
                <c:pt idx="28">
                  <c:v>0.9262346625328064</c:v>
                </c:pt>
                <c:pt idx="29">
                  <c:v>0.86345767974853516</c:v>
                </c:pt>
                <c:pt idx="30">
                  <c:v>0.80685323476791382</c:v>
                </c:pt>
                <c:pt idx="31">
                  <c:v>0.75563782453536987</c:v>
                </c:pt>
                <c:pt idx="32">
                  <c:v>0.70914840698242188</c:v>
                </c:pt>
                <c:pt idx="33">
                  <c:v>0.6668209433555603</c:v>
                </c:pt>
                <c:pt idx="34">
                  <c:v>0.62817299365997314</c:v>
                </c:pt>
                <c:pt idx="35">
                  <c:v>0.59279012680053711</c:v>
                </c:pt>
                <c:pt idx="36">
                  <c:v>0.56031477451324463</c:v>
                </c:pt>
                <c:pt idx="37">
                  <c:v>0.53043681383132935</c:v>
                </c:pt>
                <c:pt idx="38">
                  <c:v>0.50288641452789307</c:v>
                </c:pt>
                <c:pt idx="39">
                  <c:v>0.47742795944213867</c:v>
                </c:pt>
                <c:pt idx="40">
                  <c:v>0.45385497808456421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2E9-4416-853D-DABBE93460CC}"/>
            </c:ext>
          </c:extLst>
        </c:ser>
        <c:ser>
          <c:idx val="33"/>
          <c:order val="33"/>
          <c:tx>
            <c:strRef>
              <c:f>Skymaps!$D$191</c:f>
              <c:strCache>
                <c:ptCount val="1"/>
                <c:pt idx="0">
                  <c:v>33000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Skymaps!$E$191:$BC$191</c:f>
              <c:numCache>
                <c:formatCode>General</c:formatCode>
                <c:ptCount val="51"/>
                <c:pt idx="29">
                  <c:v>0.90443980693817139</c:v>
                </c:pt>
                <c:pt idx="30">
                  <c:v>0.84514880180358887</c:v>
                </c:pt>
                <c:pt idx="31">
                  <c:v>0.79150247573852539</c:v>
                </c:pt>
                <c:pt idx="32">
                  <c:v>0.74280655384063721</c:v>
                </c:pt>
                <c:pt idx="33">
                  <c:v>0.69847005605697632</c:v>
                </c:pt>
                <c:pt idx="34">
                  <c:v>0.65798777341842651</c:v>
                </c:pt>
                <c:pt idx="35">
                  <c:v>0.62092560529708862</c:v>
                </c:pt>
                <c:pt idx="36">
                  <c:v>0.58690887689590454</c:v>
                </c:pt>
                <c:pt idx="37">
                  <c:v>0.55561280250549316</c:v>
                </c:pt>
                <c:pt idx="38">
                  <c:v>0.52675473690032959</c:v>
                </c:pt>
                <c:pt idx="39">
                  <c:v>0.50008797645568848</c:v>
                </c:pt>
                <c:pt idx="40">
                  <c:v>0.47539615631103516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2E9-4416-853D-DABBE93460CC}"/>
            </c:ext>
          </c:extLst>
        </c:ser>
        <c:ser>
          <c:idx val="34"/>
          <c:order val="34"/>
          <c:tx>
            <c:strRef>
              <c:f>Skymaps!$D$192</c:f>
              <c:strCache>
                <c:ptCount val="1"/>
                <c:pt idx="0">
                  <c:v>34000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Skymaps!$E$192:$BC$192</c:f>
              <c:numCache>
                <c:formatCode>General</c:formatCode>
                <c:ptCount val="51"/>
                <c:pt idx="30">
                  <c:v>0.88562333583831787</c:v>
                </c:pt>
                <c:pt idx="31">
                  <c:v>0.82940793037414551</c:v>
                </c:pt>
                <c:pt idx="32">
                  <c:v>0.77837991714477539</c:v>
                </c:pt>
                <c:pt idx="33">
                  <c:v>0.73192018270492554</c:v>
                </c:pt>
                <c:pt idx="34">
                  <c:v>0.68949919939041138</c:v>
                </c:pt>
                <c:pt idx="35">
                  <c:v>0.6506621241569519</c:v>
                </c:pt>
                <c:pt idx="36">
                  <c:v>0.61501622200012207</c:v>
                </c:pt>
                <c:pt idx="37">
                  <c:v>0.58222132921218872</c:v>
                </c:pt>
                <c:pt idx="38">
                  <c:v>0.55198132991790771</c:v>
                </c:pt>
                <c:pt idx="39">
                  <c:v>0.52403748035430908</c:v>
                </c:pt>
                <c:pt idx="40">
                  <c:v>0.49816316366195679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2E9-4416-853D-DABBE93460CC}"/>
            </c:ext>
          </c:extLst>
        </c:ser>
        <c:ser>
          <c:idx val="35"/>
          <c:order val="35"/>
          <c:tx>
            <c:strRef>
              <c:f>Skymaps!$D$193</c:f>
              <c:strCache>
                <c:ptCount val="1"/>
                <c:pt idx="0">
                  <c:v>35000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Skymaps!$E$193:$BC$193</c:f>
              <c:numCache>
                <c:formatCode>General</c:formatCode>
                <c:ptCount val="51"/>
                <c:pt idx="31">
                  <c:v>0.86948990821838379</c:v>
                </c:pt>
                <c:pt idx="32">
                  <c:v>0.81599599123001099</c:v>
                </c:pt>
                <c:pt idx="33">
                  <c:v>0.76729094982147217</c:v>
                </c:pt>
                <c:pt idx="34">
                  <c:v>0.72281992435455322</c:v>
                </c:pt>
                <c:pt idx="35">
                  <c:v>0.68210601806640625</c:v>
                </c:pt>
                <c:pt idx="36">
                  <c:v>0.64473754167556763</c:v>
                </c:pt>
                <c:pt idx="37">
                  <c:v>0.61035782098770142</c:v>
                </c:pt>
                <c:pt idx="38">
                  <c:v>0.57865643501281738</c:v>
                </c:pt>
                <c:pt idx="39">
                  <c:v>0.5493621826171875</c:v>
                </c:pt>
                <c:pt idx="40">
                  <c:v>0.52223742008209229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2E9-4416-853D-DABBE93460CC}"/>
            </c:ext>
          </c:extLst>
        </c:ser>
        <c:ser>
          <c:idx val="36"/>
          <c:order val="36"/>
          <c:tx>
            <c:strRef>
              <c:f>Skymaps!$D$194</c:f>
              <c:strCache>
                <c:ptCount val="1"/>
                <c:pt idx="0">
                  <c:v>36000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Skymaps!$E$194:$BC$194</c:f>
              <c:numCache>
                <c:formatCode>General</c:formatCode>
                <c:ptCount val="51"/>
                <c:pt idx="33">
                  <c:v>0.80471140146255493</c:v>
                </c:pt>
                <c:pt idx="34">
                  <c:v>0.75807160139083862</c:v>
                </c:pt>
                <c:pt idx="35">
                  <c:v>0.71537202596664429</c:v>
                </c:pt>
                <c:pt idx="36">
                  <c:v>0.6761811375617981</c:v>
                </c:pt>
                <c:pt idx="37">
                  <c:v>0.64012467861175537</c:v>
                </c:pt>
                <c:pt idx="38">
                  <c:v>0.60687720775604248</c:v>
                </c:pt>
                <c:pt idx="39">
                  <c:v>0.57615435123443604</c:v>
                </c:pt>
                <c:pt idx="40">
                  <c:v>0.5477067232131958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B2E9-4416-853D-DABBE93460CC}"/>
            </c:ext>
          </c:extLst>
        </c:ser>
        <c:ser>
          <c:idx val="37"/>
          <c:order val="37"/>
          <c:tx>
            <c:strRef>
              <c:f>Skymaps!$D$195</c:f>
              <c:strCache>
                <c:ptCount val="1"/>
                <c:pt idx="0">
                  <c:v>37000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Skymaps!$E$195:$BC$195</c:f>
              <c:numCache>
                <c:formatCode>General</c:formatCode>
                <c:ptCount val="51"/>
                <c:pt idx="35">
                  <c:v>0.75046896934509277</c:v>
                </c:pt>
                <c:pt idx="36">
                  <c:v>0.70935529470443726</c:v>
                </c:pt>
                <c:pt idx="37">
                  <c:v>0.67152994871139526</c:v>
                </c:pt>
                <c:pt idx="38">
                  <c:v>0.63665133714675903</c:v>
                </c:pt>
                <c:pt idx="39">
                  <c:v>0.60442113876342773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B2E9-4416-853D-DABBE93460CC}"/>
            </c:ext>
          </c:extLst>
        </c:ser>
        <c:ser>
          <c:idx val="38"/>
          <c:order val="38"/>
          <c:tx>
            <c:strRef>
              <c:f>Skymaps!$D$196</c:f>
              <c:strCache>
                <c:ptCount val="1"/>
                <c:pt idx="0">
                  <c:v>38000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Skymaps!$E$196:$BC$196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6-B2E9-4416-853D-DABBE93460CC}"/>
            </c:ext>
          </c:extLst>
        </c:ser>
        <c:ser>
          <c:idx val="39"/>
          <c:order val="39"/>
          <c:tx>
            <c:strRef>
              <c:f>Skymaps!$D$197</c:f>
              <c:strCache>
                <c:ptCount val="1"/>
                <c:pt idx="0">
                  <c:v>39000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Skymaps!$E$197:$BC$197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B2E9-4416-853D-DABBE93460CC}"/>
            </c:ext>
          </c:extLst>
        </c:ser>
        <c:ser>
          <c:idx val="40"/>
          <c:order val="40"/>
          <c:tx>
            <c:strRef>
              <c:f>Skymaps!$D$198</c:f>
              <c:strCache>
                <c:ptCount val="1"/>
                <c:pt idx="0">
                  <c:v>40000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Skymaps!$E$198:$BC$198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B2E9-4416-853D-DABBE93460CC}"/>
            </c:ext>
          </c:extLst>
        </c:ser>
        <c:ser>
          <c:idx val="41"/>
          <c:order val="41"/>
          <c:tx>
            <c:strRef>
              <c:f>Skymaps!$D$199</c:f>
              <c:strCache>
                <c:ptCount val="1"/>
                <c:pt idx="0">
                  <c:v>41000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Skymaps!$E$199:$BC$199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B2E9-4416-853D-DABBE93460CC}"/>
            </c:ext>
          </c:extLst>
        </c:ser>
        <c:ser>
          <c:idx val="42"/>
          <c:order val="42"/>
          <c:tx>
            <c:strRef>
              <c:f>Skymaps!$D$200</c:f>
              <c:strCache>
                <c:ptCount val="1"/>
                <c:pt idx="0">
                  <c:v>42000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Skymaps!$E$200:$BC$200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B2E9-4416-853D-DABBE93460CC}"/>
            </c:ext>
          </c:extLst>
        </c:ser>
        <c:ser>
          <c:idx val="43"/>
          <c:order val="43"/>
          <c:tx>
            <c:strRef>
              <c:f>Skymaps!$D$201</c:f>
              <c:strCache>
                <c:ptCount val="1"/>
                <c:pt idx="0">
                  <c:v>43000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Skymaps!$E$201:$BC$201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B2E9-4416-853D-DABBE93460CC}"/>
            </c:ext>
          </c:extLst>
        </c:ser>
        <c:ser>
          <c:idx val="44"/>
          <c:order val="44"/>
          <c:tx>
            <c:strRef>
              <c:f>Skymaps!$D$202</c:f>
              <c:strCache>
                <c:ptCount val="1"/>
                <c:pt idx="0">
                  <c:v>44000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Skymaps!$E$202:$BC$202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B2E9-4416-853D-DABBE93460CC}"/>
            </c:ext>
          </c:extLst>
        </c:ser>
        <c:ser>
          <c:idx val="45"/>
          <c:order val="45"/>
          <c:tx>
            <c:strRef>
              <c:f>Skymaps!$D$203</c:f>
              <c:strCache>
                <c:ptCount val="1"/>
                <c:pt idx="0">
                  <c:v>45000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Skymaps!$E$203:$BC$203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B2E9-4416-853D-DABBE93460CC}"/>
            </c:ext>
          </c:extLst>
        </c:ser>
        <c:ser>
          <c:idx val="46"/>
          <c:order val="46"/>
          <c:tx>
            <c:strRef>
              <c:f>Skymaps!$D$204</c:f>
              <c:strCache>
                <c:ptCount val="1"/>
                <c:pt idx="0">
                  <c:v>46000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Skymaps!$E$204:$BC$204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B2E9-4416-853D-DABBE93460CC}"/>
            </c:ext>
          </c:extLst>
        </c:ser>
        <c:ser>
          <c:idx val="47"/>
          <c:order val="47"/>
          <c:tx>
            <c:strRef>
              <c:f>Skymaps!$D$205</c:f>
              <c:strCache>
                <c:ptCount val="1"/>
                <c:pt idx="0">
                  <c:v>47000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Skymaps!$E$205:$BC$205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B2E9-4416-853D-DABBE93460CC}"/>
            </c:ext>
          </c:extLst>
        </c:ser>
        <c:ser>
          <c:idx val="48"/>
          <c:order val="48"/>
          <c:tx>
            <c:strRef>
              <c:f>Skymaps!$D$206</c:f>
              <c:strCache>
                <c:ptCount val="1"/>
                <c:pt idx="0">
                  <c:v>48000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Skymaps!$E$206:$BC$206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B2E9-4416-853D-DABBE93460CC}"/>
            </c:ext>
          </c:extLst>
        </c:ser>
        <c:ser>
          <c:idx val="49"/>
          <c:order val="49"/>
          <c:tx>
            <c:strRef>
              <c:f>Skymaps!$D$207</c:f>
              <c:strCache>
                <c:ptCount val="1"/>
                <c:pt idx="0">
                  <c:v>49000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Skymaps!$E$207:$BC$207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B2E9-4416-853D-DABBE93460CC}"/>
            </c:ext>
          </c:extLst>
        </c:ser>
        <c:ser>
          <c:idx val="50"/>
          <c:order val="50"/>
          <c:tx>
            <c:strRef>
              <c:f>Skymaps!$D$208</c:f>
              <c:strCache>
                <c:ptCount val="1"/>
                <c:pt idx="0">
                  <c:v>50000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Skymaps!$E$208:$BC$208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B2E9-4416-853D-DABBE93460CC}"/>
            </c:ext>
          </c:extLst>
        </c:ser>
        <c:bandFmts/>
        <c:axId val="457659624"/>
        <c:axId val="457668808"/>
        <c:axId val="621233168"/>
      </c:surfaceChart>
      <c:catAx>
        <c:axId val="457659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8808"/>
        <c:crosses val="autoZero"/>
        <c:auto val="1"/>
        <c:lblAlgn val="ctr"/>
        <c:lblOffset val="100"/>
        <c:noMultiLvlLbl val="0"/>
      </c:catAx>
      <c:valAx>
        <c:axId val="457668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457659624"/>
        <c:crosses val="autoZero"/>
        <c:crossBetween val="midCat"/>
        <c:majorUnit val="0.1"/>
      </c:valAx>
      <c:serAx>
        <c:axId val="62123316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8808"/>
        <c:crosses val="autoZero"/>
      </c:ser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Skymaps!$D$210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Skymaps!$E$210:$BC$210</c:f>
              <c:numCache>
                <c:formatCode>General</c:formatCode>
                <c:ptCount val="51"/>
                <c:pt idx="13">
                  <c:v>0.34916916489601135</c:v>
                </c:pt>
                <c:pt idx="14">
                  <c:v>0.14642694592475891</c:v>
                </c:pt>
                <c:pt idx="15">
                  <c:v>6.5867632627487183E-2</c:v>
                </c:pt>
                <c:pt idx="16">
                  <c:v>4.8189159482717514E-2</c:v>
                </c:pt>
                <c:pt idx="17">
                  <c:v>4.0582861751317978E-2</c:v>
                </c:pt>
                <c:pt idx="18">
                  <c:v>3.5477086901664734E-2</c:v>
                </c:pt>
                <c:pt idx="19">
                  <c:v>3.1795702874660492E-2</c:v>
                </c:pt>
                <c:pt idx="20">
                  <c:v>2.8809618204832077E-2</c:v>
                </c:pt>
                <c:pt idx="21">
                  <c:v>2.7063712477684021E-2</c:v>
                </c:pt>
                <c:pt idx="22">
                  <c:v>2.5438904762268066E-2</c:v>
                </c:pt>
                <c:pt idx="23">
                  <c:v>2.3958820849657059E-2</c:v>
                </c:pt>
                <c:pt idx="24">
                  <c:v>2.3052912205457687E-2</c:v>
                </c:pt>
                <c:pt idx="25">
                  <c:v>2.2164363414049149E-2</c:v>
                </c:pt>
                <c:pt idx="26">
                  <c:v>2.1625827997922897E-2</c:v>
                </c:pt>
                <c:pt idx="27">
                  <c:v>2.0968195050954819E-2</c:v>
                </c:pt>
                <c:pt idx="28">
                  <c:v>2.0706972107291222E-2</c:v>
                </c:pt>
                <c:pt idx="29">
                  <c:v>2.0312696695327759E-2</c:v>
                </c:pt>
                <c:pt idx="30">
                  <c:v>2.0037304610013962E-2</c:v>
                </c:pt>
                <c:pt idx="31">
                  <c:v>1.9954407587647438E-2</c:v>
                </c:pt>
                <c:pt idx="32">
                  <c:v>2.001478336751461E-2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69-4984-B90B-6AB10302B5ED}"/>
            </c:ext>
          </c:extLst>
        </c:ser>
        <c:ser>
          <c:idx val="1"/>
          <c:order val="1"/>
          <c:tx>
            <c:strRef>
              <c:f>Skymaps!$D$211</c:f>
              <c:strCache>
                <c:ptCount val="1"/>
                <c:pt idx="0">
                  <c:v>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Skymaps!$E$211:$BC$211</c:f>
              <c:numCache>
                <c:formatCode>General</c:formatCode>
                <c:ptCount val="51"/>
                <c:pt idx="14">
                  <c:v>0.18318821489810944</c:v>
                </c:pt>
                <c:pt idx="15">
                  <c:v>7.9332329332828522E-2</c:v>
                </c:pt>
                <c:pt idx="16">
                  <c:v>5.2396930754184723E-2</c:v>
                </c:pt>
                <c:pt idx="17">
                  <c:v>4.3016843497753143E-2</c:v>
                </c:pt>
                <c:pt idx="18">
                  <c:v>3.6745492368936539E-2</c:v>
                </c:pt>
                <c:pt idx="19">
                  <c:v>3.257409855723381E-2</c:v>
                </c:pt>
                <c:pt idx="20">
                  <c:v>2.9497429728507996E-2</c:v>
                </c:pt>
                <c:pt idx="21">
                  <c:v>2.7450496330857277E-2</c:v>
                </c:pt>
                <c:pt idx="22">
                  <c:v>2.579747699201107E-2</c:v>
                </c:pt>
                <c:pt idx="23">
                  <c:v>2.4566762149333954E-2</c:v>
                </c:pt>
                <c:pt idx="24">
                  <c:v>2.3544600233435631E-2</c:v>
                </c:pt>
                <c:pt idx="25">
                  <c:v>2.2474277764558792E-2</c:v>
                </c:pt>
                <c:pt idx="26">
                  <c:v>2.2017082199454308E-2</c:v>
                </c:pt>
                <c:pt idx="27">
                  <c:v>2.1243894472718239E-2</c:v>
                </c:pt>
                <c:pt idx="28">
                  <c:v>2.080906555056572E-2</c:v>
                </c:pt>
                <c:pt idx="29">
                  <c:v>2.0525800064206123E-2</c:v>
                </c:pt>
                <c:pt idx="30">
                  <c:v>2.0177070051431656E-2</c:v>
                </c:pt>
                <c:pt idx="31">
                  <c:v>2.0036971196532249E-2</c:v>
                </c:pt>
                <c:pt idx="32">
                  <c:v>2.0113581791520119E-2</c:v>
                </c:pt>
                <c:pt idx="33">
                  <c:v>2.0090792328119278E-2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69-4984-B90B-6AB10302B5ED}"/>
            </c:ext>
          </c:extLst>
        </c:ser>
        <c:ser>
          <c:idx val="2"/>
          <c:order val="2"/>
          <c:tx>
            <c:strRef>
              <c:f>Skymaps!$D$212</c:f>
              <c:strCache>
                <c:ptCount val="1"/>
                <c:pt idx="0">
                  <c:v>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Skymaps!$E$212:$BC$212</c:f>
              <c:numCache>
                <c:formatCode>General</c:formatCode>
                <c:ptCount val="51"/>
                <c:pt idx="14">
                  <c:v>0.22804896533489227</c:v>
                </c:pt>
                <c:pt idx="15">
                  <c:v>9.8394826054573059E-2</c:v>
                </c:pt>
                <c:pt idx="16">
                  <c:v>5.456157773733139E-2</c:v>
                </c:pt>
                <c:pt idx="17">
                  <c:v>4.4938880950212479E-2</c:v>
                </c:pt>
                <c:pt idx="18">
                  <c:v>3.8929156959056854E-2</c:v>
                </c:pt>
                <c:pt idx="19">
                  <c:v>3.3991672098636627E-2</c:v>
                </c:pt>
                <c:pt idx="20">
                  <c:v>3.0397793278098106E-2</c:v>
                </c:pt>
                <c:pt idx="21">
                  <c:v>2.8086582198739052E-2</c:v>
                </c:pt>
                <c:pt idx="22">
                  <c:v>2.6497909799218178E-2</c:v>
                </c:pt>
                <c:pt idx="23">
                  <c:v>2.5356488302350044E-2</c:v>
                </c:pt>
                <c:pt idx="24">
                  <c:v>2.3805733770132065E-2</c:v>
                </c:pt>
                <c:pt idx="25">
                  <c:v>2.2946186363697052E-2</c:v>
                </c:pt>
                <c:pt idx="26">
                  <c:v>2.2163320332765579E-2</c:v>
                </c:pt>
                <c:pt idx="27">
                  <c:v>2.1623143926262856E-2</c:v>
                </c:pt>
                <c:pt idx="28">
                  <c:v>2.0994357764720917E-2</c:v>
                </c:pt>
                <c:pt idx="29">
                  <c:v>2.0734012126922607E-2</c:v>
                </c:pt>
                <c:pt idx="30">
                  <c:v>2.0354317501187325E-2</c:v>
                </c:pt>
                <c:pt idx="31">
                  <c:v>2.0150376483798027E-2</c:v>
                </c:pt>
                <c:pt idx="32">
                  <c:v>2.0058022812008858E-2</c:v>
                </c:pt>
                <c:pt idx="33">
                  <c:v>2.0187513902783394E-2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69-4984-B90B-6AB10302B5ED}"/>
            </c:ext>
          </c:extLst>
        </c:ser>
        <c:ser>
          <c:idx val="3"/>
          <c:order val="3"/>
          <c:tx>
            <c:strRef>
              <c:f>Skymaps!$D$213</c:f>
              <c:strCache>
                <c:ptCount val="1"/>
                <c:pt idx="0">
                  <c:v>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Skymaps!$E$213:$BC$213</c:f>
              <c:numCache>
                <c:formatCode>General</c:formatCode>
                <c:ptCount val="51"/>
                <c:pt idx="14">
                  <c:v>0.28196889162063599</c:v>
                </c:pt>
                <c:pt idx="15">
                  <c:v>0.12376274913549423</c:v>
                </c:pt>
                <c:pt idx="16">
                  <c:v>6.0710456222295761E-2</c:v>
                </c:pt>
                <c:pt idx="17">
                  <c:v>4.7568138688802719E-2</c:v>
                </c:pt>
                <c:pt idx="18">
                  <c:v>4.0267746895551682E-2</c:v>
                </c:pt>
                <c:pt idx="19">
                  <c:v>3.5493791103363037E-2</c:v>
                </c:pt>
                <c:pt idx="20">
                  <c:v>3.2168775796890259E-2</c:v>
                </c:pt>
                <c:pt idx="21">
                  <c:v>2.923080138862133E-2</c:v>
                </c:pt>
                <c:pt idx="22">
                  <c:v>2.7279531583189964E-2</c:v>
                </c:pt>
                <c:pt idx="23">
                  <c:v>2.5580970570445061E-2</c:v>
                </c:pt>
                <c:pt idx="24">
                  <c:v>2.4329002946615219E-2</c:v>
                </c:pt>
                <c:pt idx="25">
                  <c:v>2.349851094186306E-2</c:v>
                </c:pt>
                <c:pt idx="26">
                  <c:v>2.2454174235463142E-2</c:v>
                </c:pt>
                <c:pt idx="27">
                  <c:v>2.2041622549295425E-2</c:v>
                </c:pt>
                <c:pt idx="28">
                  <c:v>2.1273918449878693E-2</c:v>
                </c:pt>
                <c:pt idx="29">
                  <c:v>2.0842993631958961E-2</c:v>
                </c:pt>
                <c:pt idx="30">
                  <c:v>2.0573791116476059E-2</c:v>
                </c:pt>
                <c:pt idx="31">
                  <c:v>2.02986691147089E-2</c:v>
                </c:pt>
                <c:pt idx="32">
                  <c:v>2.0148796960711479E-2</c:v>
                </c:pt>
                <c:pt idx="33">
                  <c:v>2.0094968378543854E-2</c:v>
                </c:pt>
                <c:pt idx="34">
                  <c:v>2.0265752449631691E-2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69-4984-B90B-6AB10302B5ED}"/>
            </c:ext>
          </c:extLst>
        </c:ser>
        <c:ser>
          <c:idx val="4"/>
          <c:order val="4"/>
          <c:tx>
            <c:strRef>
              <c:f>Skymaps!$D$214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Skymaps!$E$214:$BC$214</c:f>
              <c:numCache>
                <c:formatCode>General</c:formatCode>
                <c:ptCount val="51"/>
                <c:pt idx="14">
                  <c:v>0.34601375460624695</c:v>
                </c:pt>
                <c:pt idx="15">
                  <c:v>0.15622340142726898</c:v>
                </c:pt>
                <c:pt idx="16">
                  <c:v>7.1735545992851257E-2</c:v>
                </c:pt>
                <c:pt idx="17">
                  <c:v>5.073857307434082E-2</c:v>
                </c:pt>
                <c:pt idx="18">
                  <c:v>4.2954068630933762E-2</c:v>
                </c:pt>
                <c:pt idx="19">
                  <c:v>3.6858569830656052E-2</c:v>
                </c:pt>
                <c:pt idx="20">
                  <c:v>3.2740645110607147E-2</c:v>
                </c:pt>
                <c:pt idx="21">
                  <c:v>2.970845066010952E-2</c:v>
                </c:pt>
                <c:pt idx="22">
                  <c:v>2.767457626760006E-2</c:v>
                </c:pt>
                <c:pt idx="23">
                  <c:v>2.6140365749597549E-2</c:v>
                </c:pt>
                <c:pt idx="24">
                  <c:v>2.5149337947368622E-2</c:v>
                </c:pt>
                <c:pt idx="25">
                  <c:v>2.3696916177868843E-2</c:v>
                </c:pt>
                <c:pt idx="26">
                  <c:v>2.2908983752131462E-2</c:v>
                </c:pt>
                <c:pt idx="27">
                  <c:v>2.218187041580677E-2</c:v>
                </c:pt>
                <c:pt idx="28">
                  <c:v>2.1660082042217255E-2</c:v>
                </c:pt>
                <c:pt idx="29">
                  <c:v>2.1038316190242767E-2</c:v>
                </c:pt>
                <c:pt idx="30">
                  <c:v>2.0755857229232788E-2</c:v>
                </c:pt>
                <c:pt idx="31">
                  <c:v>2.0486366003751755E-2</c:v>
                </c:pt>
                <c:pt idx="32">
                  <c:v>2.0272225141525269E-2</c:v>
                </c:pt>
                <c:pt idx="33">
                  <c:v>2.0166242495179176E-2</c:v>
                </c:pt>
                <c:pt idx="34">
                  <c:v>2.036445215344429E-2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69-4984-B90B-6AB10302B5ED}"/>
            </c:ext>
          </c:extLst>
        </c:ser>
        <c:ser>
          <c:idx val="5"/>
          <c:order val="5"/>
          <c:tx>
            <c:strRef>
              <c:f>Skymaps!$D$215</c:f>
              <c:strCache>
                <c:ptCount val="1"/>
                <c:pt idx="0">
                  <c:v>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Skymaps!$E$215:$BC$215</c:f>
              <c:numCache>
                <c:formatCode>General</c:formatCode>
                <c:ptCount val="51"/>
                <c:pt idx="15">
                  <c:v>0.19665366411209106</c:v>
                </c:pt>
                <c:pt idx="16">
                  <c:v>8.8276565074920654E-2</c:v>
                </c:pt>
                <c:pt idx="17">
                  <c:v>5.3637802600860596E-2</c:v>
                </c:pt>
                <c:pt idx="18">
                  <c:v>4.4649161398410797E-2</c:v>
                </c:pt>
                <c:pt idx="19">
                  <c:v>3.8933519273996353E-2</c:v>
                </c:pt>
                <c:pt idx="20">
                  <c:v>3.4435663372278214E-2</c:v>
                </c:pt>
                <c:pt idx="21">
                  <c:v>3.0927360057830811E-2</c:v>
                </c:pt>
                <c:pt idx="22">
                  <c:v>2.8558200225234032E-2</c:v>
                </c:pt>
                <c:pt idx="23">
                  <c:v>2.7073973789811134E-2</c:v>
                </c:pt>
                <c:pt idx="24">
                  <c:v>2.5444027036428452E-2</c:v>
                </c:pt>
                <c:pt idx="25">
                  <c:v>2.4142913520336151E-2</c:v>
                </c:pt>
                <c:pt idx="26">
                  <c:v>2.3500174283981323E-2</c:v>
                </c:pt>
                <c:pt idx="27">
                  <c:v>2.2466016933321953E-2</c:v>
                </c:pt>
                <c:pt idx="28">
                  <c:v>2.2062601521611214E-2</c:v>
                </c:pt>
                <c:pt idx="29">
                  <c:v>2.1323606371879578E-2</c:v>
                </c:pt>
                <c:pt idx="30">
                  <c:v>2.0877618342638016E-2</c:v>
                </c:pt>
                <c:pt idx="31">
                  <c:v>2.0716497674584389E-2</c:v>
                </c:pt>
                <c:pt idx="32">
                  <c:v>2.0428629592061043E-2</c:v>
                </c:pt>
                <c:pt idx="33">
                  <c:v>2.0262241363525391E-2</c:v>
                </c:pt>
                <c:pt idx="34">
                  <c:v>2.018994465470314E-2</c:v>
                </c:pt>
                <c:pt idx="35">
                  <c:v>2.0154157653450966E-2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D69-4984-B90B-6AB10302B5ED}"/>
            </c:ext>
          </c:extLst>
        </c:ser>
        <c:ser>
          <c:idx val="6"/>
          <c:order val="6"/>
          <c:tx>
            <c:strRef>
              <c:f>Skymaps!$D$216</c:f>
              <c:strCache>
                <c:ptCount val="1"/>
                <c:pt idx="0">
                  <c:v>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Skymaps!$E$216:$BC$216</c:f>
              <c:numCache>
                <c:formatCode>General</c:formatCode>
                <c:ptCount val="51"/>
                <c:pt idx="15">
                  <c:v>0.24603185057640076</c:v>
                </c:pt>
                <c:pt idx="16">
                  <c:v>0.11106835305690765</c:v>
                </c:pt>
                <c:pt idx="17">
                  <c:v>5.8700215071439743E-2</c:v>
                </c:pt>
                <c:pt idx="18">
                  <c:v>4.7445844858884811E-2</c:v>
                </c:pt>
                <c:pt idx="19">
                  <c:v>4.0478736162185669E-2</c:v>
                </c:pt>
                <c:pt idx="20">
                  <c:v>3.5647757351398468E-2</c:v>
                </c:pt>
                <c:pt idx="21">
                  <c:v>3.2258175313472748E-2</c:v>
                </c:pt>
                <c:pt idx="22">
                  <c:v>2.9402401298284531E-2</c:v>
                </c:pt>
                <c:pt idx="23">
                  <c:v>2.7444388717412949E-2</c:v>
                </c:pt>
                <c:pt idx="24">
                  <c:v>2.5915885344147682E-2</c:v>
                </c:pt>
                <c:pt idx="25">
                  <c:v>2.4874148890376091E-2</c:v>
                </c:pt>
                <c:pt idx="26">
                  <c:v>2.3680202662944794E-2</c:v>
                </c:pt>
                <c:pt idx="27">
                  <c:v>2.2926162928342819E-2</c:v>
                </c:pt>
                <c:pt idx="28">
                  <c:v>2.2214991971850395E-2</c:v>
                </c:pt>
                <c:pt idx="29">
                  <c:v>2.1731847897171974E-2</c:v>
                </c:pt>
                <c:pt idx="30">
                  <c:v>2.1091949194669724E-2</c:v>
                </c:pt>
                <c:pt idx="31">
                  <c:v>2.0863847807049751E-2</c:v>
                </c:pt>
                <c:pt idx="32">
                  <c:v>2.063283696770668E-2</c:v>
                </c:pt>
                <c:pt idx="33">
                  <c:v>2.0401131361722946E-2</c:v>
                </c:pt>
                <c:pt idx="34">
                  <c:v>2.0275428891181946E-2</c:v>
                </c:pt>
                <c:pt idx="35">
                  <c:v>2.0230164751410484E-2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69-4984-B90B-6AB10302B5ED}"/>
            </c:ext>
          </c:extLst>
        </c:ser>
        <c:ser>
          <c:idx val="7"/>
          <c:order val="7"/>
          <c:tx>
            <c:strRef>
              <c:f>Skymaps!$D$217</c:f>
              <c:strCache>
                <c:ptCount val="1"/>
                <c:pt idx="0">
                  <c:v>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Skymaps!$E$217:$BC$217</c:f>
              <c:numCache>
                <c:formatCode>General</c:formatCode>
                <c:ptCount val="51"/>
                <c:pt idx="16">
                  <c:v>0.14090718328952789</c:v>
                </c:pt>
                <c:pt idx="17">
                  <c:v>6.8704962730407715E-2</c:v>
                </c:pt>
                <c:pt idx="18">
                  <c:v>5.0477258861064911E-2</c:v>
                </c:pt>
                <c:pt idx="19">
                  <c:v>4.2997147887945175E-2</c:v>
                </c:pt>
                <c:pt idx="20">
                  <c:v>3.744097426533699E-2</c:v>
                </c:pt>
                <c:pt idx="21">
                  <c:v>3.3278066664934158E-2</c:v>
                </c:pt>
                <c:pt idx="22">
                  <c:v>3.0227687209844589E-2</c:v>
                </c:pt>
                <c:pt idx="23">
                  <c:v>2.8158560395240784E-2</c:v>
                </c:pt>
                <c:pt idx="24">
                  <c:v>2.6766801252961159E-2</c:v>
                </c:pt>
                <c:pt idx="25">
                  <c:v>2.5364575907588005E-2</c:v>
                </c:pt>
                <c:pt idx="26">
                  <c:v>2.4112043902277946E-2</c:v>
                </c:pt>
                <c:pt idx="27">
                  <c:v>2.3512143641710281E-2</c:v>
                </c:pt>
                <c:pt idx="28">
                  <c:v>2.2520476952195168E-2</c:v>
                </c:pt>
                <c:pt idx="29">
                  <c:v>2.2099507972598076E-2</c:v>
                </c:pt>
                <c:pt idx="30">
                  <c:v>2.1409176290035248E-2</c:v>
                </c:pt>
                <c:pt idx="31">
                  <c:v>2.1010737866163254E-2</c:v>
                </c:pt>
                <c:pt idx="32">
                  <c:v>2.0884236320853233E-2</c:v>
                </c:pt>
                <c:pt idx="33">
                  <c:v>2.0579565316438675E-2</c:v>
                </c:pt>
                <c:pt idx="34">
                  <c:v>2.0394010469317436E-2</c:v>
                </c:pt>
                <c:pt idx="35">
                  <c:v>2.0297618582844734E-2</c:v>
                </c:pt>
                <c:pt idx="36">
                  <c:v>2.0640648901462555E-2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D69-4984-B90B-6AB10302B5ED}"/>
            </c:ext>
          </c:extLst>
        </c:ser>
        <c:ser>
          <c:idx val="8"/>
          <c:order val="8"/>
          <c:tx>
            <c:strRef>
              <c:f>Skymaps!$D$218</c:f>
              <c:strCache>
                <c:ptCount val="1"/>
                <c:pt idx="0">
                  <c:v>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Skymaps!$E$218:$BC$218</c:f>
              <c:numCache>
                <c:formatCode>General</c:formatCode>
                <c:ptCount val="51"/>
                <c:pt idx="16">
                  <c:v>0.17869123816490173</c:v>
                </c:pt>
                <c:pt idx="17">
                  <c:v>8.4325268864631653E-2</c:v>
                </c:pt>
                <c:pt idx="18">
                  <c:v>5.3569134324789047E-2</c:v>
                </c:pt>
                <c:pt idx="19">
                  <c:v>4.5088395476341248E-2</c:v>
                </c:pt>
                <c:pt idx="20">
                  <c:v>3.9145462214946747E-2</c:v>
                </c:pt>
                <c:pt idx="21">
                  <c:v>3.5308599472045898E-2</c:v>
                </c:pt>
                <c:pt idx="22">
                  <c:v>3.1974788755178452E-2</c:v>
                </c:pt>
                <c:pt idx="23">
                  <c:v>2.9295202344655991E-2</c:v>
                </c:pt>
                <c:pt idx="24">
                  <c:v>2.7324365451931953E-2</c:v>
                </c:pt>
                <c:pt idx="25">
                  <c:v>2.5781434029340744E-2</c:v>
                </c:pt>
                <c:pt idx="26">
                  <c:v>2.4830520153045654E-2</c:v>
                </c:pt>
                <c:pt idx="27">
                  <c:v>2.369479276239872E-2</c:v>
                </c:pt>
                <c:pt idx="28">
                  <c:v>2.3000145331025124E-2</c:v>
                </c:pt>
                <c:pt idx="29">
                  <c:v>2.2274380549788475E-2</c:v>
                </c:pt>
                <c:pt idx="30">
                  <c:v>2.1843085065484047E-2</c:v>
                </c:pt>
                <c:pt idx="31">
                  <c:v>2.1253619343042374E-2</c:v>
                </c:pt>
                <c:pt idx="32">
                  <c:v>2.0985163748264313E-2</c:v>
                </c:pt>
                <c:pt idx="33">
                  <c:v>2.0802741870284081E-2</c:v>
                </c:pt>
                <c:pt idx="34">
                  <c:v>2.055019699037075E-2</c:v>
                </c:pt>
                <c:pt idx="35">
                  <c:v>2.0396629348397255E-2</c:v>
                </c:pt>
                <c:pt idx="36">
                  <c:v>2.0547512918710709E-2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69-4984-B90B-6AB10302B5ED}"/>
            </c:ext>
          </c:extLst>
        </c:ser>
        <c:ser>
          <c:idx val="9"/>
          <c:order val="9"/>
          <c:tx>
            <c:strRef>
              <c:f>Skymaps!$D$219</c:f>
              <c:strCache>
                <c:ptCount val="1"/>
                <c:pt idx="0">
                  <c:v>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Skymaps!$E$219:$BC$219</c:f>
              <c:numCache>
                <c:formatCode>General</c:formatCode>
                <c:ptCount val="51"/>
                <c:pt idx="17">
                  <c:v>0.10631449520587921</c:v>
                </c:pt>
                <c:pt idx="18">
                  <c:v>5.867849662899971E-2</c:v>
                </c:pt>
                <c:pt idx="19">
                  <c:v>4.7650668770074844E-2</c:v>
                </c:pt>
                <c:pt idx="20">
                  <c:v>4.1349876672029495E-2</c:v>
                </c:pt>
                <c:pt idx="21">
                  <c:v>3.6239106208086014E-2</c:v>
                </c:pt>
                <c:pt idx="22">
                  <c:v>3.2678782939910889E-2</c:v>
                </c:pt>
                <c:pt idx="23">
                  <c:v>2.9843632131814957E-2</c:v>
                </c:pt>
                <c:pt idx="24">
                  <c:v>2.7926210314035416E-2</c:v>
                </c:pt>
                <c:pt idx="25">
                  <c:v>2.6581546291708946E-2</c:v>
                </c:pt>
                <c:pt idx="26">
                  <c:v>2.5367176160216331E-2</c:v>
                </c:pt>
                <c:pt idx="27">
                  <c:v>2.4136865511536598E-2</c:v>
                </c:pt>
                <c:pt idx="28">
                  <c:v>2.352600172162056E-2</c:v>
                </c:pt>
                <c:pt idx="29">
                  <c:v>2.2609557956457138E-2</c:v>
                </c:pt>
                <c:pt idx="30">
                  <c:v>2.2127842530608177E-2</c:v>
                </c:pt>
                <c:pt idx="31">
                  <c:v>2.160567045211792E-2</c:v>
                </c:pt>
                <c:pt idx="32">
                  <c:v>2.1164285019040108E-2</c:v>
                </c:pt>
                <c:pt idx="33">
                  <c:v>2.1000640466809273E-2</c:v>
                </c:pt>
                <c:pt idx="34">
                  <c:v>2.0749030634760857E-2</c:v>
                </c:pt>
                <c:pt idx="35">
                  <c:v>2.0531587302684784E-2</c:v>
                </c:pt>
                <c:pt idx="36">
                  <c:v>2.063131146132946E-2</c:v>
                </c:pt>
                <c:pt idx="37">
                  <c:v>2.0804505795240402E-2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D69-4984-B90B-6AB10302B5ED}"/>
            </c:ext>
          </c:extLst>
        </c:ser>
        <c:ser>
          <c:idx val="10"/>
          <c:order val="10"/>
          <c:tx>
            <c:strRef>
              <c:f>Skymaps!$D$220</c:f>
              <c:strCache>
                <c:ptCount val="1"/>
                <c:pt idx="0">
                  <c:v>10000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Skymaps!$E$220:$BC$220</c:f>
              <c:numCache>
                <c:formatCode>General</c:formatCode>
                <c:ptCount val="51"/>
                <c:pt idx="17">
                  <c:v>0.13551129400730133</c:v>
                </c:pt>
                <c:pt idx="18">
                  <c:v>6.8939641118049622E-2</c:v>
                </c:pt>
                <c:pt idx="19">
                  <c:v>5.1403388381004333E-2</c:v>
                </c:pt>
                <c:pt idx="20">
                  <c:v>4.3344009667634964E-2</c:v>
                </c:pt>
                <c:pt idx="21">
                  <c:v>3.8819286972284317E-2</c:v>
                </c:pt>
                <c:pt idx="22">
                  <c:v>3.4401793032884598E-2</c:v>
                </c:pt>
                <c:pt idx="23">
                  <c:v>3.1293071806430817E-2</c:v>
                </c:pt>
                <c:pt idx="24">
                  <c:v>2.9065757989883423E-2</c:v>
                </c:pt>
                <c:pt idx="25">
                  <c:v>2.7236683294177055E-2</c:v>
                </c:pt>
                <c:pt idx="26">
                  <c:v>2.576882392168045E-2</c:v>
                </c:pt>
                <c:pt idx="27">
                  <c:v>2.4866761639714241E-2</c:v>
                </c:pt>
                <c:pt idx="28">
                  <c:v>2.3724190890789032E-2</c:v>
                </c:pt>
                <c:pt idx="29">
                  <c:v>2.311137318611145E-2</c:v>
                </c:pt>
                <c:pt idx="30">
                  <c:v>2.2324234247207642E-2</c:v>
                </c:pt>
                <c:pt idx="31">
                  <c:v>2.2079648450016975E-2</c:v>
                </c:pt>
                <c:pt idx="32">
                  <c:v>2.1442137658596039E-2</c:v>
                </c:pt>
                <c:pt idx="33">
                  <c:v>2.1118910983204842E-2</c:v>
                </c:pt>
                <c:pt idx="34">
                  <c:v>2.0988157019019127E-2</c:v>
                </c:pt>
                <c:pt idx="35">
                  <c:v>2.0707409828901291E-2</c:v>
                </c:pt>
                <c:pt idx="36">
                  <c:v>2.0753649994730949E-2</c:v>
                </c:pt>
                <c:pt idx="37">
                  <c:v>2.0883137360215187E-2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D69-4984-B90B-6AB10302B5ED}"/>
            </c:ext>
          </c:extLst>
        </c:ser>
        <c:ser>
          <c:idx val="11"/>
          <c:order val="11"/>
          <c:tx>
            <c:strRef>
              <c:f>Skymaps!$D$221</c:f>
              <c:strCache>
                <c:ptCount val="1"/>
                <c:pt idx="0">
                  <c:v>11000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Skymaps!$E$221:$BC$221</c:f>
              <c:numCache>
                <c:formatCode>General</c:formatCode>
                <c:ptCount val="51"/>
                <c:pt idx="17">
                  <c:v>0.17287297546863556</c:v>
                </c:pt>
                <c:pt idx="18">
                  <c:v>8.5089355707168579E-2</c:v>
                </c:pt>
                <c:pt idx="19">
                  <c:v>5.4201323539018631E-2</c:v>
                </c:pt>
                <c:pt idx="20">
                  <c:v>4.6353764832019806E-2</c:v>
                </c:pt>
                <c:pt idx="21">
                  <c:v>3.9921078830957413E-2</c:v>
                </c:pt>
                <c:pt idx="22">
                  <c:v>3.566114604473114E-2</c:v>
                </c:pt>
                <c:pt idx="23">
                  <c:v>3.237837553024292E-2</c:v>
                </c:pt>
                <c:pt idx="24">
                  <c:v>2.9630858451128006E-2</c:v>
                </c:pt>
                <c:pt idx="25">
                  <c:v>2.7787201106548309E-2</c:v>
                </c:pt>
                <c:pt idx="26">
                  <c:v>2.657121978700161E-2</c:v>
                </c:pt>
                <c:pt idx="27">
                  <c:v>2.5384746491909027E-2</c:v>
                </c:pt>
                <c:pt idx="28">
                  <c:v>2.4208934977650642E-2</c:v>
                </c:pt>
                <c:pt idx="29">
                  <c:v>2.3536192253232002E-2</c:v>
                </c:pt>
                <c:pt idx="30">
                  <c:v>2.2683274000883102E-2</c:v>
                </c:pt>
                <c:pt idx="31">
                  <c:v>2.2261111065745354E-2</c:v>
                </c:pt>
                <c:pt idx="32">
                  <c:v>2.184692770242691E-2</c:v>
                </c:pt>
                <c:pt idx="33">
                  <c:v>2.1346401423215866E-2</c:v>
                </c:pt>
                <c:pt idx="34">
                  <c:v>2.1120792254805565E-2</c:v>
                </c:pt>
                <c:pt idx="35">
                  <c:v>2.0935600623488426E-2</c:v>
                </c:pt>
                <c:pt idx="36">
                  <c:v>2.0917339250445366E-2</c:v>
                </c:pt>
                <c:pt idx="37">
                  <c:v>2.0993122830986977E-2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D69-4984-B90B-6AB10302B5ED}"/>
            </c:ext>
          </c:extLst>
        </c:ser>
        <c:ser>
          <c:idx val="12"/>
          <c:order val="12"/>
          <c:tx>
            <c:strRef>
              <c:f>Skymaps!$D$222</c:f>
              <c:strCache>
                <c:ptCount val="1"/>
                <c:pt idx="0">
                  <c:v>12000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Skymaps!$E$222:$BC$222</c:f>
              <c:numCache>
                <c:formatCode>General</c:formatCode>
                <c:ptCount val="51"/>
                <c:pt idx="18">
                  <c:v>0.10792185366153717</c:v>
                </c:pt>
                <c:pt idx="19">
                  <c:v>6.0484629124403E-2</c:v>
                </c:pt>
                <c:pt idx="20">
                  <c:v>4.8540070652961731E-2</c:v>
                </c:pt>
                <c:pt idx="21">
                  <c:v>4.2861141264438629E-2</c:v>
                </c:pt>
                <c:pt idx="22">
                  <c:v>3.7603151053190231E-2</c:v>
                </c:pt>
                <c:pt idx="23">
                  <c:v>3.3773306757211685E-2</c:v>
                </c:pt>
                <c:pt idx="24">
                  <c:v>3.0933991074562073E-2</c:v>
                </c:pt>
                <c:pt idx="25">
                  <c:v>2.8900714591145515E-2</c:v>
                </c:pt>
                <c:pt idx="26">
                  <c:v>2.7270669117569923E-2</c:v>
                </c:pt>
                <c:pt idx="27">
                  <c:v>2.5822067633271217E-2</c:v>
                </c:pt>
                <c:pt idx="28">
                  <c:v>2.5002680718898773E-2</c:v>
                </c:pt>
                <c:pt idx="29">
                  <c:v>2.3803740739822388E-2</c:v>
                </c:pt>
                <c:pt idx="30">
                  <c:v>2.3220991715788841E-2</c:v>
                </c:pt>
                <c:pt idx="31">
                  <c:v>2.2513244301080704E-2</c:v>
                </c:pt>
                <c:pt idx="32">
                  <c:v>2.2267419844865799E-2</c:v>
                </c:pt>
                <c:pt idx="33">
                  <c:v>2.1684860810637474E-2</c:v>
                </c:pt>
                <c:pt idx="34">
                  <c:v>2.1296283230185509E-2</c:v>
                </c:pt>
                <c:pt idx="35">
                  <c:v>2.1145978942513466E-2</c:v>
                </c:pt>
                <c:pt idx="36">
                  <c:v>2.1125782281160355E-2</c:v>
                </c:pt>
                <c:pt idx="37">
                  <c:v>2.1141195669770241E-2</c:v>
                </c:pt>
                <c:pt idx="38">
                  <c:v>2.1632740274071693E-2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D69-4984-B90B-6AB10302B5ED}"/>
            </c:ext>
          </c:extLst>
        </c:ser>
        <c:ser>
          <c:idx val="13"/>
          <c:order val="13"/>
          <c:tx>
            <c:strRef>
              <c:f>Skymaps!$D$223</c:f>
              <c:strCache>
                <c:ptCount val="1"/>
                <c:pt idx="0">
                  <c:v>13000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Skymaps!$E$223:$BC$223</c:f>
              <c:numCache>
                <c:formatCode>General</c:formatCode>
                <c:ptCount val="51"/>
                <c:pt idx="18">
                  <c:v>0.13834132254123688</c:v>
                </c:pt>
                <c:pt idx="19">
                  <c:v>7.2299540042877197E-2</c:v>
                </c:pt>
                <c:pt idx="20">
                  <c:v>5.2752267569303513E-2</c:v>
                </c:pt>
                <c:pt idx="21">
                  <c:v>4.4537156820297241E-2</c:v>
                </c:pt>
                <c:pt idx="22">
                  <c:v>3.925883024930954E-2</c:v>
                </c:pt>
                <c:pt idx="23">
                  <c:v>3.5414282232522964E-2</c:v>
                </c:pt>
                <c:pt idx="24">
                  <c:v>3.2246079295873642E-2</c:v>
                </c:pt>
                <c:pt idx="25">
                  <c:v>2.953186072409153E-2</c:v>
                </c:pt>
                <c:pt idx="26">
                  <c:v>2.7827862650156021E-2</c:v>
                </c:pt>
                <c:pt idx="27">
                  <c:v>2.6667091995477676E-2</c:v>
                </c:pt>
                <c:pt idx="28">
                  <c:v>2.5433985516428947E-2</c:v>
                </c:pt>
                <c:pt idx="29">
                  <c:v>2.4356774985790253E-2</c:v>
                </c:pt>
                <c:pt idx="30">
                  <c:v>2.3577455431222916E-2</c:v>
                </c:pt>
                <c:pt idx="31">
                  <c:v>2.293294295668602E-2</c:v>
                </c:pt>
                <c:pt idx="32">
                  <c:v>2.2427985444664955E-2</c:v>
                </c:pt>
                <c:pt idx="33">
                  <c:v>2.2149723023176193E-2</c:v>
                </c:pt>
                <c:pt idx="34">
                  <c:v>2.1577661857008934E-2</c:v>
                </c:pt>
                <c:pt idx="35">
                  <c:v>2.1274629980325699E-2</c:v>
                </c:pt>
                <c:pt idx="36">
                  <c:v>2.1385028958320618E-2</c:v>
                </c:pt>
                <c:pt idx="37">
                  <c:v>2.1332668140530586E-2</c:v>
                </c:pt>
                <c:pt idx="38">
                  <c:v>2.176540344953537E-2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D69-4984-B90B-6AB10302B5ED}"/>
            </c:ext>
          </c:extLst>
        </c:ser>
        <c:ser>
          <c:idx val="14"/>
          <c:order val="14"/>
          <c:tx>
            <c:strRef>
              <c:f>Skymaps!$D$224</c:f>
              <c:strCache>
                <c:ptCount val="1"/>
                <c:pt idx="0">
                  <c:v>14000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Skymaps!$E$224:$BC$224</c:f>
              <c:numCache>
                <c:formatCode>General</c:formatCode>
                <c:ptCount val="51"/>
                <c:pt idx="19">
                  <c:v>9.0430788695812225E-2</c:v>
                </c:pt>
                <c:pt idx="20">
                  <c:v>5.6039690971374512E-2</c:v>
                </c:pt>
                <c:pt idx="21">
                  <c:v>4.7446653246879578E-2</c:v>
                </c:pt>
                <c:pt idx="22">
                  <c:v>4.1825052350759506E-2</c:v>
                </c:pt>
                <c:pt idx="23">
                  <c:v>3.6948256194591522E-2</c:v>
                </c:pt>
                <c:pt idx="24">
                  <c:v>3.3460870385169983E-2</c:v>
                </c:pt>
                <c:pt idx="25">
                  <c:v>3.0782654881477356E-2</c:v>
                </c:pt>
                <c:pt idx="26">
                  <c:v>2.8965391218662262E-2</c:v>
                </c:pt>
                <c:pt idx="27">
                  <c:v>2.7331385761499405E-2</c:v>
                </c:pt>
                <c:pt idx="28">
                  <c:v>2.5938626378774643E-2</c:v>
                </c:pt>
                <c:pt idx="29">
                  <c:v>2.5236286222934723E-2</c:v>
                </c:pt>
                <c:pt idx="30">
                  <c:v>2.3924069479107857E-2</c:v>
                </c:pt>
                <c:pt idx="31">
                  <c:v>2.3543950170278549E-2</c:v>
                </c:pt>
                <c:pt idx="32">
                  <c:v>2.2746633738279343E-2</c:v>
                </c:pt>
                <c:pt idx="33">
                  <c:v>2.2405348718166351E-2</c:v>
                </c:pt>
                <c:pt idx="34">
                  <c:v>2.1979957818984985E-2</c:v>
                </c:pt>
                <c:pt idx="35">
                  <c:v>2.1504871547222137E-2</c:v>
                </c:pt>
                <c:pt idx="36">
                  <c:v>2.150464802980423E-2</c:v>
                </c:pt>
                <c:pt idx="37">
                  <c:v>2.1573510020971298E-2</c:v>
                </c:pt>
                <c:pt idx="38">
                  <c:v>2.1940361708402634E-2</c:v>
                </c:pt>
                <c:pt idx="39">
                  <c:v>2.2780701518058777E-2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D69-4984-B90B-6AB10302B5ED}"/>
            </c:ext>
          </c:extLst>
        </c:ser>
        <c:ser>
          <c:idx val="15"/>
          <c:order val="15"/>
          <c:tx>
            <c:strRef>
              <c:f>Skymaps!$D$225</c:f>
              <c:strCache>
                <c:ptCount val="1"/>
                <c:pt idx="0">
                  <c:v>15000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Skymaps!$E$225:$BC$225</c:f>
              <c:numCache>
                <c:formatCode>General</c:formatCode>
                <c:ptCount val="51"/>
                <c:pt idx="19">
                  <c:v>0.11574467271566391</c:v>
                </c:pt>
                <c:pt idx="20">
                  <c:v>6.4540386199951172E-2</c:v>
                </c:pt>
                <c:pt idx="21">
                  <c:v>5.1045157015323639E-2</c:v>
                </c:pt>
                <c:pt idx="22">
                  <c:v>4.3650772422552109E-2</c:v>
                </c:pt>
                <c:pt idx="23">
                  <c:v>3.8968794047832489E-2</c:v>
                </c:pt>
                <c:pt idx="24">
                  <c:v>3.5297740250825882E-2</c:v>
                </c:pt>
                <c:pt idx="25">
                  <c:v>3.2171938568353653E-2</c:v>
                </c:pt>
                <c:pt idx="26">
                  <c:v>2.9591554775834084E-2</c:v>
                </c:pt>
                <c:pt idx="27">
                  <c:v>2.7948955073952675E-2</c:v>
                </c:pt>
                <c:pt idx="28">
                  <c:v>2.6865724474191666E-2</c:v>
                </c:pt>
                <c:pt idx="29">
                  <c:v>2.5514028966426849E-2</c:v>
                </c:pt>
                <c:pt idx="30">
                  <c:v>2.4575276300311089E-2</c:v>
                </c:pt>
                <c:pt idx="31">
                  <c:v>2.3776799440383911E-2</c:v>
                </c:pt>
                <c:pt idx="32">
                  <c:v>2.3242291063070297E-2</c:v>
                </c:pt>
                <c:pt idx="33">
                  <c:v>2.2631281986832619E-2</c:v>
                </c:pt>
                <c:pt idx="34">
                  <c:v>2.2420104593038559E-2</c:v>
                </c:pt>
                <c:pt idx="35">
                  <c:v>2.185140922665596E-2</c:v>
                </c:pt>
                <c:pt idx="36">
                  <c:v>2.1688630804419518E-2</c:v>
                </c:pt>
                <c:pt idx="37">
                  <c:v>2.1745407953858376E-2</c:v>
                </c:pt>
                <c:pt idx="38">
                  <c:v>2.2163525223731995E-2</c:v>
                </c:pt>
                <c:pt idx="39">
                  <c:v>2.2925227880477905E-2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D69-4984-B90B-6AB10302B5ED}"/>
            </c:ext>
          </c:extLst>
        </c:ser>
        <c:ser>
          <c:idx val="16"/>
          <c:order val="16"/>
          <c:tx>
            <c:strRef>
              <c:f>Skymaps!$D$226</c:f>
              <c:strCache>
                <c:ptCount val="1"/>
                <c:pt idx="0">
                  <c:v>16000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Skymaps!$E$226:$BC$226</c:f>
              <c:numCache>
                <c:formatCode>General</c:formatCode>
                <c:ptCount val="51"/>
                <c:pt idx="19">
                  <c:v>0.14926908910274506</c:v>
                </c:pt>
                <c:pt idx="20">
                  <c:v>7.9019010066986084E-2</c:v>
                </c:pt>
                <c:pt idx="21">
                  <c:v>5.4024472832679749E-2</c:v>
                </c:pt>
                <c:pt idx="22">
                  <c:v>4.7181457281112671E-2</c:v>
                </c:pt>
                <c:pt idx="23">
                  <c:v>4.1051164269447327E-2</c:v>
                </c:pt>
                <c:pt idx="24">
                  <c:v>3.6639947444200516E-2</c:v>
                </c:pt>
                <c:pt idx="25">
                  <c:v>3.3355943858623505E-2</c:v>
                </c:pt>
                <c:pt idx="26">
                  <c:v>3.090834803879261E-2</c:v>
                </c:pt>
                <c:pt idx="27">
                  <c:v>2.9180588200688362E-2</c:v>
                </c:pt>
                <c:pt idx="28">
                  <c:v>2.7430551126599312E-2</c:v>
                </c:pt>
                <c:pt idx="29">
                  <c:v>2.6131950318813324E-2</c:v>
                </c:pt>
                <c:pt idx="30">
                  <c:v>2.5323599576950073E-2</c:v>
                </c:pt>
                <c:pt idx="31">
                  <c:v>2.4239063262939453E-2</c:v>
                </c:pt>
                <c:pt idx="32">
                  <c:v>2.3752583190798759E-2</c:v>
                </c:pt>
                <c:pt idx="33">
                  <c:v>2.3039480671286583E-2</c:v>
                </c:pt>
                <c:pt idx="34">
                  <c:v>2.2581527009606361E-2</c:v>
                </c:pt>
                <c:pt idx="35">
                  <c:v>2.2332794964313507E-2</c:v>
                </c:pt>
                <c:pt idx="36">
                  <c:v>2.1991059184074402E-2</c:v>
                </c:pt>
                <c:pt idx="37">
                  <c:v>2.1899137645959854E-2</c:v>
                </c:pt>
                <c:pt idx="38">
                  <c:v>2.2367570549249649E-2</c:v>
                </c:pt>
                <c:pt idx="39">
                  <c:v>2.3113161325454712E-2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D69-4984-B90B-6AB10302B5ED}"/>
            </c:ext>
          </c:extLst>
        </c:ser>
        <c:ser>
          <c:idx val="17"/>
          <c:order val="17"/>
          <c:tx>
            <c:strRef>
              <c:f>Skymaps!$D$227</c:f>
              <c:strCache>
                <c:ptCount val="1"/>
                <c:pt idx="0">
                  <c:v>17000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Skymaps!$E$227:$BC$227</c:f>
              <c:numCache>
                <c:formatCode>General</c:formatCode>
                <c:ptCount val="51"/>
                <c:pt idx="20">
                  <c:v>0.10033298283815384</c:v>
                </c:pt>
                <c:pt idx="21">
                  <c:v>6.0364555567502975E-2</c:v>
                </c:pt>
                <c:pt idx="22">
                  <c:v>4.9520887434482574E-2</c:v>
                </c:pt>
                <c:pt idx="23">
                  <c:v>4.3265022337436676E-2</c:v>
                </c:pt>
                <c:pt idx="24">
                  <c:v>3.8863509893417358E-2</c:v>
                </c:pt>
                <c:pt idx="25">
                  <c:v>3.5256028175354004E-2</c:v>
                </c:pt>
                <c:pt idx="26">
                  <c:v>3.2247532159090042E-2</c:v>
                </c:pt>
                <c:pt idx="27">
                  <c:v>2.9746588319540024E-2</c:v>
                </c:pt>
                <c:pt idx="28">
                  <c:v>2.8180334717035294E-2</c:v>
                </c:pt>
                <c:pt idx="29">
                  <c:v>2.7264075353741646E-2</c:v>
                </c:pt>
                <c:pt idx="30">
                  <c:v>2.5685302913188934E-2</c:v>
                </c:pt>
                <c:pt idx="31">
                  <c:v>2.5029737502336502E-2</c:v>
                </c:pt>
                <c:pt idx="32">
                  <c:v>2.4049868807196617E-2</c:v>
                </c:pt>
                <c:pt idx="33">
                  <c:v>2.3645034059882164E-2</c:v>
                </c:pt>
                <c:pt idx="34">
                  <c:v>2.2907840088009834E-2</c:v>
                </c:pt>
                <c:pt idx="35">
                  <c:v>2.2569578140974045E-2</c:v>
                </c:pt>
                <c:pt idx="36">
                  <c:v>2.2422224283218384E-2</c:v>
                </c:pt>
                <c:pt idx="37">
                  <c:v>2.2162159904837608E-2</c:v>
                </c:pt>
                <c:pt idx="38">
                  <c:v>2.2494234144687653E-2</c:v>
                </c:pt>
                <c:pt idx="39">
                  <c:v>2.3346010595560074E-2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D69-4984-B90B-6AB10302B5ED}"/>
            </c:ext>
          </c:extLst>
        </c:ser>
        <c:ser>
          <c:idx val="18"/>
          <c:order val="18"/>
          <c:tx>
            <c:strRef>
              <c:f>Skymaps!$D$228</c:f>
              <c:strCache>
                <c:ptCount val="1"/>
                <c:pt idx="0">
                  <c:v>18000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Skymaps!$E$228:$BC$228</c:f>
              <c:numCache>
                <c:formatCode>General</c:formatCode>
                <c:ptCount val="51"/>
                <c:pt idx="20">
                  <c:v>0.12945070862770081</c:v>
                </c:pt>
                <c:pt idx="21">
                  <c:v>7.256760448217392E-2</c:v>
                </c:pt>
                <c:pt idx="22">
                  <c:v>5.3179662674665451E-2</c:v>
                </c:pt>
                <c:pt idx="23">
                  <c:v>4.6441264450550079E-2</c:v>
                </c:pt>
                <c:pt idx="24">
                  <c:v>4.0754284709692001E-2</c:v>
                </c:pt>
                <c:pt idx="25">
                  <c:v>3.6604955792427063E-2</c:v>
                </c:pt>
                <c:pt idx="26">
                  <c:v>3.3547095954418182E-2</c:v>
                </c:pt>
                <c:pt idx="27">
                  <c:v>3.1237132847309113E-2</c:v>
                </c:pt>
                <c:pt idx="28">
                  <c:v>2.93255764991045E-2</c:v>
                </c:pt>
                <c:pt idx="29">
                  <c:v>2.7607111260294914E-2</c:v>
                </c:pt>
                <c:pt idx="30">
                  <c:v>2.649809792637825E-2</c:v>
                </c:pt>
                <c:pt idx="31">
                  <c:v>2.552858367562294E-2</c:v>
                </c:pt>
                <c:pt idx="32">
                  <c:v>2.4658359587192535E-2</c:v>
                </c:pt>
                <c:pt idx="33">
                  <c:v>2.3969145491719246E-2</c:v>
                </c:pt>
                <c:pt idx="34">
                  <c:v>2.3423554375767708E-2</c:v>
                </c:pt>
                <c:pt idx="35">
                  <c:v>2.2837866097688675E-2</c:v>
                </c:pt>
                <c:pt idx="36">
                  <c:v>2.2846296429634094E-2</c:v>
                </c:pt>
                <c:pt idx="37">
                  <c:v>2.2550579160451889E-2</c:v>
                </c:pt>
                <c:pt idx="38">
                  <c:v>2.2737372666597366E-2</c:v>
                </c:pt>
                <c:pt idx="39">
                  <c:v>2.3473618552088737E-2</c:v>
                </c:pt>
                <c:pt idx="40">
                  <c:v>2.5301748886704445E-2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D69-4984-B90B-6AB10302B5ED}"/>
            </c:ext>
          </c:extLst>
        </c:ser>
        <c:ser>
          <c:idx val="19"/>
          <c:order val="19"/>
          <c:tx>
            <c:strRef>
              <c:f>Skymaps!$D$229</c:f>
              <c:strCache>
                <c:ptCount val="1"/>
                <c:pt idx="0">
                  <c:v>19000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Skymaps!$E$229:$BC$229</c:f>
              <c:numCache>
                <c:formatCode>General</c:formatCode>
                <c:ptCount val="51"/>
                <c:pt idx="21">
                  <c:v>9.1499127447605133E-2</c:v>
                </c:pt>
                <c:pt idx="22">
                  <c:v>5.8151733130216599E-2</c:v>
                </c:pt>
                <c:pt idx="23">
                  <c:v>4.8846777528524399E-2</c:v>
                </c:pt>
                <c:pt idx="24">
                  <c:v>4.3133202940225601E-2</c:v>
                </c:pt>
                <c:pt idx="25">
                  <c:v>3.8834404200315475E-2</c:v>
                </c:pt>
                <c:pt idx="26">
                  <c:v>3.5323794931173325E-2</c:v>
                </c:pt>
                <c:pt idx="27">
                  <c:v>3.2401878386735916E-2</c:v>
                </c:pt>
                <c:pt idx="28">
                  <c:v>3.0026668682694435E-2</c:v>
                </c:pt>
                <c:pt idx="29">
                  <c:v>2.854548767209053E-2</c:v>
                </c:pt>
                <c:pt idx="30">
                  <c:v>2.7334230020642281E-2</c:v>
                </c:pt>
                <c:pt idx="31">
                  <c:v>2.6070538908243179E-2</c:v>
                </c:pt>
                <c:pt idx="32">
                  <c:v>2.552378736436367E-2</c:v>
                </c:pt>
                <c:pt idx="33">
                  <c:v>2.4421770125627518E-2</c:v>
                </c:pt>
                <c:pt idx="34">
                  <c:v>2.3966949433088303E-2</c:v>
                </c:pt>
                <c:pt idx="35">
                  <c:v>2.3304171860218048E-2</c:v>
                </c:pt>
                <c:pt idx="36">
                  <c:v>2.3049535229802132E-2</c:v>
                </c:pt>
                <c:pt idx="37">
                  <c:v>2.3146072402596474E-2</c:v>
                </c:pt>
                <c:pt idx="38">
                  <c:v>2.3114435374736786E-2</c:v>
                </c:pt>
                <c:pt idx="39">
                  <c:v>2.3714084178209305E-2</c:v>
                </c:pt>
                <c:pt idx="40">
                  <c:v>2.5417396798729897E-2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D69-4984-B90B-6AB10302B5ED}"/>
            </c:ext>
          </c:extLst>
        </c:ser>
        <c:ser>
          <c:idx val="20"/>
          <c:order val="20"/>
          <c:tx>
            <c:strRef>
              <c:f>Skymaps!$D$230</c:f>
              <c:strCache>
                <c:ptCount val="1"/>
                <c:pt idx="0">
                  <c:v>20000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Skymaps!$E$230:$BC$230</c:f>
              <c:numCache>
                <c:formatCode>General</c:formatCode>
                <c:ptCount val="51"/>
                <c:pt idx="21">
                  <c:v>0.11813472211360931</c:v>
                </c:pt>
                <c:pt idx="22">
                  <c:v>6.8974025547504425E-2</c:v>
                </c:pt>
                <c:pt idx="23">
                  <c:v>5.2869994193315506E-2</c:v>
                </c:pt>
                <c:pt idx="24">
                  <c:v>4.6159181743860245E-2</c:v>
                </c:pt>
                <c:pt idx="25">
                  <c:v>4.0813159197568893E-2</c:v>
                </c:pt>
                <c:pt idx="26">
                  <c:v>3.6880359053611755E-2</c:v>
                </c:pt>
                <c:pt idx="27">
                  <c:v>3.3963073045015335E-2</c:v>
                </c:pt>
                <c:pt idx="28">
                  <c:v>3.1802862882614136E-2</c:v>
                </c:pt>
                <c:pt idx="29">
                  <c:v>2.9450725764036179E-2</c:v>
                </c:pt>
                <c:pt idx="30">
                  <c:v>2.7887111529707909E-2</c:v>
                </c:pt>
                <c:pt idx="31">
                  <c:v>2.7098150923848152E-2</c:v>
                </c:pt>
                <c:pt idx="32">
                  <c:v>2.5826549157500267E-2</c:v>
                </c:pt>
                <c:pt idx="33">
                  <c:v>2.5204289704561234E-2</c:v>
                </c:pt>
                <c:pt idx="34">
                  <c:v>2.4270210415124893E-2</c:v>
                </c:pt>
                <c:pt idx="35">
                  <c:v>2.3997968062758446E-2</c:v>
                </c:pt>
                <c:pt idx="36">
                  <c:v>2.3440930992364883E-2</c:v>
                </c:pt>
                <c:pt idx="37">
                  <c:v>2.3285916075110435E-2</c:v>
                </c:pt>
                <c:pt idx="38">
                  <c:v>2.3648474365472794E-2</c:v>
                </c:pt>
                <c:pt idx="39">
                  <c:v>2.4108272045850754E-2</c:v>
                </c:pt>
                <c:pt idx="40">
                  <c:v>2.5658817961812019E-2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D69-4984-B90B-6AB10302B5ED}"/>
            </c:ext>
          </c:extLst>
        </c:ser>
        <c:ser>
          <c:idx val="21"/>
          <c:order val="21"/>
          <c:tx>
            <c:strRef>
              <c:f>Skymaps!$D$231</c:f>
              <c:strCache>
                <c:ptCount val="1"/>
                <c:pt idx="0">
                  <c:v>21000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Skymaps!$E$231:$BC$231</c:f>
              <c:numCache>
                <c:formatCode>General</c:formatCode>
                <c:ptCount val="51"/>
                <c:pt idx="22">
                  <c:v>8.6547099053859711E-2</c:v>
                </c:pt>
                <c:pt idx="23">
                  <c:v>5.7189464569091797E-2</c:v>
                </c:pt>
                <c:pt idx="24">
                  <c:v>4.8700686544179916E-2</c:v>
                </c:pt>
                <c:pt idx="25">
                  <c:v>4.3174188584089279E-2</c:v>
                </c:pt>
                <c:pt idx="26">
                  <c:v>3.8983400911092758E-2</c:v>
                </c:pt>
                <c:pt idx="27">
                  <c:v>3.5493835806846619E-2</c:v>
                </c:pt>
                <c:pt idx="28">
                  <c:v>3.2698381692171097E-2</c:v>
                </c:pt>
                <c:pt idx="29">
                  <c:v>3.0496874824166298E-2</c:v>
                </c:pt>
                <c:pt idx="30">
                  <c:v>2.9085496440529823E-2</c:v>
                </c:pt>
                <c:pt idx="31">
                  <c:v>2.7588160708546638E-2</c:v>
                </c:pt>
                <c:pt idx="32">
                  <c:v>2.6604611426591873E-2</c:v>
                </c:pt>
                <c:pt idx="33">
                  <c:v>2.5728024542331696E-2</c:v>
                </c:pt>
                <c:pt idx="34">
                  <c:v>2.4920275434851646E-2</c:v>
                </c:pt>
                <c:pt idx="35">
                  <c:v>2.4207310751080513E-2</c:v>
                </c:pt>
                <c:pt idx="36">
                  <c:v>2.4063589051365852E-2</c:v>
                </c:pt>
                <c:pt idx="37">
                  <c:v>2.3627234622836113E-2</c:v>
                </c:pt>
                <c:pt idx="38">
                  <c:v>2.3973748087882996E-2</c:v>
                </c:pt>
                <c:pt idx="39">
                  <c:v>2.4681147187948227E-2</c:v>
                </c:pt>
                <c:pt idx="40">
                  <c:v>2.6090782135725021E-2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D69-4984-B90B-6AB10302B5ED}"/>
            </c:ext>
          </c:extLst>
        </c:ser>
        <c:ser>
          <c:idx val="22"/>
          <c:order val="22"/>
          <c:tx>
            <c:strRef>
              <c:f>Skymaps!$D$232</c:f>
              <c:strCache>
                <c:ptCount val="1"/>
                <c:pt idx="0">
                  <c:v>22000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Skymaps!$E$232:$BC$232</c:f>
              <c:numCache>
                <c:formatCode>General</c:formatCode>
                <c:ptCount val="51"/>
                <c:pt idx="22">
                  <c:v>0.11186010390520096</c:v>
                </c:pt>
                <c:pt idx="23">
                  <c:v>6.7453920841217041E-2</c:v>
                </c:pt>
                <c:pt idx="24">
                  <c:v>5.2822194993495941E-2</c:v>
                </c:pt>
                <c:pt idx="25">
                  <c:v>4.651845246553421E-2</c:v>
                </c:pt>
                <c:pt idx="26">
                  <c:v>4.1341237723827362E-2</c:v>
                </c:pt>
                <c:pt idx="27">
                  <c:v>3.7476688623428345E-2</c:v>
                </c:pt>
                <c:pt idx="28">
                  <c:v>3.4695450216531754E-2</c:v>
                </c:pt>
                <c:pt idx="29">
                  <c:v>3.221319243311882E-2</c:v>
                </c:pt>
                <c:pt idx="30">
                  <c:v>2.9746761545538902E-2</c:v>
                </c:pt>
                <c:pt idx="31">
                  <c:v>2.8424708172678947E-2</c:v>
                </c:pt>
                <c:pt idx="32">
                  <c:v>2.7486756443977356E-2</c:v>
                </c:pt>
                <c:pt idx="33">
                  <c:v>2.6288066059350967E-2</c:v>
                </c:pt>
                <c:pt idx="34">
                  <c:v>2.5728633627295494E-2</c:v>
                </c:pt>
                <c:pt idx="35">
                  <c:v>2.4732664227485657E-2</c:v>
                </c:pt>
                <c:pt idx="36">
                  <c:v>2.447846345603466E-2</c:v>
                </c:pt>
                <c:pt idx="37">
                  <c:v>2.4184912443161011E-2</c:v>
                </c:pt>
                <c:pt idx="38">
                  <c:v>2.4280086159706116E-2</c:v>
                </c:pt>
                <c:pt idx="39">
                  <c:v>2.5088243186473846E-2</c:v>
                </c:pt>
                <c:pt idx="40">
                  <c:v>2.6735242456197739E-2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D69-4984-B90B-6AB10302B5ED}"/>
            </c:ext>
          </c:extLst>
        </c:ser>
        <c:ser>
          <c:idx val="23"/>
          <c:order val="23"/>
          <c:tx>
            <c:strRef>
              <c:f>Skymaps!$D$233</c:f>
              <c:strCache>
                <c:ptCount val="1"/>
                <c:pt idx="0">
                  <c:v>23000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Skymaps!$E$233:$BC$233</c:f>
              <c:numCache>
                <c:formatCode>General</c:formatCode>
                <c:ptCount val="51"/>
                <c:pt idx="23">
                  <c:v>8.45799520611763E-2</c:v>
                </c:pt>
                <c:pt idx="24">
                  <c:v>5.7145066559314728E-2</c:v>
                </c:pt>
                <c:pt idx="25">
                  <c:v>4.8963736742734909E-2</c:v>
                </c:pt>
                <c:pt idx="26">
                  <c:v>4.3490614742040634E-2</c:v>
                </c:pt>
                <c:pt idx="27">
                  <c:v>3.9320673793554306E-2</c:v>
                </c:pt>
                <c:pt idx="28">
                  <c:v>3.5875748842954636E-2</c:v>
                </c:pt>
                <c:pt idx="29">
                  <c:v>3.3249653875827789E-2</c:v>
                </c:pt>
                <c:pt idx="30">
                  <c:v>3.1250402331352234E-2</c:v>
                </c:pt>
                <c:pt idx="31">
                  <c:v>2.9505332931876183E-2</c:v>
                </c:pt>
                <c:pt idx="32">
                  <c:v>2.8015175834298134E-2</c:v>
                </c:pt>
                <c:pt idx="33">
                  <c:v>2.7362942695617676E-2</c:v>
                </c:pt>
                <c:pt idx="34">
                  <c:v>2.6102829724550247E-2</c:v>
                </c:pt>
                <c:pt idx="35">
                  <c:v>2.5625521317124367E-2</c:v>
                </c:pt>
                <c:pt idx="36">
                  <c:v>2.4898126721382141E-2</c:v>
                </c:pt>
                <c:pt idx="37">
                  <c:v>2.4787601083517075E-2</c:v>
                </c:pt>
                <c:pt idx="38">
                  <c:v>2.4815456941723824E-2</c:v>
                </c:pt>
                <c:pt idx="39">
                  <c:v>2.5376105681061745E-2</c:v>
                </c:pt>
                <c:pt idx="40">
                  <c:v>2.7340838685631752E-2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D69-4984-B90B-6AB10302B5ED}"/>
            </c:ext>
          </c:extLst>
        </c:ser>
        <c:ser>
          <c:idx val="24"/>
          <c:order val="24"/>
          <c:tx>
            <c:strRef>
              <c:f>Skymaps!$D$234</c:f>
              <c:strCache>
                <c:ptCount val="1"/>
                <c:pt idx="0">
                  <c:v>24000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Skymaps!$E$234:$BC$234</c:f>
              <c:numCache>
                <c:formatCode>General</c:formatCode>
                <c:ptCount val="51"/>
                <c:pt idx="23">
                  <c:v>0.10960699617862701</c:v>
                </c:pt>
                <c:pt idx="24">
                  <c:v>6.760329008102417E-2</c:v>
                </c:pt>
                <c:pt idx="25">
                  <c:v>5.2957102656364441E-2</c:v>
                </c:pt>
                <c:pt idx="26">
                  <c:v>4.7177709639072418E-2</c:v>
                </c:pt>
                <c:pt idx="27">
                  <c:v>4.2349312454462051E-2</c:v>
                </c:pt>
                <c:pt idx="28">
                  <c:v>3.850233182311058E-2</c:v>
                </c:pt>
                <c:pt idx="29">
                  <c:v>3.5271678119897842E-2</c:v>
                </c:pt>
                <c:pt idx="30">
                  <c:v>3.2462116330862045E-2</c:v>
                </c:pt>
                <c:pt idx="31">
                  <c:v>3.0415438115596771E-2</c:v>
                </c:pt>
                <c:pt idx="32">
                  <c:v>2.9214212670922279E-2</c:v>
                </c:pt>
                <c:pt idx="33">
                  <c:v>2.7789007872343063E-2</c:v>
                </c:pt>
                <c:pt idx="34">
                  <c:v>2.697371318936348E-2</c:v>
                </c:pt>
                <c:pt idx="35">
                  <c:v>2.6004606857895851E-2</c:v>
                </c:pt>
                <c:pt idx="36">
                  <c:v>2.5676170364022255E-2</c:v>
                </c:pt>
                <c:pt idx="37">
                  <c:v>2.5118386372923851E-2</c:v>
                </c:pt>
                <c:pt idx="38">
                  <c:v>2.5576779618859291E-2</c:v>
                </c:pt>
                <c:pt idx="39">
                  <c:v>2.5922574102878571E-2</c:v>
                </c:pt>
                <c:pt idx="40">
                  <c:v>2.7647256851196289E-2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D69-4984-B90B-6AB10302B5ED}"/>
            </c:ext>
          </c:extLst>
        </c:ser>
        <c:ser>
          <c:idx val="25"/>
          <c:order val="25"/>
          <c:tx>
            <c:strRef>
              <c:f>Skymaps!$D$235</c:f>
              <c:strCache>
                <c:ptCount val="1"/>
                <c:pt idx="0">
                  <c:v>25000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Skymaps!$E$235:$BC$235</c:f>
              <c:numCache>
                <c:formatCode>General</c:formatCode>
                <c:ptCount val="51"/>
                <c:pt idx="24">
                  <c:v>8.5143126547336578E-2</c:v>
                </c:pt>
                <c:pt idx="25">
                  <c:v>5.8025795966386795E-2</c:v>
                </c:pt>
                <c:pt idx="26">
                  <c:v>4.9823794513940811E-2</c:v>
                </c:pt>
                <c:pt idx="27">
                  <c:v>4.4158097356557846E-2</c:v>
                </c:pt>
                <c:pt idx="28">
                  <c:v>3.998919203877449E-2</c:v>
                </c:pt>
                <c:pt idx="29">
                  <c:v>3.6595653742551804E-2</c:v>
                </c:pt>
                <c:pt idx="30">
                  <c:v>3.4096822142601013E-2</c:v>
                </c:pt>
                <c:pt idx="31">
                  <c:v>3.225337341427803E-2</c:v>
                </c:pt>
                <c:pt idx="32">
                  <c:v>2.9953021556138992E-2</c:v>
                </c:pt>
                <c:pt idx="33">
                  <c:v>2.8698693960905075E-2</c:v>
                </c:pt>
                <c:pt idx="34">
                  <c:v>2.7693726122379303E-2</c:v>
                </c:pt>
                <c:pt idx="35">
                  <c:v>2.6667609810829163E-2</c:v>
                </c:pt>
                <c:pt idx="36">
                  <c:v>2.6224436238408089E-2</c:v>
                </c:pt>
                <c:pt idx="37">
                  <c:v>2.5792583823204041E-2</c:v>
                </c:pt>
                <c:pt idx="38">
                  <c:v>2.5816330686211586E-2</c:v>
                </c:pt>
                <c:pt idx="39">
                  <c:v>2.6767956092953682E-2</c:v>
                </c:pt>
                <c:pt idx="40">
                  <c:v>2.8290713205933571E-2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D69-4984-B90B-6AB10302B5ED}"/>
            </c:ext>
          </c:extLst>
        </c:ser>
        <c:ser>
          <c:idx val="26"/>
          <c:order val="26"/>
          <c:tx>
            <c:strRef>
              <c:f>Skymaps!$D$236</c:f>
              <c:strCache>
                <c:ptCount val="1"/>
                <c:pt idx="0">
                  <c:v>26000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Skymaps!$E$236:$BC$236</c:f>
              <c:numCache>
                <c:formatCode>General</c:formatCode>
                <c:ptCount val="51"/>
                <c:pt idx="24">
                  <c:v>0.11089406162500381</c:v>
                </c:pt>
                <c:pt idx="25">
                  <c:v>6.9645091891288757E-2</c:v>
                </c:pt>
                <c:pt idx="26">
                  <c:v>5.3526174277067184E-2</c:v>
                </c:pt>
                <c:pt idx="27">
                  <c:v>4.7424677759408951E-2</c:v>
                </c:pt>
                <c:pt idx="28">
                  <c:v>4.2867306619882584E-2</c:v>
                </c:pt>
                <c:pt idx="29">
                  <c:v>3.897780179977417E-2</c:v>
                </c:pt>
                <c:pt idx="30">
                  <c:v>3.5606492310762405E-2</c:v>
                </c:pt>
                <c:pt idx="31">
                  <c:v>3.315422311425209E-2</c:v>
                </c:pt>
                <c:pt idx="32">
                  <c:v>3.1512774527072906E-2</c:v>
                </c:pt>
                <c:pt idx="33">
                  <c:v>2.9763843864202499E-2</c:v>
                </c:pt>
                <c:pt idx="34">
                  <c:v>2.8366141021251678E-2</c:v>
                </c:pt>
                <c:pt idx="35">
                  <c:v>2.7693029493093491E-2</c:v>
                </c:pt>
                <c:pt idx="36">
                  <c:v>2.6754399761557579E-2</c:v>
                </c:pt>
                <c:pt idx="37">
                  <c:v>2.6492390781641006E-2</c:v>
                </c:pt>
                <c:pt idx="38">
                  <c:v>2.6390006765723228E-2</c:v>
                </c:pt>
                <c:pt idx="39">
                  <c:v>2.7056245133280754E-2</c:v>
                </c:pt>
                <c:pt idx="40">
                  <c:v>2.9326446354389191E-2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D69-4984-B90B-6AB10302B5ED}"/>
            </c:ext>
          </c:extLst>
        </c:ser>
        <c:ser>
          <c:idx val="27"/>
          <c:order val="27"/>
          <c:tx>
            <c:strRef>
              <c:f>Skymaps!$D$237</c:f>
              <c:strCache>
                <c:ptCount val="1"/>
                <c:pt idx="0">
                  <c:v>27000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Skymaps!$E$237:$BC$237</c:f>
              <c:numCache>
                <c:formatCode>General</c:formatCode>
                <c:ptCount val="51"/>
                <c:pt idx="25">
                  <c:v>8.8852480053901672E-2</c:v>
                </c:pt>
                <c:pt idx="26">
                  <c:v>5.9967100620269775E-2</c:v>
                </c:pt>
                <c:pt idx="27">
                  <c:v>5.1494743674993515E-2</c:v>
                </c:pt>
                <c:pt idx="28">
                  <c:v>4.5457970350980759E-2</c:v>
                </c:pt>
                <c:pt idx="29">
                  <c:v>4.1272271424531937E-2</c:v>
                </c:pt>
                <c:pt idx="30">
                  <c:v>3.7992570549249649E-2</c:v>
                </c:pt>
                <c:pt idx="31">
                  <c:v>3.5322993993759155E-2</c:v>
                </c:pt>
                <c:pt idx="32">
                  <c:v>3.2646514475345612E-2</c:v>
                </c:pt>
                <c:pt idx="33">
                  <c:v>3.0850445851683617E-2</c:v>
                </c:pt>
                <c:pt idx="34">
                  <c:v>2.975735254585743E-2</c:v>
                </c:pt>
                <c:pt idx="35">
                  <c:v>2.8175249695777893E-2</c:v>
                </c:pt>
                <c:pt idx="36">
                  <c:v>2.7801195159554482E-2</c:v>
                </c:pt>
                <c:pt idx="37">
                  <c:v>2.6908447965979576E-2</c:v>
                </c:pt>
                <c:pt idx="38">
                  <c:v>2.7370324358344078E-2</c:v>
                </c:pt>
                <c:pt idx="39">
                  <c:v>2.765783853828907E-2</c:v>
                </c:pt>
                <c:pt idx="40">
                  <c:v>2.983502671122551E-2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D69-4984-B90B-6AB10302B5ED}"/>
            </c:ext>
          </c:extLst>
        </c:ser>
        <c:ser>
          <c:idx val="28"/>
          <c:order val="28"/>
          <c:tx>
            <c:strRef>
              <c:f>Skymaps!$D$238</c:f>
              <c:strCache>
                <c:ptCount val="1"/>
                <c:pt idx="0">
                  <c:v>28000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Skymaps!$E$238:$BC$238</c:f>
              <c:numCache>
                <c:formatCode>General</c:formatCode>
                <c:ptCount val="51"/>
                <c:pt idx="25">
                  <c:v>0.11683408170938492</c:v>
                </c:pt>
                <c:pt idx="26">
                  <c:v>7.336907833814621E-2</c:v>
                </c:pt>
                <c:pt idx="27">
                  <c:v>5.4801356047391891E-2</c:v>
                </c:pt>
                <c:pt idx="28">
                  <c:v>4.8299968242645264E-2</c:v>
                </c:pt>
                <c:pt idx="29">
                  <c:v>4.3511629104614258E-2</c:v>
                </c:pt>
                <c:pt idx="30">
                  <c:v>3.9693340659141541E-2</c:v>
                </c:pt>
                <c:pt idx="31">
                  <c:v>3.6660049110651016E-2</c:v>
                </c:pt>
                <c:pt idx="32">
                  <c:v>3.4422013908624649E-2</c:v>
                </c:pt>
                <c:pt idx="33">
                  <c:v>3.2443426549434662E-2</c:v>
                </c:pt>
                <c:pt idx="34">
                  <c:v>3.0444223433732986E-2</c:v>
                </c:pt>
                <c:pt idx="35">
                  <c:v>2.9399525374174118E-2</c:v>
                </c:pt>
                <c:pt idx="36">
                  <c:v>2.8347266837954521E-2</c:v>
                </c:pt>
                <c:pt idx="37">
                  <c:v>2.7833107858896255E-2</c:v>
                </c:pt>
                <c:pt idx="38">
                  <c:v>2.7708301320672035E-2</c:v>
                </c:pt>
                <c:pt idx="39">
                  <c:v>2.8708493337035179E-2</c:v>
                </c:pt>
                <c:pt idx="40">
                  <c:v>3.0619725584983826E-2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D69-4984-B90B-6AB10302B5ED}"/>
            </c:ext>
          </c:extLst>
        </c:ser>
        <c:ser>
          <c:idx val="29"/>
          <c:order val="29"/>
          <c:tx>
            <c:strRef>
              <c:f>Skymaps!$D$239</c:f>
              <c:strCache>
                <c:ptCount val="1"/>
                <c:pt idx="0">
                  <c:v>29000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Skymaps!$E$239:$BC$239</c:f>
              <c:numCache>
                <c:formatCode>General</c:formatCode>
                <c:ptCount val="51"/>
                <c:pt idx="26">
                  <c:v>9.4852626323699951E-2</c:v>
                </c:pt>
                <c:pt idx="27">
                  <c:v>6.3365407288074493E-2</c:v>
                </c:pt>
                <c:pt idx="28">
                  <c:v>5.2802547812461853E-2</c:v>
                </c:pt>
                <c:pt idx="29">
                  <c:v>4.7210510820150375E-2</c:v>
                </c:pt>
                <c:pt idx="30">
                  <c:v>4.2792055755853653E-2</c:v>
                </c:pt>
                <c:pt idx="31">
                  <c:v>3.9081033319234848E-2</c:v>
                </c:pt>
                <c:pt idx="32">
                  <c:v>3.5924255847930908E-2</c:v>
                </c:pt>
                <c:pt idx="33">
                  <c:v>3.3630561083555222E-2</c:v>
                </c:pt>
                <c:pt idx="34">
                  <c:v>3.2377380877733231E-2</c:v>
                </c:pt>
                <c:pt idx="35">
                  <c:v>3.0182136222720146E-2</c:v>
                </c:pt>
                <c:pt idx="36">
                  <c:v>2.9374660924077034E-2</c:v>
                </c:pt>
                <c:pt idx="37">
                  <c:v>2.8587989509105682E-2</c:v>
                </c:pt>
                <c:pt idx="38">
                  <c:v>2.8579166159033775E-2</c:v>
                </c:pt>
                <c:pt idx="39">
                  <c:v>2.9130320996046066E-2</c:v>
                </c:pt>
                <c:pt idx="40">
                  <c:v>3.2076757401227951E-2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D69-4984-B90B-6AB10302B5ED}"/>
            </c:ext>
          </c:extLst>
        </c:ser>
        <c:ser>
          <c:idx val="30"/>
          <c:order val="30"/>
          <c:tx>
            <c:strRef>
              <c:f>Skymaps!$D$240</c:f>
              <c:strCache>
                <c:ptCount val="1"/>
                <c:pt idx="0">
                  <c:v>30000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Skymaps!$E$240:$BC$240</c:f>
              <c:numCache>
                <c:formatCode>General</c:formatCode>
                <c:ptCount val="51"/>
                <c:pt idx="27">
                  <c:v>7.9429268836975098E-2</c:v>
                </c:pt>
                <c:pt idx="28">
                  <c:v>5.7309973984956741E-2</c:v>
                </c:pt>
                <c:pt idx="29">
                  <c:v>5.0304815173149109E-2</c:v>
                </c:pt>
                <c:pt idx="30">
                  <c:v>4.5102670788764954E-2</c:v>
                </c:pt>
                <c:pt idx="31">
                  <c:v>4.1399754583835602E-2</c:v>
                </c:pt>
                <c:pt idx="32">
                  <c:v>3.8615386933088303E-2</c:v>
                </c:pt>
                <c:pt idx="33">
                  <c:v>3.5592850297689438E-2</c:v>
                </c:pt>
                <c:pt idx="34">
                  <c:v>3.3121462911367416E-2</c:v>
                </c:pt>
                <c:pt idx="35">
                  <c:v>3.1635507941246033E-2</c:v>
                </c:pt>
                <c:pt idx="36">
                  <c:v>3.0411656945943832E-2</c:v>
                </c:pt>
                <c:pt idx="37">
                  <c:v>2.9454665258526802E-2</c:v>
                </c:pt>
                <c:pt idx="38">
                  <c:v>2.9536448419094086E-2</c:v>
                </c:pt>
                <c:pt idx="39">
                  <c:v>3.0038338154554367E-2</c:v>
                </c:pt>
                <c:pt idx="40">
                  <c:v>3.2818332314491272E-2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D69-4984-B90B-6AB10302B5ED}"/>
            </c:ext>
          </c:extLst>
        </c:ser>
        <c:ser>
          <c:idx val="31"/>
          <c:order val="31"/>
          <c:tx>
            <c:strRef>
              <c:f>Skymaps!$D$241</c:f>
              <c:strCache>
                <c:ptCount val="1"/>
                <c:pt idx="0">
                  <c:v>31000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Skymaps!$E$241:$BC$241</c:f>
              <c:numCache>
                <c:formatCode>General</c:formatCode>
                <c:ptCount val="51"/>
                <c:pt idx="27">
                  <c:v>0.10422644764184952</c:v>
                </c:pt>
                <c:pt idx="28">
                  <c:v>6.8851515650749207E-2</c:v>
                </c:pt>
                <c:pt idx="29">
                  <c:v>5.407855287194252E-2</c:v>
                </c:pt>
                <c:pt idx="30">
                  <c:v>4.8132810741662979E-2</c:v>
                </c:pt>
                <c:pt idx="31">
                  <c:v>4.3729014694690704E-2</c:v>
                </c:pt>
                <c:pt idx="32">
                  <c:v>4.0215764194726944E-2</c:v>
                </c:pt>
                <c:pt idx="33">
                  <c:v>3.7470255047082901E-2</c:v>
                </c:pt>
                <c:pt idx="34">
                  <c:v>3.5466164350509644E-2</c:v>
                </c:pt>
                <c:pt idx="35">
                  <c:v>3.2845243811607361E-2</c:v>
                </c:pt>
                <c:pt idx="36">
                  <c:v>3.1590841710567474E-2</c:v>
                </c:pt>
                <c:pt idx="37">
                  <c:v>3.0723622068762779E-2</c:v>
                </c:pt>
                <c:pt idx="38">
                  <c:v>3.0310798436403275E-2</c:v>
                </c:pt>
                <c:pt idx="39">
                  <c:v>3.1186314299702644E-2</c:v>
                </c:pt>
                <c:pt idx="40">
                  <c:v>3.4030567854642868E-2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D69-4984-B90B-6AB10302B5ED}"/>
            </c:ext>
          </c:extLst>
        </c:ser>
        <c:ser>
          <c:idx val="32"/>
          <c:order val="32"/>
          <c:tx>
            <c:strRef>
              <c:f>Skymaps!$D$242</c:f>
              <c:strCache>
                <c:ptCount val="1"/>
                <c:pt idx="0">
                  <c:v>32000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Skymaps!$E$242:$BC$242</c:f>
              <c:numCache>
                <c:formatCode>General</c:formatCode>
                <c:ptCount val="51"/>
                <c:pt idx="28">
                  <c:v>8.8586784899234772E-2</c:v>
                </c:pt>
                <c:pt idx="29">
                  <c:v>6.1816193163394928E-2</c:v>
                </c:pt>
                <c:pt idx="30">
                  <c:v>5.2795324474573135E-2</c:v>
                </c:pt>
                <c:pt idx="31">
                  <c:v>4.7364655882120132E-2</c:v>
                </c:pt>
                <c:pt idx="32">
                  <c:v>4.3143950402736664E-2</c:v>
                </c:pt>
                <c:pt idx="33">
                  <c:v>3.9574075490236282E-2</c:v>
                </c:pt>
                <c:pt idx="34">
                  <c:v>3.6739207804203033E-2</c:v>
                </c:pt>
                <c:pt idx="35">
                  <c:v>3.4801192581653595E-2</c:v>
                </c:pt>
                <c:pt idx="36">
                  <c:v>3.3215675503015518E-2</c:v>
                </c:pt>
                <c:pt idx="37">
                  <c:v>3.1678400933742523E-2</c:v>
                </c:pt>
                <c:pt idx="38">
                  <c:v>3.2052997499704361E-2</c:v>
                </c:pt>
                <c:pt idx="39">
                  <c:v>3.214685246348381E-2</c:v>
                </c:pt>
                <c:pt idx="40">
                  <c:v>3.5841334611177444E-2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D69-4984-B90B-6AB10302B5ED}"/>
            </c:ext>
          </c:extLst>
        </c:ser>
        <c:ser>
          <c:idx val="33"/>
          <c:order val="33"/>
          <c:tx>
            <c:strRef>
              <c:f>Skymaps!$D$243</c:f>
              <c:strCache>
                <c:ptCount val="1"/>
                <c:pt idx="0">
                  <c:v>33000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Skymaps!$E$243:$BC$243</c:f>
              <c:numCache>
                <c:formatCode>General</c:formatCode>
                <c:ptCount val="51"/>
                <c:pt idx="29">
                  <c:v>7.7309161424636841E-2</c:v>
                </c:pt>
                <c:pt idx="30">
                  <c:v>5.7252507656812668E-2</c:v>
                </c:pt>
                <c:pt idx="31">
                  <c:v>5.1092501729726791E-2</c:v>
                </c:pt>
                <c:pt idx="32">
                  <c:v>4.6227730810642242E-2</c:v>
                </c:pt>
                <c:pt idx="33">
                  <c:v>4.2791005223989487E-2</c:v>
                </c:pt>
                <c:pt idx="34">
                  <c:v>3.9300985634326935E-2</c:v>
                </c:pt>
                <c:pt idx="35">
                  <c:v>3.6289032548666E-2</c:v>
                </c:pt>
                <c:pt idx="36">
                  <c:v>3.4794718027114868E-2</c:v>
                </c:pt>
                <c:pt idx="37">
                  <c:v>3.3681806176900864E-2</c:v>
                </c:pt>
                <c:pt idx="38">
                  <c:v>3.2943680882453918E-2</c:v>
                </c:pt>
                <c:pt idx="39">
                  <c:v>3.438602015376091E-2</c:v>
                </c:pt>
                <c:pt idx="40">
                  <c:v>3.7072725594043732E-2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AD69-4984-B90B-6AB10302B5ED}"/>
            </c:ext>
          </c:extLst>
        </c:ser>
        <c:ser>
          <c:idx val="34"/>
          <c:order val="34"/>
          <c:tx>
            <c:strRef>
              <c:f>Skymaps!$D$244</c:f>
              <c:strCache>
                <c:ptCount val="1"/>
                <c:pt idx="0">
                  <c:v>34000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Skymaps!$E$244:$BC$244</c:f>
              <c:numCache>
                <c:formatCode>General</c:formatCode>
                <c:ptCount val="51"/>
                <c:pt idx="30">
                  <c:v>6.8972967565059662E-2</c:v>
                </c:pt>
                <c:pt idx="31">
                  <c:v>5.4750613868236542E-2</c:v>
                </c:pt>
                <c:pt idx="32">
                  <c:v>4.9191705882549286E-2</c:v>
                </c:pt>
                <c:pt idx="33">
                  <c:v>4.490850493311882E-2</c:v>
                </c:pt>
                <c:pt idx="34">
                  <c:v>4.1651483625173569E-2</c:v>
                </c:pt>
                <c:pt idx="35">
                  <c:v>3.9248686283826828E-2</c:v>
                </c:pt>
                <c:pt idx="36">
                  <c:v>3.670768067240715E-2</c:v>
                </c:pt>
                <c:pt idx="37">
                  <c:v>3.496185690164566E-2</c:v>
                </c:pt>
                <c:pt idx="38">
                  <c:v>3.5388674587011337E-2</c:v>
                </c:pt>
                <c:pt idx="39">
                  <c:v>3.5336267203092575E-2</c:v>
                </c:pt>
                <c:pt idx="40">
                  <c:v>4.0226221084594727E-2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AD69-4984-B90B-6AB10302B5ED}"/>
            </c:ext>
          </c:extLst>
        </c:ser>
        <c:ser>
          <c:idx val="35"/>
          <c:order val="35"/>
          <c:tx>
            <c:strRef>
              <c:f>Skymaps!$D$245</c:f>
              <c:strCache>
                <c:ptCount val="1"/>
                <c:pt idx="0">
                  <c:v>35000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Skymaps!$E$245:$BC$245</c:f>
              <c:numCache>
                <c:formatCode>General</c:formatCode>
                <c:ptCount val="51"/>
                <c:pt idx="31">
                  <c:v>6.3543453812599182E-2</c:v>
                </c:pt>
                <c:pt idx="32">
                  <c:v>5.3482916206121445E-2</c:v>
                </c:pt>
                <c:pt idx="33">
                  <c:v>4.8165790736675262E-2</c:v>
                </c:pt>
                <c:pt idx="34">
                  <c:v>4.4115688651800156E-2</c:v>
                </c:pt>
                <c:pt idx="35">
                  <c:v>4.092804342508316E-2</c:v>
                </c:pt>
                <c:pt idx="36">
                  <c:v>3.9262030273675919E-2</c:v>
                </c:pt>
                <c:pt idx="37">
                  <c:v>3.7250198423862457E-2</c:v>
                </c:pt>
                <c:pt idx="38">
                  <c:v>3.6573488265275955E-2</c:v>
                </c:pt>
                <c:pt idx="39">
                  <c:v>3.8233678787946701E-2</c:v>
                </c:pt>
                <c:pt idx="40">
                  <c:v>4.1559655219316483E-2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AD69-4984-B90B-6AB10302B5ED}"/>
            </c:ext>
          </c:extLst>
        </c:ser>
        <c:ser>
          <c:idx val="36"/>
          <c:order val="36"/>
          <c:tx>
            <c:strRef>
              <c:f>Skymaps!$D$246</c:f>
              <c:strCache>
                <c:ptCount val="1"/>
                <c:pt idx="0">
                  <c:v>36000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Skymaps!$E$246:$BC$246</c:f>
              <c:numCache>
                <c:formatCode>General</c:formatCode>
                <c:ptCount val="51"/>
                <c:pt idx="33">
                  <c:v>5.3072832524776459E-2</c:v>
                </c:pt>
                <c:pt idx="34">
                  <c:v>4.7764725983142853E-2</c:v>
                </c:pt>
                <c:pt idx="35">
                  <c:v>4.3726436793804169E-2</c:v>
                </c:pt>
                <c:pt idx="36">
                  <c:v>4.1369307786226273E-2</c:v>
                </c:pt>
                <c:pt idx="37">
                  <c:v>3.9453987032175064E-2</c:v>
                </c:pt>
                <c:pt idx="38">
                  <c:v>3.9332233369350433E-2</c:v>
                </c:pt>
                <c:pt idx="39">
                  <c:v>3.9602577686309814E-2</c:v>
                </c:pt>
                <c:pt idx="40">
                  <c:v>4.5004740357398987E-2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D69-4984-B90B-6AB10302B5ED}"/>
            </c:ext>
          </c:extLst>
        </c:ser>
        <c:ser>
          <c:idx val="37"/>
          <c:order val="37"/>
          <c:tx>
            <c:strRef>
              <c:f>Skymaps!$D$247</c:f>
              <c:strCache>
                <c:ptCount val="1"/>
                <c:pt idx="0">
                  <c:v>37000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Skymaps!$E$247:$BC$247</c:f>
              <c:numCache>
                <c:formatCode>General</c:formatCode>
                <c:ptCount val="51"/>
                <c:pt idx="35">
                  <c:v>4.7720476984977722E-2</c:v>
                </c:pt>
                <c:pt idx="36">
                  <c:v>4.4730536639690399E-2</c:v>
                </c:pt>
                <c:pt idx="37">
                  <c:v>4.2003121227025986E-2</c:v>
                </c:pt>
                <c:pt idx="38">
                  <c:v>4.155571386218071E-2</c:v>
                </c:pt>
                <c:pt idx="39">
                  <c:v>4.2856413871049881E-2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D69-4984-B90B-6AB10302B5ED}"/>
            </c:ext>
          </c:extLst>
        </c:ser>
        <c:ser>
          <c:idx val="38"/>
          <c:order val="38"/>
          <c:tx>
            <c:strRef>
              <c:f>Skymaps!$D$248</c:f>
              <c:strCache>
                <c:ptCount val="1"/>
                <c:pt idx="0">
                  <c:v>38000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Skymaps!$E$248:$BC$248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6-AD69-4984-B90B-6AB10302B5ED}"/>
            </c:ext>
          </c:extLst>
        </c:ser>
        <c:ser>
          <c:idx val="39"/>
          <c:order val="39"/>
          <c:tx>
            <c:strRef>
              <c:f>Skymaps!$D$249</c:f>
              <c:strCache>
                <c:ptCount val="1"/>
                <c:pt idx="0">
                  <c:v>39000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Skymaps!$E$249:$BC$249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AD69-4984-B90B-6AB10302B5ED}"/>
            </c:ext>
          </c:extLst>
        </c:ser>
        <c:ser>
          <c:idx val="40"/>
          <c:order val="40"/>
          <c:tx>
            <c:strRef>
              <c:f>Skymaps!$D$250</c:f>
              <c:strCache>
                <c:ptCount val="1"/>
                <c:pt idx="0">
                  <c:v>40000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Skymaps!$E$250:$BC$250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AD69-4984-B90B-6AB10302B5ED}"/>
            </c:ext>
          </c:extLst>
        </c:ser>
        <c:ser>
          <c:idx val="41"/>
          <c:order val="41"/>
          <c:tx>
            <c:strRef>
              <c:f>Skymaps!$D$251</c:f>
              <c:strCache>
                <c:ptCount val="1"/>
                <c:pt idx="0">
                  <c:v>41000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Skymaps!$E$251:$BC$251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AD69-4984-B90B-6AB10302B5ED}"/>
            </c:ext>
          </c:extLst>
        </c:ser>
        <c:ser>
          <c:idx val="42"/>
          <c:order val="42"/>
          <c:tx>
            <c:strRef>
              <c:f>Skymaps!$D$252</c:f>
              <c:strCache>
                <c:ptCount val="1"/>
                <c:pt idx="0">
                  <c:v>42000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Skymaps!$E$252:$BC$252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AD69-4984-B90B-6AB10302B5ED}"/>
            </c:ext>
          </c:extLst>
        </c:ser>
        <c:ser>
          <c:idx val="43"/>
          <c:order val="43"/>
          <c:tx>
            <c:strRef>
              <c:f>Skymaps!$D$253</c:f>
              <c:strCache>
                <c:ptCount val="1"/>
                <c:pt idx="0">
                  <c:v>43000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Skymaps!$E$253:$BC$253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AD69-4984-B90B-6AB10302B5ED}"/>
            </c:ext>
          </c:extLst>
        </c:ser>
        <c:ser>
          <c:idx val="44"/>
          <c:order val="44"/>
          <c:tx>
            <c:strRef>
              <c:f>Skymaps!$D$254</c:f>
              <c:strCache>
                <c:ptCount val="1"/>
                <c:pt idx="0">
                  <c:v>44000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Skymaps!$E$254:$BC$254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AD69-4984-B90B-6AB10302B5ED}"/>
            </c:ext>
          </c:extLst>
        </c:ser>
        <c:ser>
          <c:idx val="45"/>
          <c:order val="45"/>
          <c:tx>
            <c:strRef>
              <c:f>Skymaps!$D$255</c:f>
              <c:strCache>
                <c:ptCount val="1"/>
                <c:pt idx="0">
                  <c:v>45000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Skymaps!$E$255:$BC$255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AD69-4984-B90B-6AB10302B5ED}"/>
            </c:ext>
          </c:extLst>
        </c:ser>
        <c:ser>
          <c:idx val="46"/>
          <c:order val="46"/>
          <c:tx>
            <c:strRef>
              <c:f>Skymaps!$D$256</c:f>
              <c:strCache>
                <c:ptCount val="1"/>
                <c:pt idx="0">
                  <c:v>46000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Skymaps!$E$256:$BC$256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AD69-4984-B90B-6AB10302B5ED}"/>
            </c:ext>
          </c:extLst>
        </c:ser>
        <c:ser>
          <c:idx val="47"/>
          <c:order val="47"/>
          <c:tx>
            <c:strRef>
              <c:f>Skymaps!$D$257</c:f>
              <c:strCache>
                <c:ptCount val="1"/>
                <c:pt idx="0">
                  <c:v>47000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Skymaps!$E$257:$BC$257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AD69-4984-B90B-6AB10302B5ED}"/>
            </c:ext>
          </c:extLst>
        </c:ser>
        <c:ser>
          <c:idx val="48"/>
          <c:order val="48"/>
          <c:tx>
            <c:strRef>
              <c:f>Skymaps!$D$258</c:f>
              <c:strCache>
                <c:ptCount val="1"/>
                <c:pt idx="0">
                  <c:v>48000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Skymaps!$E$258:$BC$258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AD69-4984-B90B-6AB10302B5ED}"/>
            </c:ext>
          </c:extLst>
        </c:ser>
        <c:ser>
          <c:idx val="49"/>
          <c:order val="49"/>
          <c:tx>
            <c:strRef>
              <c:f>Skymaps!$D$259</c:f>
              <c:strCache>
                <c:ptCount val="1"/>
                <c:pt idx="0">
                  <c:v>49000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Skymaps!$E$259:$BC$259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AD69-4984-B90B-6AB10302B5ED}"/>
            </c:ext>
          </c:extLst>
        </c:ser>
        <c:ser>
          <c:idx val="50"/>
          <c:order val="50"/>
          <c:tx>
            <c:strRef>
              <c:f>Skymaps!$D$260</c:f>
              <c:strCache>
                <c:ptCount val="1"/>
                <c:pt idx="0">
                  <c:v>50000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Skymaps!$E$260:$BC$260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AD69-4984-B90B-6AB10302B5ED}"/>
            </c:ext>
          </c:extLst>
        </c:ser>
        <c:bandFmts/>
        <c:axId val="457659624"/>
        <c:axId val="457668808"/>
        <c:axId val="621233168"/>
      </c:surfaceChart>
      <c:catAx>
        <c:axId val="457659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8808"/>
        <c:crosses val="autoZero"/>
        <c:auto val="1"/>
        <c:lblAlgn val="ctr"/>
        <c:lblOffset val="100"/>
        <c:noMultiLvlLbl val="0"/>
      </c:catAx>
      <c:valAx>
        <c:axId val="457668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457659624"/>
        <c:crosses val="autoZero"/>
        <c:crossBetween val="midCat"/>
        <c:majorUnit val="5.000000000000001E-3"/>
      </c:valAx>
      <c:serAx>
        <c:axId val="62123316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8808"/>
        <c:crosses val="autoZero"/>
      </c:ser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Skymaps!$D$262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Skymaps!$E$262:$BC$262</c:f>
              <c:numCache>
                <c:formatCode>General</c:formatCode>
                <c:ptCount val="51"/>
                <c:pt idx="13">
                  <c:v>35944.67578125</c:v>
                </c:pt>
                <c:pt idx="14">
                  <c:v>17481.916015625</c:v>
                </c:pt>
                <c:pt idx="15">
                  <c:v>9027.4794921875</c:v>
                </c:pt>
                <c:pt idx="16">
                  <c:v>7514.52001953125</c:v>
                </c:pt>
                <c:pt idx="17">
                  <c:v>7144.18115234375</c:v>
                </c:pt>
                <c:pt idx="18">
                  <c:v>7001.72265625</c:v>
                </c:pt>
                <c:pt idx="19">
                  <c:v>6991.77734375</c:v>
                </c:pt>
                <c:pt idx="20">
                  <c:v>7019.55322265625</c:v>
                </c:pt>
                <c:pt idx="21">
                  <c:v>7270.05908203125</c:v>
                </c:pt>
                <c:pt idx="22">
                  <c:v>7499.904296875</c:v>
                </c:pt>
                <c:pt idx="23">
                  <c:v>7720.2802734375</c:v>
                </c:pt>
                <c:pt idx="24">
                  <c:v>8088.35546875</c:v>
                </c:pt>
                <c:pt idx="25">
                  <c:v>8438.150390625</c:v>
                </c:pt>
                <c:pt idx="26">
                  <c:v>8904.9482421875</c:v>
                </c:pt>
                <c:pt idx="27">
                  <c:v>9311.08984375</c:v>
                </c:pt>
                <c:pt idx="28">
                  <c:v>9888.8232421875</c:v>
                </c:pt>
                <c:pt idx="29">
                  <c:v>10405.8017578125</c:v>
                </c:pt>
                <c:pt idx="30">
                  <c:v>10984.8408203125</c:v>
                </c:pt>
                <c:pt idx="31">
                  <c:v>11680.84375</c:v>
                </c:pt>
                <c:pt idx="32">
                  <c:v>12484.259765625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1-453A-A88D-D96216F2FDFF}"/>
            </c:ext>
          </c:extLst>
        </c:ser>
        <c:ser>
          <c:idx val="1"/>
          <c:order val="1"/>
          <c:tx>
            <c:strRef>
              <c:f>Skymaps!$D$263</c:f>
              <c:strCache>
                <c:ptCount val="1"/>
                <c:pt idx="0">
                  <c:v>1000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Skymaps!$E$263:$BC$263</c:f>
              <c:numCache>
                <c:formatCode>General</c:formatCode>
                <c:ptCount val="51"/>
                <c:pt idx="14">
                  <c:v>21092.005859375</c:v>
                </c:pt>
                <c:pt idx="15">
                  <c:v>10485.689453125</c:v>
                </c:pt>
                <c:pt idx="16">
                  <c:v>7879.70751953125</c:v>
                </c:pt>
                <c:pt idx="17">
                  <c:v>7302.9892578125</c:v>
                </c:pt>
                <c:pt idx="18">
                  <c:v>6993.802734375</c:v>
                </c:pt>
                <c:pt idx="19">
                  <c:v>6907.8662109375</c:v>
                </c:pt>
                <c:pt idx="20">
                  <c:v>6931.20068359375</c:v>
                </c:pt>
                <c:pt idx="21">
                  <c:v>7111.36669921875</c:v>
                </c:pt>
                <c:pt idx="22">
                  <c:v>7334.7763671875</c:v>
                </c:pt>
                <c:pt idx="23">
                  <c:v>7634.27685546875</c:v>
                </c:pt>
                <c:pt idx="24">
                  <c:v>7966.69287109375</c:v>
                </c:pt>
                <c:pt idx="25">
                  <c:v>8251.4462890625</c:v>
                </c:pt>
                <c:pt idx="26">
                  <c:v>8743.20703125</c:v>
                </c:pt>
                <c:pt idx="27">
                  <c:v>9097.58203125</c:v>
                </c:pt>
                <c:pt idx="28">
                  <c:v>9583.6943359375</c:v>
                </c:pt>
                <c:pt idx="29">
                  <c:v>10140.5234375</c:v>
                </c:pt>
                <c:pt idx="30">
                  <c:v>10667.5546875</c:v>
                </c:pt>
                <c:pt idx="31">
                  <c:v>11311.48828125</c:v>
                </c:pt>
                <c:pt idx="32">
                  <c:v>12099.1162109375</c:v>
                </c:pt>
                <c:pt idx="33">
                  <c:v>12852.548828125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21-453A-A88D-D96216F2FDFF}"/>
            </c:ext>
          </c:extLst>
        </c:ser>
        <c:ser>
          <c:idx val="2"/>
          <c:order val="2"/>
          <c:tx>
            <c:strRef>
              <c:f>Skymaps!$D$264</c:f>
              <c:strCache>
                <c:ptCount val="1"/>
                <c:pt idx="0">
                  <c:v>2000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Skymaps!$E$264:$BC$264</c:f>
              <c:numCache>
                <c:formatCode>General</c:formatCode>
                <c:ptCount val="51"/>
                <c:pt idx="14">
                  <c:v>25315.876953125</c:v>
                </c:pt>
                <c:pt idx="15">
                  <c:v>12539.01953125</c:v>
                </c:pt>
                <c:pt idx="16">
                  <c:v>7911.07861328125</c:v>
                </c:pt>
                <c:pt idx="17">
                  <c:v>7355.78271484375</c:v>
                </c:pt>
                <c:pt idx="18">
                  <c:v>7143.79248046875</c:v>
                </c:pt>
                <c:pt idx="19">
                  <c:v>6950.0595703125</c:v>
                </c:pt>
                <c:pt idx="20">
                  <c:v>6886.69482421875</c:v>
                </c:pt>
                <c:pt idx="21">
                  <c:v>7015.30078125</c:v>
                </c:pt>
                <c:pt idx="22">
                  <c:v>7263.83203125</c:v>
                </c:pt>
                <c:pt idx="23">
                  <c:v>7597.2001953125</c:v>
                </c:pt>
                <c:pt idx="24">
                  <c:v>7766.27685546875</c:v>
                </c:pt>
                <c:pt idx="25">
                  <c:v>8122.6796875</c:v>
                </c:pt>
                <c:pt idx="26">
                  <c:v>8485.751953125</c:v>
                </c:pt>
                <c:pt idx="27">
                  <c:v>8928.0205078125</c:v>
                </c:pt>
                <c:pt idx="28">
                  <c:v>9322.3935546875</c:v>
                </c:pt>
                <c:pt idx="29">
                  <c:v>9876.1611328125</c:v>
                </c:pt>
                <c:pt idx="30">
                  <c:v>10375.4716796875</c:v>
                </c:pt>
                <c:pt idx="31">
                  <c:v>10967.6953125</c:v>
                </c:pt>
                <c:pt idx="32">
                  <c:v>11633.138671875</c:v>
                </c:pt>
                <c:pt idx="33">
                  <c:v>12451.4384765625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21-453A-A88D-D96216F2FDFF}"/>
            </c:ext>
          </c:extLst>
        </c:ser>
        <c:ser>
          <c:idx val="3"/>
          <c:order val="3"/>
          <c:tx>
            <c:strRef>
              <c:f>Skymaps!$D$265</c:f>
              <c:strCache>
                <c:ptCount val="1"/>
                <c:pt idx="0">
                  <c:v>3000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Skymaps!$E$265:$BC$265</c:f>
              <c:numCache>
                <c:formatCode>General</c:formatCode>
                <c:ptCount val="51"/>
                <c:pt idx="14">
                  <c:v>30171.796875</c:v>
                </c:pt>
                <c:pt idx="15">
                  <c:v>15202.546875</c:v>
                </c:pt>
                <c:pt idx="16">
                  <c:v>8484.912109375</c:v>
                </c:pt>
                <c:pt idx="17">
                  <c:v>7505.12451171875</c:v>
                </c:pt>
                <c:pt idx="18">
                  <c:v>7122.7255859375</c:v>
                </c:pt>
                <c:pt idx="19">
                  <c:v>6995.25390625</c:v>
                </c:pt>
                <c:pt idx="20">
                  <c:v>7024.8720703125</c:v>
                </c:pt>
                <c:pt idx="21">
                  <c:v>7037.57763671875</c:v>
                </c:pt>
                <c:pt idx="22">
                  <c:v>7208.18896484375</c:v>
                </c:pt>
                <c:pt idx="23">
                  <c:v>7387.82470703125</c:v>
                </c:pt>
                <c:pt idx="24">
                  <c:v>7650.515625</c:v>
                </c:pt>
                <c:pt idx="25">
                  <c:v>8017.966796875</c:v>
                </c:pt>
                <c:pt idx="26">
                  <c:v>8286.8154296875</c:v>
                </c:pt>
                <c:pt idx="27">
                  <c:v>8772.330078125</c:v>
                </c:pt>
                <c:pt idx="28">
                  <c:v>9105.5771484375</c:v>
                </c:pt>
                <c:pt idx="29">
                  <c:v>9569.736328125</c:v>
                </c:pt>
                <c:pt idx="30">
                  <c:v>10108.826171875</c:v>
                </c:pt>
                <c:pt idx="31">
                  <c:v>10649.638671875</c:v>
                </c:pt>
                <c:pt idx="32">
                  <c:v>11264.0087890625</c:v>
                </c:pt>
                <c:pt idx="33">
                  <c:v>11947.0068359375</c:v>
                </c:pt>
                <c:pt idx="34">
                  <c:v>12789.8212890625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521-453A-A88D-D96216F2FDFF}"/>
            </c:ext>
          </c:extLst>
        </c:ser>
        <c:ser>
          <c:idx val="4"/>
          <c:order val="4"/>
          <c:tx>
            <c:strRef>
              <c:f>Skymaps!$D$266</c:f>
              <c:strCache>
                <c:ptCount val="1"/>
                <c:pt idx="0">
                  <c:v>4000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Skymaps!$E$266:$BC$266</c:f>
              <c:numCache>
                <c:formatCode>General</c:formatCode>
                <c:ptCount val="51"/>
                <c:pt idx="14">
                  <c:v>35679.40234375</c:v>
                </c:pt>
                <c:pt idx="15">
                  <c:v>18492.546875</c:v>
                </c:pt>
                <c:pt idx="16">
                  <c:v>9661.453125</c:v>
                </c:pt>
                <c:pt idx="17">
                  <c:v>7714.43701171875</c:v>
                </c:pt>
                <c:pt idx="18">
                  <c:v>7321.79296875</c:v>
                </c:pt>
                <c:pt idx="19">
                  <c:v>7000.25439453125</c:v>
                </c:pt>
                <c:pt idx="20">
                  <c:v>6889.9384765625</c:v>
                </c:pt>
                <c:pt idx="21">
                  <c:v>6892.65771484375</c:v>
                </c:pt>
                <c:pt idx="22">
                  <c:v>7046.8408203125</c:v>
                </c:pt>
                <c:pt idx="23">
                  <c:v>7275.041015625</c:v>
                </c:pt>
                <c:pt idx="24">
                  <c:v>7621.0908203125</c:v>
                </c:pt>
                <c:pt idx="25">
                  <c:v>7791.8388671875</c:v>
                </c:pt>
                <c:pt idx="26">
                  <c:v>8147.43017578125</c:v>
                </c:pt>
                <c:pt idx="27">
                  <c:v>8507.33984375</c:v>
                </c:pt>
                <c:pt idx="28">
                  <c:v>8933.9658203125</c:v>
                </c:pt>
                <c:pt idx="29">
                  <c:v>9308.4013671875</c:v>
                </c:pt>
                <c:pt idx="30">
                  <c:v>9827.6865234375</c:v>
                </c:pt>
                <c:pt idx="31">
                  <c:v>10357.5361328125</c:v>
                </c:pt>
                <c:pt idx="32">
                  <c:v>10921.177734375</c:v>
                </c:pt>
                <c:pt idx="33">
                  <c:v>11553.697265625</c:v>
                </c:pt>
                <c:pt idx="34">
                  <c:v>12385.076171875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521-453A-A88D-D96216F2FDFF}"/>
            </c:ext>
          </c:extLst>
        </c:ser>
        <c:ser>
          <c:idx val="5"/>
          <c:order val="5"/>
          <c:tx>
            <c:strRef>
              <c:f>Skymaps!$D$267</c:f>
              <c:strCache>
                <c:ptCount val="1"/>
                <c:pt idx="0">
                  <c:v>5000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Skymaps!$E$267:$BC$267</c:f>
              <c:numCache>
                <c:formatCode>General</c:formatCode>
                <c:ptCount val="51"/>
                <c:pt idx="15">
                  <c:v>22426.650390625</c:v>
                </c:pt>
                <c:pt idx="16">
                  <c:v>11454.212890625</c:v>
                </c:pt>
                <c:pt idx="17">
                  <c:v>7856.85400390625</c:v>
                </c:pt>
                <c:pt idx="18">
                  <c:v>7332.26513671875</c:v>
                </c:pt>
                <c:pt idx="19">
                  <c:v>7123.78369140625</c:v>
                </c:pt>
                <c:pt idx="20">
                  <c:v>6981.49267578125</c:v>
                </c:pt>
                <c:pt idx="21">
                  <c:v>6912.91650390625</c:v>
                </c:pt>
                <c:pt idx="22">
                  <c:v>7005.77294921875</c:v>
                </c:pt>
                <c:pt idx="23">
                  <c:v>7259.1796875</c:v>
                </c:pt>
                <c:pt idx="24">
                  <c:v>7428.27880859375</c:v>
                </c:pt>
                <c:pt idx="25">
                  <c:v>7648.02978515625</c:v>
                </c:pt>
                <c:pt idx="26">
                  <c:v>8051.88623046875</c:v>
                </c:pt>
                <c:pt idx="27">
                  <c:v>8301.05859375</c:v>
                </c:pt>
                <c:pt idx="28">
                  <c:v>8767.033203125</c:v>
                </c:pt>
                <c:pt idx="29">
                  <c:v>9089.427734375</c:v>
                </c:pt>
                <c:pt idx="30">
                  <c:v>9523.6474609375</c:v>
                </c:pt>
                <c:pt idx="31">
                  <c:v>10090.66015625</c:v>
                </c:pt>
                <c:pt idx="32">
                  <c:v>10602.7626953125</c:v>
                </c:pt>
                <c:pt idx="33">
                  <c:v>11183.94921875</c:v>
                </c:pt>
                <c:pt idx="34">
                  <c:v>11829.6748046875</c:v>
                </c:pt>
                <c:pt idx="35">
                  <c:v>12513.552734375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521-453A-A88D-D96216F2FDFF}"/>
            </c:ext>
          </c:extLst>
        </c:ser>
        <c:ser>
          <c:idx val="6"/>
          <c:order val="6"/>
          <c:tx>
            <c:strRef>
              <c:f>Skymaps!$D$268</c:f>
              <c:strCache>
                <c:ptCount val="1"/>
                <c:pt idx="0">
                  <c:v>6000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Skymaps!$E$268:$BC$268</c:f>
              <c:numCache>
                <c:formatCode>General</c:formatCode>
                <c:ptCount val="51"/>
                <c:pt idx="15">
                  <c:v>27024.109375</c:v>
                </c:pt>
                <c:pt idx="16">
                  <c:v>13880.587890625</c:v>
                </c:pt>
                <c:pt idx="17">
                  <c:v>8281.6162109375</c:v>
                </c:pt>
                <c:pt idx="18">
                  <c:v>7504.482421875</c:v>
                </c:pt>
                <c:pt idx="19">
                  <c:v>7133.6484375</c:v>
                </c:pt>
                <c:pt idx="20">
                  <c:v>6960.9697265625</c:v>
                </c:pt>
                <c:pt idx="21">
                  <c:v>6944.7392578125</c:v>
                </c:pt>
                <c:pt idx="22">
                  <c:v>6947.134765625</c:v>
                </c:pt>
                <c:pt idx="23">
                  <c:v>7087.39794921875</c:v>
                </c:pt>
                <c:pt idx="24">
                  <c:v>7287.2900390625</c:v>
                </c:pt>
                <c:pt idx="25">
                  <c:v>7589.37158203125</c:v>
                </c:pt>
                <c:pt idx="26">
                  <c:v>7814.65234375</c:v>
                </c:pt>
                <c:pt idx="27">
                  <c:v>8158.99072265625</c:v>
                </c:pt>
                <c:pt idx="28">
                  <c:v>8502.365234375</c:v>
                </c:pt>
                <c:pt idx="29">
                  <c:v>8922.1640625</c:v>
                </c:pt>
                <c:pt idx="30">
                  <c:v>9266.94921875</c:v>
                </c:pt>
                <c:pt idx="31">
                  <c:v>9788.03125</c:v>
                </c:pt>
                <c:pt idx="32">
                  <c:v>10314.2216796875</c:v>
                </c:pt>
                <c:pt idx="33">
                  <c:v>10845.7529296875</c:v>
                </c:pt>
                <c:pt idx="34">
                  <c:v>11442.091796875</c:v>
                </c:pt>
                <c:pt idx="35">
                  <c:v>12097.9853515625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521-453A-A88D-D96216F2FDFF}"/>
            </c:ext>
          </c:extLst>
        </c:ser>
        <c:ser>
          <c:idx val="7"/>
          <c:order val="7"/>
          <c:tx>
            <c:strRef>
              <c:f>Skymaps!$D$269</c:f>
              <c:strCache>
                <c:ptCount val="1"/>
                <c:pt idx="0">
                  <c:v>7000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Skymaps!$E$269:$BC$269</c:f>
              <c:numCache>
                <c:formatCode>General</c:formatCode>
                <c:ptCount val="51"/>
                <c:pt idx="16">
                  <c:v>16956.36328125</c:v>
                </c:pt>
                <c:pt idx="17">
                  <c:v>9333.521484375</c:v>
                </c:pt>
                <c:pt idx="18">
                  <c:v>7687.76953125</c:v>
                </c:pt>
                <c:pt idx="19">
                  <c:v>7296.36279296875</c:v>
                </c:pt>
                <c:pt idx="20">
                  <c:v>7039.9033203125</c:v>
                </c:pt>
                <c:pt idx="21">
                  <c:v>6898.52490234375</c:v>
                </c:pt>
                <c:pt idx="22">
                  <c:v>6877.171875</c:v>
                </c:pt>
                <c:pt idx="23">
                  <c:v>7002.0576171875</c:v>
                </c:pt>
                <c:pt idx="24">
                  <c:v>7247.33837890625</c:v>
                </c:pt>
                <c:pt idx="25">
                  <c:v>7451.9033203125</c:v>
                </c:pt>
                <c:pt idx="26">
                  <c:v>7661.96728515625</c:v>
                </c:pt>
                <c:pt idx="27">
                  <c:v>8057.11083984375</c:v>
                </c:pt>
                <c:pt idx="28">
                  <c:v>8299.525390625</c:v>
                </c:pt>
                <c:pt idx="29">
                  <c:v>8736.513671875</c:v>
                </c:pt>
                <c:pt idx="30">
                  <c:v>9057.3681640625</c:v>
                </c:pt>
                <c:pt idx="31">
                  <c:v>9491.2685546875</c:v>
                </c:pt>
                <c:pt idx="32">
                  <c:v>10052.59375</c:v>
                </c:pt>
                <c:pt idx="33">
                  <c:v>10534.736328125</c:v>
                </c:pt>
                <c:pt idx="34">
                  <c:v>11082.0478515625</c:v>
                </c:pt>
                <c:pt idx="35">
                  <c:v>11688.0146484375</c:v>
                </c:pt>
                <c:pt idx="36">
                  <c:v>12574.4189453125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521-453A-A88D-D96216F2FDFF}"/>
            </c:ext>
          </c:extLst>
        </c:ser>
        <c:ser>
          <c:idx val="8"/>
          <c:order val="8"/>
          <c:tx>
            <c:strRef>
              <c:f>Skymaps!$D$270</c:f>
              <c:strCache>
                <c:ptCount val="1"/>
                <c:pt idx="0">
                  <c:v>8000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Skymaps!$E$270:$BC$270</c:f>
              <c:numCache>
                <c:formatCode>General</c:formatCode>
                <c:ptCount val="51"/>
                <c:pt idx="16">
                  <c:v>20699.861328125</c:v>
                </c:pt>
                <c:pt idx="17">
                  <c:v>11027.5693359375</c:v>
                </c:pt>
                <c:pt idx="18">
                  <c:v>7853.87255859375</c:v>
                </c:pt>
                <c:pt idx="19">
                  <c:v>7365.39794921875</c:v>
                </c:pt>
                <c:pt idx="20">
                  <c:v>7085.4208984375</c:v>
                </c:pt>
                <c:pt idx="21">
                  <c:v>7046.0107421875</c:v>
                </c:pt>
                <c:pt idx="22">
                  <c:v>7002.8896484375</c:v>
                </c:pt>
                <c:pt idx="23">
                  <c:v>7012.55712890625</c:v>
                </c:pt>
                <c:pt idx="24">
                  <c:v>7121.9150390625</c:v>
                </c:pt>
                <c:pt idx="25">
                  <c:v>7291.40625</c:v>
                </c:pt>
                <c:pt idx="26">
                  <c:v>7595.50634765625</c:v>
                </c:pt>
                <c:pt idx="27">
                  <c:v>7816.3623046875</c:v>
                </c:pt>
                <c:pt idx="28">
                  <c:v>8159.63720703125</c:v>
                </c:pt>
                <c:pt idx="29">
                  <c:v>8476.6806640625</c:v>
                </c:pt>
                <c:pt idx="30">
                  <c:v>8895.7119140625</c:v>
                </c:pt>
                <c:pt idx="31">
                  <c:v>9242.3095703125</c:v>
                </c:pt>
                <c:pt idx="32">
                  <c:v>9723.8115234375</c:v>
                </c:pt>
                <c:pt idx="33">
                  <c:v>10251.15234375</c:v>
                </c:pt>
                <c:pt idx="34">
                  <c:v>10749.7421875</c:v>
                </c:pt>
                <c:pt idx="35">
                  <c:v>11306.25390625</c:v>
                </c:pt>
                <c:pt idx="36">
                  <c:v>12050.0390625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521-453A-A88D-D96216F2FDFF}"/>
            </c:ext>
          </c:extLst>
        </c:ser>
        <c:ser>
          <c:idx val="9"/>
          <c:order val="9"/>
          <c:tx>
            <c:strRef>
              <c:f>Skymaps!$D$271</c:f>
              <c:strCache>
                <c:ptCount val="1"/>
                <c:pt idx="0">
                  <c:v>9000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Skymaps!$E$271:$BC$271</c:f>
              <c:numCache>
                <c:formatCode>General</c:formatCode>
                <c:ptCount val="51"/>
                <c:pt idx="17">
                  <c:v>13380.123046875</c:v>
                </c:pt>
                <c:pt idx="18">
                  <c:v>8279.302734375</c:v>
                </c:pt>
                <c:pt idx="19">
                  <c:v>7491.10693359375</c:v>
                </c:pt>
                <c:pt idx="20">
                  <c:v>7202.84423828125</c:v>
                </c:pt>
                <c:pt idx="21">
                  <c:v>6959.625</c:v>
                </c:pt>
                <c:pt idx="22">
                  <c:v>6887.8076171875</c:v>
                </c:pt>
                <c:pt idx="23">
                  <c:v>6875.0703125</c:v>
                </c:pt>
                <c:pt idx="24">
                  <c:v>7004.93798828125</c:v>
                </c:pt>
                <c:pt idx="25">
                  <c:v>7234.8583984375</c:v>
                </c:pt>
                <c:pt idx="26">
                  <c:v>7467.73046875</c:v>
                </c:pt>
                <c:pt idx="27">
                  <c:v>7662.6357421875</c:v>
                </c:pt>
                <c:pt idx="28">
                  <c:v>8032.1904296875</c:v>
                </c:pt>
                <c:pt idx="29">
                  <c:v>8280.5244140625</c:v>
                </c:pt>
                <c:pt idx="30">
                  <c:v>8672.640625</c:v>
                </c:pt>
                <c:pt idx="31">
                  <c:v>9041.92578125</c:v>
                </c:pt>
                <c:pt idx="32">
                  <c:v>9437.8564453125</c:v>
                </c:pt>
                <c:pt idx="33">
                  <c:v>9959.33203125</c:v>
                </c:pt>
                <c:pt idx="34">
                  <c:v>10445.408203125</c:v>
                </c:pt>
                <c:pt idx="35">
                  <c:v>10952.8818359375</c:v>
                </c:pt>
                <c:pt idx="36">
                  <c:v>11643.984375</c:v>
                </c:pt>
                <c:pt idx="37">
                  <c:v>12403.1123046875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521-453A-A88D-D96216F2FDFF}"/>
            </c:ext>
          </c:extLst>
        </c:ser>
        <c:ser>
          <c:idx val="10"/>
          <c:order val="10"/>
          <c:tx>
            <c:strRef>
              <c:f>Skymaps!$D$272</c:f>
              <c:strCache>
                <c:ptCount val="1"/>
                <c:pt idx="0">
                  <c:v>10000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Skymaps!$E$272:$BC$272</c:f>
              <c:numCache>
                <c:formatCode>General</c:formatCode>
                <c:ptCount val="51"/>
                <c:pt idx="17">
                  <c:v>16408.462890625</c:v>
                </c:pt>
                <c:pt idx="18">
                  <c:v>9358.5517578125</c:v>
                </c:pt>
                <c:pt idx="19">
                  <c:v>7774.87744140625</c:v>
                </c:pt>
                <c:pt idx="20">
                  <c:v>7264.130859375</c:v>
                </c:pt>
                <c:pt idx="21">
                  <c:v>7172.66796875</c:v>
                </c:pt>
                <c:pt idx="22">
                  <c:v>6976.23388671875</c:v>
                </c:pt>
                <c:pt idx="23">
                  <c:v>6935.83056640625</c:v>
                </c:pt>
                <c:pt idx="24">
                  <c:v>7014.5322265625</c:v>
                </c:pt>
                <c:pt idx="25">
                  <c:v>7132.287109375</c:v>
                </c:pt>
                <c:pt idx="26">
                  <c:v>7298.5380859375</c:v>
                </c:pt>
                <c:pt idx="27">
                  <c:v>7595.23779296875</c:v>
                </c:pt>
                <c:pt idx="28">
                  <c:v>7792.953125</c:v>
                </c:pt>
                <c:pt idx="29">
                  <c:v>8143.59765625</c:v>
                </c:pt>
                <c:pt idx="30">
                  <c:v>8418.091796875</c:v>
                </c:pt>
                <c:pt idx="31">
                  <c:v>8890.1708984375</c:v>
                </c:pt>
                <c:pt idx="32">
                  <c:v>9199.466796875</c:v>
                </c:pt>
                <c:pt idx="33">
                  <c:v>9635.9384765625</c:v>
                </c:pt>
                <c:pt idx="34">
                  <c:v>10165.453125</c:v>
                </c:pt>
                <c:pt idx="35">
                  <c:v>10628.1201171875</c:v>
                </c:pt>
                <c:pt idx="36">
                  <c:v>11269.2255859375</c:v>
                </c:pt>
                <c:pt idx="37">
                  <c:v>11978.26171875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521-453A-A88D-D96216F2FDFF}"/>
            </c:ext>
          </c:extLst>
        </c:ser>
        <c:ser>
          <c:idx val="11"/>
          <c:order val="11"/>
          <c:tx>
            <c:strRef>
              <c:f>Skymaps!$D$273</c:f>
              <c:strCache>
                <c:ptCount val="1"/>
                <c:pt idx="0">
                  <c:v>11000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Skymaps!$E$273:$BC$273</c:f>
              <c:numCache>
                <c:formatCode>General</c:formatCode>
                <c:ptCount val="51"/>
                <c:pt idx="17">
                  <c:v>20133.615234375</c:v>
                </c:pt>
                <c:pt idx="18">
                  <c:v>11110.0771484375</c:v>
                </c:pt>
                <c:pt idx="19">
                  <c:v>7885.2216796875</c:v>
                </c:pt>
                <c:pt idx="20">
                  <c:v>7472.08544921875</c:v>
                </c:pt>
                <c:pt idx="21">
                  <c:v>7094.75927734375</c:v>
                </c:pt>
                <c:pt idx="22">
                  <c:v>6955.64599609375</c:v>
                </c:pt>
                <c:pt idx="23">
                  <c:v>6902.51806640625</c:v>
                </c:pt>
                <c:pt idx="24">
                  <c:v>6878.021484375</c:v>
                </c:pt>
                <c:pt idx="25">
                  <c:v>6998.7685546875</c:v>
                </c:pt>
                <c:pt idx="26">
                  <c:v>7238.60693359375</c:v>
                </c:pt>
                <c:pt idx="27">
                  <c:v>7457.5673828125</c:v>
                </c:pt>
                <c:pt idx="28">
                  <c:v>7648.716796875</c:v>
                </c:pt>
                <c:pt idx="29">
                  <c:v>7976.80615234375</c:v>
                </c:pt>
                <c:pt idx="30">
                  <c:v>8227.0673828125</c:v>
                </c:pt>
                <c:pt idx="31">
                  <c:v>8621.1865234375</c:v>
                </c:pt>
                <c:pt idx="32">
                  <c:v>9015.4443359375</c:v>
                </c:pt>
                <c:pt idx="33">
                  <c:v>9368.0537109375</c:v>
                </c:pt>
                <c:pt idx="34">
                  <c:v>9839.3154296875</c:v>
                </c:pt>
                <c:pt idx="35">
                  <c:v>10335.1875</c:v>
                </c:pt>
                <c:pt idx="36">
                  <c:v>10924.6689453125</c:v>
                </c:pt>
                <c:pt idx="37">
                  <c:v>11581.833984375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521-453A-A88D-D96216F2FDFF}"/>
            </c:ext>
          </c:extLst>
        </c:ser>
        <c:ser>
          <c:idx val="12"/>
          <c:order val="12"/>
          <c:tx>
            <c:strRef>
              <c:f>Skymaps!$D$274</c:f>
              <c:strCache>
                <c:ptCount val="1"/>
                <c:pt idx="0">
                  <c:v>12000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Skymaps!$E$274:$BC$274</c:f>
              <c:numCache>
                <c:formatCode>General</c:formatCode>
                <c:ptCount val="51"/>
                <c:pt idx="18">
                  <c:v>13549.6806640625</c:v>
                </c:pt>
                <c:pt idx="19">
                  <c:v>8461.1015625</c:v>
                </c:pt>
                <c:pt idx="20">
                  <c:v>7523.76220703125</c:v>
                </c:pt>
                <c:pt idx="21">
                  <c:v>7324.4833984375</c:v>
                </c:pt>
                <c:pt idx="22">
                  <c:v>7052.5185546875</c:v>
                </c:pt>
                <c:pt idx="23">
                  <c:v>6923.1533203125</c:v>
                </c:pt>
                <c:pt idx="24">
                  <c:v>6904.513671875</c:v>
                </c:pt>
                <c:pt idx="25">
                  <c:v>6999.439453125</c:v>
                </c:pt>
                <c:pt idx="26">
                  <c:v>7143.6005859375</c:v>
                </c:pt>
                <c:pt idx="27">
                  <c:v>7294.46142578125</c:v>
                </c:pt>
                <c:pt idx="28">
                  <c:v>7595.8662109375</c:v>
                </c:pt>
                <c:pt idx="29">
                  <c:v>7757.39404296875</c:v>
                </c:pt>
                <c:pt idx="30">
                  <c:v>8098.37646484375</c:v>
                </c:pt>
                <c:pt idx="31">
                  <c:v>8383.7080078125</c:v>
                </c:pt>
                <c:pt idx="32">
                  <c:v>8835.7724609375</c:v>
                </c:pt>
                <c:pt idx="33">
                  <c:v>9150.802734375</c:v>
                </c:pt>
                <c:pt idx="34">
                  <c:v>9539.734375</c:v>
                </c:pt>
                <c:pt idx="35">
                  <c:v>10037.7998046875</c:v>
                </c:pt>
                <c:pt idx="36">
                  <c:v>10609.439453125</c:v>
                </c:pt>
                <c:pt idx="37">
                  <c:v>11215.2158203125</c:v>
                </c:pt>
                <c:pt idx="38">
                  <c:v>12104.6826171875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521-453A-A88D-D96216F2FDFF}"/>
            </c:ext>
          </c:extLst>
        </c:ser>
        <c:ser>
          <c:idx val="13"/>
          <c:order val="13"/>
          <c:tx>
            <c:strRef>
              <c:f>Skymaps!$D$275</c:f>
              <c:strCache>
                <c:ptCount val="1"/>
                <c:pt idx="0">
                  <c:v>13000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Skymaps!$E$275:$BC$275</c:f>
              <c:numCache>
                <c:formatCode>General</c:formatCode>
                <c:ptCount val="51"/>
                <c:pt idx="18">
                  <c:v>16696.4140625</c:v>
                </c:pt>
                <c:pt idx="19">
                  <c:v>9722.298828125</c:v>
                </c:pt>
                <c:pt idx="20">
                  <c:v>7860.087890625</c:v>
                </c:pt>
                <c:pt idx="21">
                  <c:v>7316.2294921875</c:v>
                </c:pt>
                <c:pt idx="22">
                  <c:v>7077.974609375</c:v>
                </c:pt>
                <c:pt idx="23">
                  <c:v>6978.47265625</c:v>
                </c:pt>
                <c:pt idx="24">
                  <c:v>6918.71826171875</c:v>
                </c:pt>
                <c:pt idx="25">
                  <c:v>6875.38623046875</c:v>
                </c:pt>
                <c:pt idx="26">
                  <c:v>7007.333984375</c:v>
                </c:pt>
                <c:pt idx="27">
                  <c:v>7241.515625</c:v>
                </c:pt>
                <c:pt idx="28">
                  <c:v>7427.7412109375</c:v>
                </c:pt>
                <c:pt idx="29">
                  <c:v>7630.3076171875</c:v>
                </c:pt>
                <c:pt idx="30">
                  <c:v>7904.34228515625</c:v>
                </c:pt>
                <c:pt idx="31">
                  <c:v>8209.3623046875</c:v>
                </c:pt>
                <c:pt idx="32">
                  <c:v>8554.9306640625</c:v>
                </c:pt>
                <c:pt idx="33">
                  <c:v>8985.08984375</c:v>
                </c:pt>
                <c:pt idx="34">
                  <c:v>9291.556640625</c:v>
                </c:pt>
                <c:pt idx="35">
                  <c:v>9707.8798828125</c:v>
                </c:pt>
                <c:pt idx="36">
                  <c:v>10323.8359375</c:v>
                </c:pt>
                <c:pt idx="37">
                  <c:v>10878.6474609375</c:v>
                </c:pt>
                <c:pt idx="38">
                  <c:v>11707.3916015625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521-453A-A88D-D96216F2FDFF}"/>
            </c:ext>
          </c:extLst>
        </c:ser>
        <c:ser>
          <c:idx val="14"/>
          <c:order val="14"/>
          <c:tx>
            <c:strRef>
              <c:f>Skymaps!$D$276</c:f>
              <c:strCache>
                <c:ptCount val="1"/>
                <c:pt idx="0">
                  <c:v>14000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Skymaps!$E$276:$BC$276</c:f>
              <c:numCache>
                <c:formatCode>General</c:formatCode>
                <c:ptCount val="51"/>
                <c:pt idx="19">
                  <c:v>11686.197265625</c:v>
                </c:pt>
                <c:pt idx="20">
                  <c:v>8024.26806640625</c:v>
                </c:pt>
                <c:pt idx="21">
                  <c:v>7490.2080078125</c:v>
                </c:pt>
                <c:pt idx="22">
                  <c:v>7246.55419921875</c:v>
                </c:pt>
                <c:pt idx="23">
                  <c:v>6996.79833984375</c:v>
                </c:pt>
                <c:pt idx="24">
                  <c:v>6899.36962890625</c:v>
                </c:pt>
                <c:pt idx="25">
                  <c:v>6887.0908203125</c:v>
                </c:pt>
                <c:pt idx="26">
                  <c:v>7009.31884765625</c:v>
                </c:pt>
                <c:pt idx="27">
                  <c:v>7132.45263671875</c:v>
                </c:pt>
                <c:pt idx="28">
                  <c:v>7279.6875</c:v>
                </c:pt>
                <c:pt idx="29">
                  <c:v>7597.50830078125</c:v>
                </c:pt>
                <c:pt idx="30">
                  <c:v>7707.744140625</c:v>
                </c:pt>
                <c:pt idx="31">
                  <c:v>8099.39208984375</c:v>
                </c:pt>
                <c:pt idx="32">
                  <c:v>8338.0947265625</c:v>
                </c:pt>
                <c:pt idx="33">
                  <c:v>8734.32421875</c:v>
                </c:pt>
                <c:pt idx="34">
                  <c:v>9095.6630859375</c:v>
                </c:pt>
                <c:pt idx="35">
                  <c:v>9430.23828125</c:v>
                </c:pt>
                <c:pt idx="36">
                  <c:v>9976.703125</c:v>
                </c:pt>
                <c:pt idx="37">
                  <c:v>10572.4091796875</c:v>
                </c:pt>
                <c:pt idx="38">
                  <c:v>11341.2431640625</c:v>
                </c:pt>
                <c:pt idx="39">
                  <c:v>12403.5498046875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521-453A-A88D-D96216F2FDFF}"/>
            </c:ext>
          </c:extLst>
        </c:ser>
        <c:ser>
          <c:idx val="15"/>
          <c:order val="15"/>
          <c:tx>
            <c:strRef>
              <c:f>Skymaps!$D$277</c:f>
              <c:strCache>
                <c:ptCount val="1"/>
                <c:pt idx="0">
                  <c:v>15000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Skymaps!$E$277:$BC$277</c:f>
              <c:numCache>
                <c:formatCode>General</c:formatCode>
                <c:ptCount val="51"/>
                <c:pt idx="19">
                  <c:v>14369.8173828125</c:v>
                </c:pt>
                <c:pt idx="20">
                  <c:v>8878.3984375</c:v>
                </c:pt>
                <c:pt idx="21">
                  <c:v>7741.697265625</c:v>
                </c:pt>
                <c:pt idx="22">
                  <c:v>7265.748046875</c:v>
                </c:pt>
                <c:pt idx="23">
                  <c:v>7089.50146484375</c:v>
                </c:pt>
                <c:pt idx="24">
                  <c:v>6992.17724609375</c:v>
                </c:pt>
                <c:pt idx="25">
                  <c:v>6915.12939453125</c:v>
                </c:pt>
                <c:pt idx="26">
                  <c:v>6879.5107421875</c:v>
                </c:pt>
                <c:pt idx="27">
                  <c:v>7007.0654296875</c:v>
                </c:pt>
                <c:pt idx="28">
                  <c:v>7243.6533203125</c:v>
                </c:pt>
                <c:pt idx="29">
                  <c:v>7379.349609375</c:v>
                </c:pt>
                <c:pt idx="30">
                  <c:v>7606.484375</c:v>
                </c:pt>
                <c:pt idx="31">
                  <c:v>7858.14111328125</c:v>
                </c:pt>
                <c:pt idx="32">
                  <c:v>8185.06201171875</c:v>
                </c:pt>
                <c:pt idx="33">
                  <c:v>8475.7880859375</c:v>
                </c:pt>
                <c:pt idx="34">
                  <c:v>8913.2998046875</c:v>
                </c:pt>
                <c:pt idx="35">
                  <c:v>9205.73828125</c:v>
                </c:pt>
                <c:pt idx="36">
                  <c:v>9666.744140625</c:v>
                </c:pt>
                <c:pt idx="37">
                  <c:v>10237.974609375</c:v>
                </c:pt>
                <c:pt idx="38">
                  <c:v>11006.49609375</c:v>
                </c:pt>
                <c:pt idx="39">
                  <c:v>11991.8427734375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521-453A-A88D-D96216F2FDFF}"/>
            </c:ext>
          </c:extLst>
        </c:ser>
        <c:ser>
          <c:idx val="16"/>
          <c:order val="16"/>
          <c:tx>
            <c:strRef>
              <c:f>Skymaps!$D$278</c:f>
              <c:strCache>
                <c:ptCount val="1"/>
                <c:pt idx="0">
                  <c:v>16000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Skymaps!$E$278:$BC$278</c:f>
              <c:numCache>
                <c:formatCode>General</c:formatCode>
                <c:ptCount val="51"/>
                <c:pt idx="19">
                  <c:v>17798.419921875</c:v>
                </c:pt>
                <c:pt idx="20">
                  <c:v>10439.890625</c:v>
                </c:pt>
                <c:pt idx="21">
                  <c:v>7869.25244140625</c:v>
                </c:pt>
                <c:pt idx="22">
                  <c:v>7542.599609375</c:v>
                </c:pt>
                <c:pt idx="23">
                  <c:v>7172.7470703125</c:v>
                </c:pt>
                <c:pt idx="24">
                  <c:v>6970.78515625</c:v>
                </c:pt>
                <c:pt idx="25">
                  <c:v>6885.85107421875</c:v>
                </c:pt>
                <c:pt idx="26">
                  <c:v>6901.23583984375</c:v>
                </c:pt>
                <c:pt idx="27">
                  <c:v>7026.28759765625</c:v>
                </c:pt>
                <c:pt idx="28">
                  <c:v>7103.21484375</c:v>
                </c:pt>
                <c:pt idx="29">
                  <c:v>7258.9228515625</c:v>
                </c:pt>
                <c:pt idx="30">
                  <c:v>7527.87353515625</c:v>
                </c:pt>
                <c:pt idx="31">
                  <c:v>7693.84814453125</c:v>
                </c:pt>
                <c:pt idx="32">
                  <c:v>8033.69189453125</c:v>
                </c:pt>
                <c:pt idx="33">
                  <c:v>8287.14453125</c:v>
                </c:pt>
                <c:pt idx="34">
                  <c:v>8622.1484375</c:v>
                </c:pt>
                <c:pt idx="35">
                  <c:v>9036.15234375</c:v>
                </c:pt>
                <c:pt idx="36">
                  <c:v>9413.5947265625</c:v>
                </c:pt>
                <c:pt idx="37">
                  <c:v>9902.271484375</c:v>
                </c:pt>
                <c:pt idx="38">
                  <c:v>10668.1806640625</c:v>
                </c:pt>
                <c:pt idx="39">
                  <c:v>11611.623046875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521-453A-A88D-D96216F2FDFF}"/>
            </c:ext>
          </c:extLst>
        </c:ser>
        <c:ser>
          <c:idx val="17"/>
          <c:order val="17"/>
          <c:tx>
            <c:strRef>
              <c:f>Skymaps!$D$279</c:f>
              <c:strCache>
                <c:ptCount val="1"/>
                <c:pt idx="0">
                  <c:v>17000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Skymaps!$E$279:$BC$279</c:f>
              <c:numCache>
                <c:formatCode>General</c:formatCode>
                <c:ptCount val="51"/>
                <c:pt idx="20">
                  <c:v>12727.26953125</c:v>
                </c:pt>
                <c:pt idx="21">
                  <c:v>8442.1318359375</c:v>
                </c:pt>
                <c:pt idx="22">
                  <c:v>7600.9052734375</c:v>
                </c:pt>
                <c:pt idx="23">
                  <c:v>7258.1201171875</c:v>
                </c:pt>
                <c:pt idx="24">
                  <c:v>7098.9814453125</c:v>
                </c:pt>
                <c:pt idx="25">
                  <c:v>6987.8720703125</c:v>
                </c:pt>
                <c:pt idx="26">
                  <c:v>6913.1298828125</c:v>
                </c:pt>
                <c:pt idx="27">
                  <c:v>6876.9560546875</c:v>
                </c:pt>
                <c:pt idx="28">
                  <c:v>7006.380859375</c:v>
                </c:pt>
                <c:pt idx="29">
                  <c:v>7271.40478515625</c:v>
                </c:pt>
                <c:pt idx="30">
                  <c:v>7330.9248046875</c:v>
                </c:pt>
                <c:pt idx="31">
                  <c:v>7628.00927734375</c:v>
                </c:pt>
                <c:pt idx="32">
                  <c:v>7809.876953125</c:v>
                </c:pt>
                <c:pt idx="33">
                  <c:v>8165.8115234375</c:v>
                </c:pt>
                <c:pt idx="34">
                  <c:v>8397.9541015625</c:v>
                </c:pt>
                <c:pt idx="35">
                  <c:v>8767.8095703125</c:v>
                </c:pt>
                <c:pt idx="36">
                  <c:v>9215.4228515625</c:v>
                </c:pt>
                <c:pt idx="37">
                  <c:v>9621.5947265625</c:v>
                </c:pt>
                <c:pt idx="38">
                  <c:v>10300.775390625</c:v>
                </c:pt>
                <c:pt idx="39">
                  <c:v>11260.9091796875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521-453A-A88D-D96216F2FDFF}"/>
            </c:ext>
          </c:extLst>
        </c:ser>
        <c:ser>
          <c:idx val="18"/>
          <c:order val="18"/>
          <c:tx>
            <c:strRef>
              <c:f>Skymaps!$D$280</c:f>
              <c:strCache>
                <c:ptCount val="1"/>
                <c:pt idx="0">
                  <c:v>18000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Skymaps!$E$280:$BC$280</c:f>
              <c:numCache>
                <c:formatCode>General</c:formatCode>
                <c:ptCount val="51"/>
                <c:pt idx="20">
                  <c:v>15761.115234375</c:v>
                </c:pt>
                <c:pt idx="21">
                  <c:v>9741.0078125</c:v>
                </c:pt>
                <c:pt idx="22">
                  <c:v>7834.53955078125</c:v>
                </c:pt>
                <c:pt idx="23">
                  <c:v>7477.9443359375</c:v>
                </c:pt>
                <c:pt idx="24">
                  <c:v>7145.26416015625</c:v>
                </c:pt>
                <c:pt idx="25">
                  <c:v>6963.73828125</c:v>
                </c:pt>
                <c:pt idx="26">
                  <c:v>6902.78173828125</c:v>
                </c:pt>
                <c:pt idx="27">
                  <c:v>6931.404296875</c:v>
                </c:pt>
                <c:pt idx="28">
                  <c:v>6998.1806640625</c:v>
                </c:pt>
                <c:pt idx="29">
                  <c:v>7067.07177734375</c:v>
                </c:pt>
                <c:pt idx="30">
                  <c:v>7259.0498046875</c:v>
                </c:pt>
                <c:pt idx="31">
                  <c:v>7467.455078125</c:v>
                </c:pt>
                <c:pt idx="32">
                  <c:v>7685.7578125</c:v>
                </c:pt>
                <c:pt idx="33">
                  <c:v>7945.166015625</c:v>
                </c:pt>
                <c:pt idx="34">
                  <c:v>8242.0107421875</c:v>
                </c:pt>
                <c:pt idx="35">
                  <c:v>8515.578125</c:v>
                </c:pt>
                <c:pt idx="36">
                  <c:v>9012.4599609375</c:v>
                </c:pt>
                <c:pt idx="37">
                  <c:v>9396.8798828125</c:v>
                </c:pt>
                <c:pt idx="38">
                  <c:v>9993.78515625</c:v>
                </c:pt>
                <c:pt idx="39">
                  <c:v>10867.5537109375</c:v>
                </c:pt>
                <c:pt idx="40">
                  <c:v>12322.3359375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521-453A-A88D-D96216F2FDFF}"/>
            </c:ext>
          </c:extLst>
        </c:ser>
        <c:ser>
          <c:idx val="19"/>
          <c:order val="19"/>
          <c:tx>
            <c:strRef>
              <c:f>Skymaps!$D$281</c:f>
              <c:strCache>
                <c:ptCount val="1"/>
                <c:pt idx="0">
                  <c:v>19000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Skymaps!$E$281:$BC$281</c:f>
              <c:numCache>
                <c:formatCode>General</c:formatCode>
                <c:ptCount val="51"/>
                <c:pt idx="21">
                  <c:v>11785.0322265625</c:v>
                </c:pt>
                <c:pt idx="22">
                  <c:v>8220.216796875</c:v>
                </c:pt>
                <c:pt idx="23">
                  <c:v>7546.869140625</c:v>
                </c:pt>
                <c:pt idx="24">
                  <c:v>7256.20263671875</c:v>
                </c:pt>
                <c:pt idx="25">
                  <c:v>7088.7861328125</c:v>
                </c:pt>
                <c:pt idx="26">
                  <c:v>6974.1171875</c:v>
                </c:pt>
                <c:pt idx="27">
                  <c:v>6898.7900390625</c:v>
                </c:pt>
                <c:pt idx="28">
                  <c:v>6875.4072265625</c:v>
                </c:pt>
                <c:pt idx="29">
                  <c:v>7011.46337890625</c:v>
                </c:pt>
                <c:pt idx="30">
                  <c:v>7184.96337890625</c:v>
                </c:pt>
                <c:pt idx="31">
                  <c:v>7317.26171875</c:v>
                </c:pt>
                <c:pt idx="32">
                  <c:v>7633.43994140625</c:v>
                </c:pt>
                <c:pt idx="33">
                  <c:v>7767.4814453125</c:v>
                </c:pt>
                <c:pt idx="34">
                  <c:v>8091.8125</c:v>
                </c:pt>
                <c:pt idx="35">
                  <c:v>8337.6748046875</c:v>
                </c:pt>
                <c:pt idx="36">
                  <c:v>8724.537109375</c:v>
                </c:pt>
                <c:pt idx="37">
                  <c:v>9254.564453125</c:v>
                </c:pt>
                <c:pt idx="38">
                  <c:v>9748.228515625</c:v>
                </c:pt>
                <c:pt idx="39">
                  <c:v>10534.4228515625</c:v>
                </c:pt>
                <c:pt idx="40">
                  <c:v>11877.5341796875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521-453A-A88D-D96216F2FDFF}"/>
            </c:ext>
          </c:extLst>
        </c:ser>
        <c:ser>
          <c:idx val="20"/>
          <c:order val="20"/>
          <c:tx>
            <c:strRef>
              <c:f>Skymaps!$D$282</c:f>
              <c:strCache>
                <c:ptCount val="1"/>
                <c:pt idx="0">
                  <c:v>20000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Skymaps!$E$282:$BC$282</c:f>
              <c:numCache>
                <c:formatCode>General</c:formatCode>
                <c:ptCount val="51"/>
                <c:pt idx="21">
                  <c:v>14594.982421875</c:v>
                </c:pt>
                <c:pt idx="22">
                  <c:v>9352.2978515625</c:v>
                </c:pt>
                <c:pt idx="23">
                  <c:v>7835.24072265625</c:v>
                </c:pt>
                <c:pt idx="24">
                  <c:v>7448.48583984375</c:v>
                </c:pt>
                <c:pt idx="25">
                  <c:v>7146.076171875</c:v>
                </c:pt>
                <c:pt idx="26">
                  <c:v>6984.40234375</c:v>
                </c:pt>
                <c:pt idx="27">
                  <c:v>6936.20458984375</c:v>
                </c:pt>
                <c:pt idx="28">
                  <c:v>6985.052734375</c:v>
                </c:pt>
                <c:pt idx="29">
                  <c:v>6938.720703125</c:v>
                </c:pt>
                <c:pt idx="30">
                  <c:v>7031.2646484375</c:v>
                </c:pt>
                <c:pt idx="31">
                  <c:v>7295.42236328125</c:v>
                </c:pt>
                <c:pt idx="32">
                  <c:v>7408.900390625</c:v>
                </c:pt>
                <c:pt idx="33">
                  <c:v>7689.35205078125</c:v>
                </c:pt>
                <c:pt idx="34">
                  <c:v>7859.931640625</c:v>
                </c:pt>
                <c:pt idx="35">
                  <c:v>8235.6513671875</c:v>
                </c:pt>
                <c:pt idx="36">
                  <c:v>8510.73828125</c:v>
                </c:pt>
                <c:pt idx="37">
                  <c:v>8930.6728515625</c:v>
                </c:pt>
                <c:pt idx="38">
                  <c:v>9566.6025390625</c:v>
                </c:pt>
                <c:pt idx="39">
                  <c:v>10272.6552734375</c:v>
                </c:pt>
                <c:pt idx="40">
                  <c:v>11501.2236328125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521-453A-A88D-D96216F2FDFF}"/>
            </c:ext>
          </c:extLst>
        </c:ser>
        <c:ser>
          <c:idx val="21"/>
          <c:order val="21"/>
          <c:tx>
            <c:strRef>
              <c:f>Skymaps!$D$283</c:f>
              <c:strCache>
                <c:ptCount val="1"/>
                <c:pt idx="0">
                  <c:v>21000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Skymaps!$E$283:$BC$283</c:f>
              <c:numCache>
                <c:formatCode>General</c:formatCode>
                <c:ptCount val="51"/>
                <c:pt idx="22">
                  <c:v>11252.6484375</c:v>
                </c:pt>
                <c:pt idx="23">
                  <c:v>8126.96826171875</c:v>
                </c:pt>
                <c:pt idx="24">
                  <c:v>7535.541015625</c:v>
                </c:pt>
                <c:pt idx="25">
                  <c:v>7248.7158203125</c:v>
                </c:pt>
                <c:pt idx="26">
                  <c:v>7079.18505859375</c:v>
                </c:pt>
                <c:pt idx="27">
                  <c:v>6950.8408203125</c:v>
                </c:pt>
                <c:pt idx="28">
                  <c:v>6886.51025390625</c:v>
                </c:pt>
                <c:pt idx="29">
                  <c:v>6889.8251953125</c:v>
                </c:pt>
                <c:pt idx="30">
                  <c:v>7031.951171875</c:v>
                </c:pt>
                <c:pt idx="31">
                  <c:v>7122.01708984375</c:v>
                </c:pt>
                <c:pt idx="32">
                  <c:v>7318.35986328125</c:v>
                </c:pt>
                <c:pt idx="33">
                  <c:v>7526.4677734375</c:v>
                </c:pt>
                <c:pt idx="34">
                  <c:v>7738.69189453125</c:v>
                </c:pt>
                <c:pt idx="35">
                  <c:v>7965.9853515625</c:v>
                </c:pt>
                <c:pt idx="36">
                  <c:v>8377.6513671875</c:v>
                </c:pt>
                <c:pt idx="37">
                  <c:v>8689.068359375</c:v>
                </c:pt>
                <c:pt idx="38">
                  <c:v>9299.5087890625</c:v>
                </c:pt>
                <c:pt idx="39">
                  <c:v>10084.431640625</c:v>
                </c:pt>
                <c:pt idx="40">
                  <c:v>11214.087890625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521-453A-A88D-D96216F2FDFF}"/>
            </c:ext>
          </c:extLst>
        </c:ser>
        <c:ser>
          <c:idx val="22"/>
          <c:order val="22"/>
          <c:tx>
            <c:strRef>
              <c:f>Skymaps!$D$284</c:f>
              <c:strCache>
                <c:ptCount val="1"/>
                <c:pt idx="0">
                  <c:v>22000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Skymaps!$E$284:$BC$284</c:f>
              <c:numCache>
                <c:formatCode>General</c:formatCode>
                <c:ptCount val="51"/>
                <c:pt idx="22">
                  <c:v>13941.255859375</c:v>
                </c:pt>
                <c:pt idx="23">
                  <c:v>9188.4912109375</c:v>
                </c:pt>
                <c:pt idx="24">
                  <c:v>7834.662109375</c:v>
                </c:pt>
                <c:pt idx="25">
                  <c:v>7486.63427734375</c:v>
                </c:pt>
                <c:pt idx="26">
                  <c:v>7196.33740234375</c:v>
                </c:pt>
                <c:pt idx="27">
                  <c:v>7035.0966796875</c:v>
                </c:pt>
                <c:pt idx="28">
                  <c:v>7004.3837890625</c:v>
                </c:pt>
                <c:pt idx="29">
                  <c:v>6976.07470703125</c:v>
                </c:pt>
                <c:pt idx="30">
                  <c:v>6893.876953125</c:v>
                </c:pt>
                <c:pt idx="31">
                  <c:v>7033.9736328125</c:v>
                </c:pt>
                <c:pt idx="32">
                  <c:v>7247.77685546875</c:v>
                </c:pt>
                <c:pt idx="33">
                  <c:v>7371.70361328125</c:v>
                </c:pt>
                <c:pt idx="34">
                  <c:v>7658.71484375</c:v>
                </c:pt>
                <c:pt idx="35">
                  <c:v>7801.68359375</c:v>
                </c:pt>
                <c:pt idx="36">
                  <c:v>8169.0302734375</c:v>
                </c:pt>
                <c:pt idx="37">
                  <c:v>8525.685546875</c:v>
                </c:pt>
                <c:pt idx="38">
                  <c:v>9028.1494140625</c:v>
                </c:pt>
                <c:pt idx="39">
                  <c:v>9826.0908203125</c:v>
                </c:pt>
                <c:pt idx="40">
                  <c:v>11015.0234375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521-453A-A88D-D96216F2FDFF}"/>
            </c:ext>
          </c:extLst>
        </c:ser>
        <c:ser>
          <c:idx val="23"/>
          <c:order val="23"/>
          <c:tx>
            <c:strRef>
              <c:f>Skymaps!$D$285</c:f>
              <c:strCache>
                <c:ptCount val="1"/>
                <c:pt idx="0">
                  <c:v>23000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Skymaps!$E$285:$BC$285</c:f>
              <c:numCache>
                <c:formatCode>General</c:formatCode>
                <c:ptCount val="51"/>
                <c:pt idx="23">
                  <c:v>11040.31640625</c:v>
                </c:pt>
                <c:pt idx="24">
                  <c:v>8121.93798828125</c:v>
                </c:pt>
                <c:pt idx="25">
                  <c:v>7551.1484375</c:v>
                </c:pt>
                <c:pt idx="26">
                  <c:v>7254.38671875</c:v>
                </c:pt>
                <c:pt idx="27">
                  <c:v>7073.052734375</c:v>
                </c:pt>
                <c:pt idx="28">
                  <c:v>6940.25537109375</c:v>
                </c:pt>
                <c:pt idx="29">
                  <c:v>6899.8798828125</c:v>
                </c:pt>
                <c:pt idx="30">
                  <c:v>6939.95361328125</c:v>
                </c:pt>
                <c:pt idx="31">
                  <c:v>6996.52392578125</c:v>
                </c:pt>
                <c:pt idx="32">
                  <c:v>7078.67138671875</c:v>
                </c:pt>
                <c:pt idx="33">
                  <c:v>7352.73828125</c:v>
                </c:pt>
                <c:pt idx="34">
                  <c:v>7445.67138671875</c:v>
                </c:pt>
                <c:pt idx="35">
                  <c:v>7745.8173828125</c:v>
                </c:pt>
                <c:pt idx="36">
                  <c:v>7962.1455078125</c:v>
                </c:pt>
                <c:pt idx="37">
                  <c:v>8373.294921875</c:v>
                </c:pt>
                <c:pt idx="38">
                  <c:v>8841.9462890625</c:v>
                </c:pt>
                <c:pt idx="39">
                  <c:v>9523.8515625</c:v>
                </c:pt>
                <c:pt idx="40">
                  <c:v>10794.1953125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521-453A-A88D-D96216F2FDFF}"/>
            </c:ext>
          </c:extLst>
        </c:ser>
        <c:ser>
          <c:idx val="24"/>
          <c:order val="24"/>
          <c:tx>
            <c:strRef>
              <c:f>Skymaps!$D$286</c:f>
              <c:strCache>
                <c:ptCount val="1"/>
                <c:pt idx="0">
                  <c:v>24000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Skymaps!$E$286:$BC$286</c:f>
              <c:numCache>
                <c:formatCode>General</c:formatCode>
                <c:ptCount val="51"/>
                <c:pt idx="23">
                  <c:v>13705.0234375</c:v>
                </c:pt>
                <c:pt idx="24">
                  <c:v>9203.9892578125</c:v>
                </c:pt>
                <c:pt idx="25">
                  <c:v>7823.30126953125</c:v>
                </c:pt>
                <c:pt idx="26">
                  <c:v>7538.2294921875</c:v>
                </c:pt>
                <c:pt idx="27">
                  <c:v>7297.2578125</c:v>
                </c:pt>
                <c:pt idx="28">
                  <c:v>7134.9169921875</c:v>
                </c:pt>
                <c:pt idx="29">
                  <c:v>7011.45166015625</c:v>
                </c:pt>
                <c:pt idx="30">
                  <c:v>6905.6591796875</c:v>
                </c:pt>
                <c:pt idx="31">
                  <c:v>6908.81005859375</c:v>
                </c:pt>
                <c:pt idx="32">
                  <c:v>7070.98583984375</c:v>
                </c:pt>
                <c:pt idx="33">
                  <c:v>7152.9755859375</c:v>
                </c:pt>
                <c:pt idx="34">
                  <c:v>7370.28662109375</c:v>
                </c:pt>
                <c:pt idx="35">
                  <c:v>7529.60546875</c:v>
                </c:pt>
                <c:pt idx="36">
                  <c:v>7865.40478515625</c:v>
                </c:pt>
                <c:pt idx="37">
                  <c:v>8127.94921875</c:v>
                </c:pt>
                <c:pt idx="38">
                  <c:v>8729.6904296875</c:v>
                </c:pt>
                <c:pt idx="39">
                  <c:v>9319.51171875</c:v>
                </c:pt>
                <c:pt idx="40">
                  <c:v>10455.8134765625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521-453A-A88D-D96216F2FDFF}"/>
            </c:ext>
          </c:extLst>
        </c:ser>
        <c:ser>
          <c:idx val="25"/>
          <c:order val="25"/>
          <c:tx>
            <c:strRef>
              <c:f>Skymaps!$D$287</c:f>
              <c:strCache>
                <c:ptCount val="1"/>
                <c:pt idx="0">
                  <c:v>25000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Skymaps!$E$287:$BC$287</c:f>
              <c:numCache>
                <c:formatCode>General</c:formatCode>
                <c:ptCount val="51"/>
                <c:pt idx="24">
                  <c:v>11100.2568359375</c:v>
                </c:pt>
                <c:pt idx="25">
                  <c:v>8208.4677734375</c:v>
                </c:pt>
                <c:pt idx="26">
                  <c:v>7623.326171875</c:v>
                </c:pt>
                <c:pt idx="27">
                  <c:v>7286.16259765625</c:v>
                </c:pt>
                <c:pt idx="28">
                  <c:v>7096.09912109375</c:v>
                </c:pt>
                <c:pt idx="29">
                  <c:v>6966.04833984375</c:v>
                </c:pt>
                <c:pt idx="30">
                  <c:v>6945.72216796875</c:v>
                </c:pt>
                <c:pt idx="31">
                  <c:v>7015.51416015625</c:v>
                </c:pt>
                <c:pt idx="32">
                  <c:v>6942.27099609375</c:v>
                </c:pt>
                <c:pt idx="33">
                  <c:v>7073.77099609375</c:v>
                </c:pt>
                <c:pt idx="34">
                  <c:v>7246.03125</c:v>
                </c:pt>
                <c:pt idx="35">
                  <c:v>7394.029296875</c:v>
                </c:pt>
                <c:pt idx="36">
                  <c:v>7692.58203125</c:v>
                </c:pt>
                <c:pt idx="37">
                  <c:v>7992.06982421875</c:v>
                </c:pt>
                <c:pt idx="38">
                  <c:v>8437.6728515625</c:v>
                </c:pt>
                <c:pt idx="39">
                  <c:v>9215.2138671875</c:v>
                </c:pt>
                <c:pt idx="40">
                  <c:v>10245.3037109375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521-453A-A88D-D96216F2FDFF}"/>
            </c:ext>
          </c:extLst>
        </c:ser>
        <c:ser>
          <c:idx val="26"/>
          <c:order val="26"/>
          <c:tx>
            <c:strRef>
              <c:f>Skymaps!$D$288</c:f>
              <c:strCache>
                <c:ptCount val="1"/>
                <c:pt idx="0">
                  <c:v>26000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Skymaps!$E$288:$BC$288</c:f>
              <c:numCache>
                <c:formatCode>General</c:formatCode>
                <c:ptCount val="51"/>
                <c:pt idx="24">
                  <c:v>13839.2392578125</c:v>
                </c:pt>
                <c:pt idx="25">
                  <c:v>9430.8740234375</c:v>
                </c:pt>
                <c:pt idx="26">
                  <c:v>7839.607421875</c:v>
                </c:pt>
                <c:pt idx="27">
                  <c:v>7490.5439453125</c:v>
                </c:pt>
                <c:pt idx="28">
                  <c:v>7281.54736328125</c:v>
                </c:pt>
                <c:pt idx="29">
                  <c:v>7102.23046875</c:v>
                </c:pt>
                <c:pt idx="30">
                  <c:v>6943.09521484375</c:v>
                </c:pt>
                <c:pt idx="31">
                  <c:v>6903.09228515625</c:v>
                </c:pt>
                <c:pt idx="32">
                  <c:v>6991.46240234375</c:v>
                </c:pt>
                <c:pt idx="33">
                  <c:v>7022.6064453125</c:v>
                </c:pt>
                <c:pt idx="34">
                  <c:v>7104.59814453125</c:v>
                </c:pt>
                <c:pt idx="35">
                  <c:v>7350.0107421875</c:v>
                </c:pt>
                <c:pt idx="36">
                  <c:v>7512.451171875</c:v>
                </c:pt>
                <c:pt idx="37">
                  <c:v>7857.8916015625</c:v>
                </c:pt>
                <c:pt idx="38">
                  <c:v>8256.3505859375</c:v>
                </c:pt>
                <c:pt idx="39">
                  <c:v>8916.166015625</c:v>
                </c:pt>
                <c:pt idx="40">
                  <c:v>10166.251953125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521-453A-A88D-D96216F2FDFF}"/>
            </c:ext>
          </c:extLst>
        </c:ser>
        <c:ser>
          <c:idx val="27"/>
          <c:order val="27"/>
          <c:tx>
            <c:strRef>
              <c:f>Skymaps!$D$289</c:f>
              <c:strCache>
                <c:ptCount val="1"/>
                <c:pt idx="0">
                  <c:v>27000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Skymaps!$E$289:$BC$289</c:f>
              <c:numCache>
                <c:formatCode>General</c:formatCode>
                <c:ptCount val="51"/>
                <c:pt idx="25">
                  <c:v>11513.1494140625</c:v>
                </c:pt>
                <c:pt idx="26">
                  <c:v>8404.353515625</c:v>
                </c:pt>
                <c:pt idx="27">
                  <c:v>7782.78466796875</c:v>
                </c:pt>
                <c:pt idx="28">
                  <c:v>7388.74462890625</c:v>
                </c:pt>
                <c:pt idx="29">
                  <c:v>7196.12939453125</c:v>
                </c:pt>
                <c:pt idx="30">
                  <c:v>7089.0126953125</c:v>
                </c:pt>
                <c:pt idx="31">
                  <c:v>7037.6142578125</c:v>
                </c:pt>
                <c:pt idx="32">
                  <c:v>6930.767578125</c:v>
                </c:pt>
                <c:pt idx="33">
                  <c:v>6965.20458984375</c:v>
                </c:pt>
                <c:pt idx="34">
                  <c:v>7131.759765625</c:v>
                </c:pt>
                <c:pt idx="35">
                  <c:v>7155.63916015625</c:v>
                </c:pt>
                <c:pt idx="36">
                  <c:v>7469.86962890625</c:v>
                </c:pt>
                <c:pt idx="37">
                  <c:v>7637.24365234375</c:v>
                </c:pt>
                <c:pt idx="38">
                  <c:v>8193.919921875</c:v>
                </c:pt>
                <c:pt idx="39">
                  <c:v>8721.5166015625</c:v>
                </c:pt>
                <c:pt idx="40">
                  <c:v>9896.7138671875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5521-453A-A88D-D96216F2FDFF}"/>
            </c:ext>
          </c:extLst>
        </c:ser>
        <c:ser>
          <c:idx val="28"/>
          <c:order val="28"/>
          <c:tx>
            <c:strRef>
              <c:f>Skymaps!$D$290</c:f>
              <c:strCache>
                <c:ptCount val="1"/>
                <c:pt idx="0">
                  <c:v>28000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Skymaps!$E$290:$BC$290</c:f>
              <c:numCache>
                <c:formatCode>General</c:formatCode>
                <c:ptCount val="51"/>
                <c:pt idx="25">
                  <c:v>14480.9599609375</c:v>
                </c:pt>
                <c:pt idx="26">
                  <c:v>9835.7509765625</c:v>
                </c:pt>
                <c:pt idx="27">
                  <c:v>7922.57958984375</c:v>
                </c:pt>
                <c:pt idx="28">
                  <c:v>7509.49462890625</c:v>
                </c:pt>
                <c:pt idx="29">
                  <c:v>7256.86669921875</c:v>
                </c:pt>
                <c:pt idx="30">
                  <c:v>7084.4794921875</c:v>
                </c:pt>
                <c:pt idx="31">
                  <c:v>6986.57373046875</c:v>
                </c:pt>
                <c:pt idx="32">
                  <c:v>6990.1103515625</c:v>
                </c:pt>
                <c:pt idx="33">
                  <c:v>7006.5205078125</c:v>
                </c:pt>
                <c:pt idx="34">
                  <c:v>6979.2783203125</c:v>
                </c:pt>
                <c:pt idx="35">
                  <c:v>7142.0712890625</c:v>
                </c:pt>
                <c:pt idx="36">
                  <c:v>7285.57763671875</c:v>
                </c:pt>
                <c:pt idx="37">
                  <c:v>7556.365234375</c:v>
                </c:pt>
                <c:pt idx="38">
                  <c:v>7934.59765625</c:v>
                </c:pt>
                <c:pt idx="39">
                  <c:v>8659.392578125</c:v>
                </c:pt>
                <c:pt idx="40">
                  <c:v>9715.5869140625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521-453A-A88D-D96216F2FDFF}"/>
            </c:ext>
          </c:extLst>
        </c:ser>
        <c:ser>
          <c:idx val="29"/>
          <c:order val="29"/>
          <c:tx>
            <c:strRef>
              <c:f>Skymaps!$D$291</c:f>
              <c:strCache>
                <c:ptCount val="1"/>
                <c:pt idx="0">
                  <c:v>29000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Skymaps!$E$291:$BC$291</c:f>
              <c:numCache>
                <c:formatCode>General</c:formatCode>
                <c:ptCount val="51"/>
                <c:pt idx="26">
                  <c:v>12158.6240234375</c:v>
                </c:pt>
                <c:pt idx="27">
                  <c:v>8759.2734375</c:v>
                </c:pt>
                <c:pt idx="28">
                  <c:v>7849.8125</c:v>
                </c:pt>
                <c:pt idx="29">
                  <c:v>7528.7529296875</c:v>
                </c:pt>
                <c:pt idx="30">
                  <c:v>7302.87744140625</c:v>
                </c:pt>
                <c:pt idx="31">
                  <c:v>7121.60302734375</c:v>
                </c:pt>
                <c:pt idx="32">
                  <c:v>6975.51220703125</c:v>
                </c:pt>
                <c:pt idx="33">
                  <c:v>6944.64990234375</c:v>
                </c:pt>
                <c:pt idx="34">
                  <c:v>7097.21435546875</c:v>
                </c:pt>
                <c:pt idx="35">
                  <c:v>7010.91064453125</c:v>
                </c:pt>
                <c:pt idx="36">
                  <c:v>7218.8203125</c:v>
                </c:pt>
                <c:pt idx="37">
                  <c:v>7421.22216796875</c:v>
                </c:pt>
                <c:pt idx="38">
                  <c:v>7825.37353515625</c:v>
                </c:pt>
                <c:pt idx="39">
                  <c:v>8401.6162109375</c:v>
                </c:pt>
                <c:pt idx="40">
                  <c:v>9731.92578125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521-453A-A88D-D96216F2FDFF}"/>
            </c:ext>
          </c:extLst>
        </c:ser>
        <c:ser>
          <c:idx val="30"/>
          <c:order val="30"/>
          <c:tx>
            <c:strRef>
              <c:f>Skymaps!$D$292</c:f>
              <c:strCache>
                <c:ptCount val="1"/>
                <c:pt idx="0">
                  <c:v>30000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Skymaps!$E$292:$BC$292</c:f>
              <c:numCache>
                <c:formatCode>General</c:formatCode>
                <c:ptCount val="51"/>
                <c:pt idx="27">
                  <c:v>10494.7373046875</c:v>
                </c:pt>
                <c:pt idx="28">
                  <c:v>8143.474609375</c:v>
                </c:pt>
                <c:pt idx="29">
                  <c:v>7667.76904296875</c:v>
                </c:pt>
                <c:pt idx="30">
                  <c:v>7357.12646484375</c:v>
                </c:pt>
                <c:pt idx="31">
                  <c:v>7210.8193359375</c:v>
                </c:pt>
                <c:pt idx="32">
                  <c:v>7166.775390625</c:v>
                </c:pt>
                <c:pt idx="33">
                  <c:v>7025.1259765625</c:v>
                </c:pt>
                <c:pt idx="34">
                  <c:v>6939.5419921875</c:v>
                </c:pt>
                <c:pt idx="35">
                  <c:v>7023.8359375</c:v>
                </c:pt>
                <c:pt idx="36">
                  <c:v>7143.458984375</c:v>
                </c:pt>
                <c:pt idx="37">
                  <c:v>7308.37841796875</c:v>
                </c:pt>
                <c:pt idx="38">
                  <c:v>7730.16796875</c:v>
                </c:pt>
                <c:pt idx="39">
                  <c:v>8280.7294921875</c:v>
                </c:pt>
                <c:pt idx="40">
                  <c:v>9516.9970703125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5521-453A-A88D-D96216F2FDFF}"/>
            </c:ext>
          </c:extLst>
        </c:ser>
        <c:ser>
          <c:idx val="31"/>
          <c:order val="31"/>
          <c:tx>
            <c:strRef>
              <c:f>Skymaps!$D$293</c:f>
              <c:strCache>
                <c:ptCount val="1"/>
                <c:pt idx="0">
                  <c:v>31000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Skymaps!$E$293:$BC$293</c:f>
              <c:numCache>
                <c:formatCode>General</c:formatCode>
                <c:ptCount val="51"/>
                <c:pt idx="27">
                  <c:v>13157.572265625</c:v>
                </c:pt>
                <c:pt idx="28">
                  <c:v>9347.5947265625</c:v>
                </c:pt>
                <c:pt idx="29">
                  <c:v>7875.7392578125</c:v>
                </c:pt>
                <c:pt idx="30">
                  <c:v>7501.60205078125</c:v>
                </c:pt>
                <c:pt idx="31">
                  <c:v>7277.1845703125</c:v>
                </c:pt>
                <c:pt idx="32">
                  <c:v>7131.26513671875</c:v>
                </c:pt>
                <c:pt idx="33">
                  <c:v>7066.18212890625</c:v>
                </c:pt>
                <c:pt idx="34">
                  <c:v>7099.73876953125</c:v>
                </c:pt>
                <c:pt idx="35">
                  <c:v>6967.53076171875</c:v>
                </c:pt>
                <c:pt idx="36">
                  <c:v>7089.8408203125</c:v>
                </c:pt>
                <c:pt idx="37">
                  <c:v>7283.60107421875</c:v>
                </c:pt>
                <c:pt idx="38">
                  <c:v>7579.40087890625</c:v>
                </c:pt>
                <c:pt idx="39">
                  <c:v>8214.16796875</c:v>
                </c:pt>
                <c:pt idx="40">
                  <c:v>9428.8662109375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5521-453A-A88D-D96216F2FDFF}"/>
            </c:ext>
          </c:extLst>
        </c:ser>
        <c:ser>
          <c:idx val="32"/>
          <c:order val="32"/>
          <c:tx>
            <c:strRef>
              <c:f>Skymaps!$D$294</c:f>
              <c:strCache>
                <c:ptCount val="1"/>
                <c:pt idx="0">
                  <c:v>32000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Skymaps!$E$294:$BC$294</c:f>
              <c:numCache>
                <c:formatCode>General</c:formatCode>
                <c:ptCount val="51"/>
                <c:pt idx="28">
                  <c:v>11486.5849609375</c:v>
                </c:pt>
                <c:pt idx="29">
                  <c:v>8598.1337890625</c:v>
                </c:pt>
                <c:pt idx="30">
                  <c:v>7858.5771484375</c:v>
                </c:pt>
                <c:pt idx="31">
                  <c:v>7528.0712890625</c:v>
                </c:pt>
                <c:pt idx="32">
                  <c:v>7306.77587890625</c:v>
                </c:pt>
                <c:pt idx="33">
                  <c:v>7127.62060546875</c:v>
                </c:pt>
                <c:pt idx="34">
                  <c:v>7024.146484375</c:v>
                </c:pt>
                <c:pt idx="35">
                  <c:v>7050.763671875</c:v>
                </c:pt>
                <c:pt idx="36">
                  <c:v>7119.57421875</c:v>
                </c:pt>
                <c:pt idx="37">
                  <c:v>7172.5341796875</c:v>
                </c:pt>
                <c:pt idx="38">
                  <c:v>7654.939453125</c:v>
                </c:pt>
                <c:pt idx="39">
                  <c:v>8086.7421875</c:v>
                </c:pt>
                <c:pt idx="40">
                  <c:v>9484.404296875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5521-453A-A88D-D96216F2FDFF}"/>
            </c:ext>
          </c:extLst>
        </c:ser>
        <c:ser>
          <c:idx val="33"/>
          <c:order val="33"/>
          <c:tx>
            <c:strRef>
              <c:f>Skymaps!$D$295</c:f>
              <c:strCache>
                <c:ptCount val="1"/>
                <c:pt idx="0">
                  <c:v>33000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Skymaps!$E$295:$BC$295</c:f>
              <c:numCache>
                <c:formatCode>General</c:formatCode>
                <c:ptCount val="51"/>
                <c:pt idx="29">
                  <c:v>10265.8349609375</c:v>
                </c:pt>
                <c:pt idx="30">
                  <c:v>8135.87646484375</c:v>
                </c:pt>
                <c:pt idx="31">
                  <c:v>7752.60888671875</c:v>
                </c:pt>
                <c:pt idx="32">
                  <c:v>7474.28857421875</c:v>
                </c:pt>
                <c:pt idx="33">
                  <c:v>7357.79541015625</c:v>
                </c:pt>
                <c:pt idx="34">
                  <c:v>7173.458984375</c:v>
                </c:pt>
                <c:pt idx="35">
                  <c:v>7019.05810546875</c:v>
                </c:pt>
                <c:pt idx="36">
                  <c:v>7120.09326171875</c:v>
                </c:pt>
                <c:pt idx="37">
                  <c:v>7280.5830078125</c:v>
                </c:pt>
                <c:pt idx="38">
                  <c:v>7511.154296875</c:v>
                </c:pt>
                <c:pt idx="39">
                  <c:v>8258.068359375</c:v>
                </c:pt>
                <c:pt idx="40">
                  <c:v>9365.734375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521-453A-A88D-D96216F2FDFF}"/>
            </c:ext>
          </c:extLst>
        </c:ser>
        <c:ser>
          <c:idx val="34"/>
          <c:order val="34"/>
          <c:tx>
            <c:strRef>
              <c:f>Skymaps!$D$296</c:f>
              <c:strCache>
                <c:ptCount val="1"/>
                <c:pt idx="0">
                  <c:v>34000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Skymaps!$E$296:$BC$296</c:f>
              <c:numCache>
                <c:formatCode>General</c:formatCode>
                <c:ptCount val="51"/>
                <c:pt idx="30">
                  <c:v>9353.47265625</c:v>
                </c:pt>
                <c:pt idx="31">
                  <c:v>7928.00341796875</c:v>
                </c:pt>
                <c:pt idx="32">
                  <c:v>7590.0263671875</c:v>
                </c:pt>
                <c:pt idx="33">
                  <c:v>7368.98876953125</c:v>
                </c:pt>
                <c:pt idx="34">
                  <c:v>7255.03857421875</c:v>
                </c:pt>
                <c:pt idx="35">
                  <c:v>7244.5703125</c:v>
                </c:pt>
                <c:pt idx="36">
                  <c:v>7168.25390625</c:v>
                </c:pt>
                <c:pt idx="37">
                  <c:v>7211.89453125</c:v>
                </c:pt>
                <c:pt idx="38">
                  <c:v>7699.861328125</c:v>
                </c:pt>
                <c:pt idx="39">
                  <c:v>8098.43896484375</c:v>
                </c:pt>
                <c:pt idx="40">
                  <c:v>9697.9658203125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521-453A-A88D-D96216F2FDFF}"/>
            </c:ext>
          </c:extLst>
        </c:ser>
        <c:ser>
          <c:idx val="35"/>
          <c:order val="35"/>
          <c:tx>
            <c:strRef>
              <c:f>Skymaps!$D$297</c:f>
              <c:strCache>
                <c:ptCount val="1"/>
                <c:pt idx="0">
                  <c:v>35000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Skymaps!$E$297:$BC$297</c:f>
              <c:numCache>
                <c:formatCode>General</c:formatCode>
                <c:ptCount val="51"/>
                <c:pt idx="31">
                  <c:v>8777.064453125</c:v>
                </c:pt>
                <c:pt idx="32">
                  <c:v>7871.72802734375</c:v>
                </c:pt>
                <c:pt idx="33">
                  <c:v>7539.13671875</c:v>
                </c:pt>
                <c:pt idx="34">
                  <c:v>7330.033203125</c:v>
                </c:pt>
                <c:pt idx="35">
                  <c:v>7206.29638671875</c:v>
                </c:pt>
                <c:pt idx="36">
                  <c:v>7313.626953125</c:v>
                </c:pt>
                <c:pt idx="37">
                  <c:v>7329.71435546875</c:v>
                </c:pt>
                <c:pt idx="38">
                  <c:v>7590.81884765625</c:v>
                </c:pt>
                <c:pt idx="39">
                  <c:v>8358.5380859375</c:v>
                </c:pt>
                <c:pt idx="40">
                  <c:v>9557.55859375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5521-453A-A88D-D96216F2FDFF}"/>
            </c:ext>
          </c:extLst>
        </c:ser>
        <c:ser>
          <c:idx val="36"/>
          <c:order val="36"/>
          <c:tx>
            <c:strRef>
              <c:f>Skymaps!$D$298</c:f>
              <c:strCache>
                <c:ptCount val="1"/>
                <c:pt idx="0">
                  <c:v>36000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Skymaps!$E$298:$BC$298</c:f>
              <c:numCache>
                <c:formatCode>General</c:formatCode>
                <c:ptCount val="51"/>
                <c:pt idx="33">
                  <c:v>7920.91064453125</c:v>
                </c:pt>
                <c:pt idx="34">
                  <c:v>7567.28466796875</c:v>
                </c:pt>
                <c:pt idx="35">
                  <c:v>7340.99853515625</c:v>
                </c:pt>
                <c:pt idx="36">
                  <c:v>7347.81494140625</c:v>
                </c:pt>
                <c:pt idx="37">
                  <c:v>7402.34521484375</c:v>
                </c:pt>
                <c:pt idx="38">
                  <c:v>7783.78369140625</c:v>
                </c:pt>
                <c:pt idx="39">
                  <c:v>8255.2001953125</c:v>
                </c:pt>
                <c:pt idx="40">
                  <c:v>9868.546875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5521-453A-A88D-D96216F2FDFF}"/>
            </c:ext>
          </c:extLst>
        </c:ser>
        <c:ser>
          <c:idx val="37"/>
          <c:order val="37"/>
          <c:tx>
            <c:strRef>
              <c:f>Skymaps!$D$299</c:f>
              <c:strCache>
                <c:ptCount val="1"/>
                <c:pt idx="0">
                  <c:v>37000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Skymaps!$E$299:$BC$299</c:f>
              <c:numCache>
                <c:formatCode>General</c:formatCode>
                <c:ptCount val="51"/>
                <c:pt idx="35">
                  <c:v>7636.86328125</c:v>
                </c:pt>
                <c:pt idx="36">
                  <c:v>7573.267578125</c:v>
                </c:pt>
                <c:pt idx="37">
                  <c:v>7512.06201171875</c:v>
                </c:pt>
                <c:pt idx="38">
                  <c:v>7839.20654296875</c:v>
                </c:pt>
                <c:pt idx="39">
                  <c:v>8515.677734375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5521-453A-A88D-D96216F2FDFF}"/>
            </c:ext>
          </c:extLst>
        </c:ser>
        <c:ser>
          <c:idx val="38"/>
          <c:order val="38"/>
          <c:tx>
            <c:strRef>
              <c:f>Skymaps!$D$300</c:f>
              <c:strCache>
                <c:ptCount val="1"/>
                <c:pt idx="0">
                  <c:v>38000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Skymaps!$E$300:$BC$300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6-5521-453A-A88D-D96216F2FDFF}"/>
            </c:ext>
          </c:extLst>
        </c:ser>
        <c:ser>
          <c:idx val="39"/>
          <c:order val="39"/>
          <c:tx>
            <c:strRef>
              <c:f>Skymaps!$D$301</c:f>
              <c:strCache>
                <c:ptCount val="1"/>
                <c:pt idx="0">
                  <c:v>39000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Skymaps!$E$301:$BC$301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5521-453A-A88D-D96216F2FDFF}"/>
            </c:ext>
          </c:extLst>
        </c:ser>
        <c:ser>
          <c:idx val="40"/>
          <c:order val="40"/>
          <c:tx>
            <c:strRef>
              <c:f>Skymaps!$D$302</c:f>
              <c:strCache>
                <c:ptCount val="1"/>
                <c:pt idx="0">
                  <c:v>40000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Skymaps!$E$302:$BC$302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5521-453A-A88D-D96216F2FDFF}"/>
            </c:ext>
          </c:extLst>
        </c:ser>
        <c:ser>
          <c:idx val="41"/>
          <c:order val="41"/>
          <c:tx>
            <c:strRef>
              <c:f>Skymaps!$D$303</c:f>
              <c:strCache>
                <c:ptCount val="1"/>
                <c:pt idx="0">
                  <c:v>41000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Skymaps!$E$303:$BC$303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5521-453A-A88D-D96216F2FDFF}"/>
            </c:ext>
          </c:extLst>
        </c:ser>
        <c:ser>
          <c:idx val="42"/>
          <c:order val="42"/>
          <c:tx>
            <c:strRef>
              <c:f>Skymaps!$D$304</c:f>
              <c:strCache>
                <c:ptCount val="1"/>
                <c:pt idx="0">
                  <c:v>42000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Skymaps!$E$304:$BC$304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5521-453A-A88D-D96216F2FDFF}"/>
            </c:ext>
          </c:extLst>
        </c:ser>
        <c:ser>
          <c:idx val="43"/>
          <c:order val="43"/>
          <c:tx>
            <c:strRef>
              <c:f>Skymaps!$D$305</c:f>
              <c:strCache>
                <c:ptCount val="1"/>
                <c:pt idx="0">
                  <c:v>43000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Skymaps!$E$305:$BC$305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5521-453A-A88D-D96216F2FDFF}"/>
            </c:ext>
          </c:extLst>
        </c:ser>
        <c:ser>
          <c:idx val="44"/>
          <c:order val="44"/>
          <c:tx>
            <c:strRef>
              <c:f>Skymaps!$D$306</c:f>
              <c:strCache>
                <c:ptCount val="1"/>
                <c:pt idx="0">
                  <c:v>44000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Skymaps!$E$306:$BC$306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5521-453A-A88D-D96216F2FDFF}"/>
            </c:ext>
          </c:extLst>
        </c:ser>
        <c:ser>
          <c:idx val="45"/>
          <c:order val="45"/>
          <c:tx>
            <c:strRef>
              <c:f>Skymaps!$D$307</c:f>
              <c:strCache>
                <c:ptCount val="1"/>
                <c:pt idx="0">
                  <c:v>45000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Skymaps!$E$307:$BC$307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5521-453A-A88D-D96216F2FDFF}"/>
            </c:ext>
          </c:extLst>
        </c:ser>
        <c:ser>
          <c:idx val="46"/>
          <c:order val="46"/>
          <c:tx>
            <c:strRef>
              <c:f>Skymaps!$D$308</c:f>
              <c:strCache>
                <c:ptCount val="1"/>
                <c:pt idx="0">
                  <c:v>46000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Skymaps!$E$308:$BC$308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5521-453A-A88D-D96216F2FDFF}"/>
            </c:ext>
          </c:extLst>
        </c:ser>
        <c:ser>
          <c:idx val="47"/>
          <c:order val="47"/>
          <c:tx>
            <c:strRef>
              <c:f>Skymaps!$D$309</c:f>
              <c:strCache>
                <c:ptCount val="1"/>
                <c:pt idx="0">
                  <c:v>47000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Skymaps!$E$309:$BC$309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5521-453A-A88D-D96216F2FDFF}"/>
            </c:ext>
          </c:extLst>
        </c:ser>
        <c:ser>
          <c:idx val="48"/>
          <c:order val="48"/>
          <c:tx>
            <c:strRef>
              <c:f>Skymaps!$D$310</c:f>
              <c:strCache>
                <c:ptCount val="1"/>
                <c:pt idx="0">
                  <c:v>48000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Skymaps!$E$310:$BC$310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5521-453A-A88D-D96216F2FDFF}"/>
            </c:ext>
          </c:extLst>
        </c:ser>
        <c:ser>
          <c:idx val="49"/>
          <c:order val="49"/>
          <c:tx>
            <c:strRef>
              <c:f>Skymaps!$D$311</c:f>
              <c:strCache>
                <c:ptCount val="1"/>
                <c:pt idx="0">
                  <c:v>49000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Skymaps!$E$311:$BC$311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5521-453A-A88D-D96216F2FDFF}"/>
            </c:ext>
          </c:extLst>
        </c:ser>
        <c:ser>
          <c:idx val="50"/>
          <c:order val="50"/>
          <c:tx>
            <c:strRef>
              <c:f>Skymaps!$D$312</c:f>
              <c:strCache>
                <c:ptCount val="1"/>
                <c:pt idx="0">
                  <c:v>50000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Skymaps!$E$312:$BC$312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5521-453A-A88D-D96216F2FDFF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5"/>
            <c:spPr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6"/>
            <c:spPr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7"/>
            <c:spPr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8"/>
            <c:spPr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19"/>
            <c:spPr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0"/>
            <c:spPr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1"/>
            <c:spPr>
              <a:ln w="9525" cap="rnd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2"/>
            <c:spPr>
              <a:ln w="9525" cap="rnd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3"/>
            <c:spPr>
              <a:ln w="9525" cap="rnd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4"/>
            <c:spPr>
              <a:ln w="9525" cap="rnd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5"/>
            <c:spPr>
              <a:ln w="9525" cap="rnd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6"/>
            <c:spPr>
              <a:ln w="9525" cap="rnd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7"/>
            <c:spPr>
              <a:ln w="9525" cap="rnd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8"/>
            <c:spPr>
              <a:ln w="9525" cap="rnd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9"/>
            <c:spPr>
              <a:ln w="9525" cap="rnd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30"/>
            <c:spPr>
              <a:ln w="9525" cap="rnd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bandFmt>
          <c:bandFmt>
            <c:idx val="31"/>
            <c:spPr>
              <a:ln w="9525" cap="rnd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bandFmt>
          <c:bandFmt>
            <c:idx val="32"/>
            <c:spPr>
              <a:ln w="9525" cap="rnd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bandFmt>
          <c:bandFmt>
            <c:idx val="33"/>
            <c:spPr>
              <a:ln w="9525" cap="rnd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bandFmt>
          <c:bandFmt>
            <c:idx val="34"/>
            <c:spPr>
              <a:ln w="9525" cap="rnd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bandFmt>
          <c:bandFmt>
            <c:idx val="35"/>
            <c:spPr>
              <a:ln w="9525" cap="rnd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bandFmt>
          <c:bandFmt>
            <c:idx val="36"/>
            <c:spPr>
              <a:ln w="9525" cap="rnd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bandFmt>
          <c:bandFmt>
            <c:idx val="37"/>
            <c:spPr>
              <a:ln w="9525" cap="rnd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bandFmt>
          <c:bandFmt>
            <c:idx val="38"/>
            <c:spPr>
              <a:ln w="9525" cap="rnd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bandFmt>
          <c:bandFmt>
            <c:idx val="39"/>
            <c:spPr>
              <a:ln w="9525" cap="rnd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bandFmt>
          <c:bandFmt>
            <c:idx val="40"/>
            <c:spPr>
              <a:ln w="9525" cap="rnd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bandFmt>
          <c:bandFmt>
            <c:idx val="41"/>
            <c:spPr>
              <a:ln w="9525" cap="rnd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bandFmt>
          <c:bandFmt>
            <c:idx val="42"/>
            <c:spPr>
              <a:ln w="9525" cap="rnd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bandFmt>
          <c:bandFmt>
            <c:idx val="43"/>
            <c:spPr>
              <a:ln w="9525" cap="rnd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bandFmt>
          <c:bandFmt>
            <c:idx val="44"/>
            <c:spPr>
              <a:ln w="9525" cap="rnd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bandFmt>
          <c:bandFmt>
            <c:idx val="45"/>
            <c:spPr>
              <a:ln w="9525" cap="rnd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bandFmt>
          <c:bandFmt>
            <c:idx val="46"/>
            <c:spPr>
              <a:ln w="9525" cap="rnd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bandFmt>
          <c:bandFmt>
            <c:idx val="47"/>
            <c:spPr>
              <a:ln w="9525" cap="rnd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bandFmt>
          <c:bandFmt>
            <c:idx val="48"/>
            <c:spPr>
              <a:ln w="9525" cap="rnd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bandFmt>
          <c:bandFmt>
            <c:idx val="49"/>
            <c:spPr>
              <a:ln w="9525" cap="rnd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bandFmt>
          <c:bandFmt>
            <c:idx val="50"/>
            <c:spPr>
              <a:ln w="9525" cap="rnd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bandFmt>
          <c:bandFmt>
            <c:idx val="51"/>
            <c:spPr>
              <a:ln w="9525" cap="rnd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bandFmt>
        </c:bandFmts>
        <c:axId val="586228728"/>
        <c:axId val="586232336"/>
        <c:axId val="302067968"/>
      </c:surfaceChart>
      <c:catAx>
        <c:axId val="586228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32336"/>
        <c:crosses val="autoZero"/>
        <c:auto val="1"/>
        <c:lblAlgn val="ctr"/>
        <c:lblOffset val="100"/>
        <c:noMultiLvlLbl val="0"/>
      </c:catAx>
      <c:valAx>
        <c:axId val="58623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28728"/>
        <c:crosses val="autoZero"/>
        <c:crossBetween val="midCat"/>
        <c:majorUnit val="500"/>
      </c:valAx>
      <c:serAx>
        <c:axId val="3020679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32336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Skymaps!$D$314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Skymaps!$E$314:$BC$314</c:f>
              <c:numCache>
                <c:formatCode>General</c:formatCode>
                <c:ptCount val="51"/>
                <c:pt idx="13">
                  <c:v>3.3412458896636963</c:v>
                </c:pt>
                <c:pt idx="14">
                  <c:v>6.8699564933776855</c:v>
                </c:pt>
                <c:pt idx="15">
                  <c:v>13.303824424743652</c:v>
                </c:pt>
                <c:pt idx="16">
                  <c:v>15.982390403747559</c:v>
                </c:pt>
                <c:pt idx="17">
                  <c:v>16.810882568359375</c:v>
                </c:pt>
                <c:pt idx="18">
                  <c:v>17.152919769287109</c:v>
                </c:pt>
                <c:pt idx="19">
                  <c:v>17.17732048034668</c:v>
                </c:pt>
                <c:pt idx="20">
                  <c:v>17.109350204467773</c:v>
                </c:pt>
                <c:pt idx="21">
                  <c:v>16.519811630249023</c:v>
                </c:pt>
                <c:pt idx="22">
                  <c:v>16.01353645324707</c:v>
                </c:pt>
                <c:pt idx="23">
                  <c:v>15.556429862976074</c:v>
                </c:pt>
                <c:pt idx="24">
                  <c:v>14.848505973815918</c:v>
                </c:pt>
                <c:pt idx="25">
                  <c:v>14.232977867126465</c:v>
                </c:pt>
                <c:pt idx="26">
                  <c:v>13.486883163452148</c:v>
                </c:pt>
                <c:pt idx="27">
                  <c:v>12.898597717285156</c:v>
                </c:pt>
                <c:pt idx="28">
                  <c:v>12.145024299621582</c:v>
                </c:pt>
                <c:pt idx="29">
                  <c:v>11.541638374328613</c:v>
                </c:pt>
                <c:pt idx="30">
                  <c:v>10.933249473571777</c:v>
                </c:pt>
                <c:pt idx="31">
                  <c:v>10.281791687011719</c:v>
                </c:pt>
                <c:pt idx="32">
                  <c:v>9.6201133728027344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A7-4327-B0F5-E0506053756C}"/>
            </c:ext>
          </c:extLst>
        </c:ser>
        <c:ser>
          <c:idx val="1"/>
          <c:order val="1"/>
          <c:tx>
            <c:strRef>
              <c:f>Skymaps!$D$315</c:f>
              <c:strCache>
                <c:ptCount val="1"/>
                <c:pt idx="0">
                  <c:v>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Skymaps!$E$315:$BC$315</c:f>
              <c:numCache>
                <c:formatCode>General</c:formatCode>
                <c:ptCount val="51"/>
                <c:pt idx="14">
                  <c:v>5.6940999031066895</c:v>
                </c:pt>
                <c:pt idx="15">
                  <c:v>11.453704833984375</c:v>
                </c:pt>
                <c:pt idx="16">
                  <c:v>15.241682052612305</c:v>
                </c:pt>
                <c:pt idx="17">
                  <c:v>16.445320129394531</c:v>
                </c:pt>
                <c:pt idx="18">
                  <c:v>17.172346115112305</c:v>
                </c:pt>
                <c:pt idx="19">
                  <c:v>17.385976791381836</c:v>
                </c:pt>
                <c:pt idx="20">
                  <c:v>17.327444076538086</c:v>
                </c:pt>
                <c:pt idx="21">
                  <c:v>16.888454437255859</c:v>
                </c:pt>
                <c:pt idx="22">
                  <c:v>16.374050140380859</c:v>
                </c:pt>
                <c:pt idx="23">
                  <c:v>15.731680870056152</c:v>
                </c:pt>
                <c:pt idx="24">
                  <c:v>15.075263977050781</c:v>
                </c:pt>
                <c:pt idx="25">
                  <c:v>14.555024147033691</c:v>
                </c:pt>
                <c:pt idx="26">
                  <c:v>13.73637866973877</c:v>
                </c:pt>
                <c:pt idx="27">
                  <c:v>13.201310157775879</c:v>
                </c:pt>
                <c:pt idx="28">
                  <c:v>12.531702041625977</c:v>
                </c:pt>
                <c:pt idx="29">
                  <c:v>11.843569755554199</c:v>
                </c:pt>
                <c:pt idx="30">
                  <c:v>11.258437156677246</c:v>
                </c:pt>
                <c:pt idx="31">
                  <c:v>10.617523193359375</c:v>
                </c:pt>
                <c:pt idx="32">
                  <c:v>9.9263448715209961</c:v>
                </c:pt>
                <c:pt idx="33">
                  <c:v>9.3444499969482422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A7-4327-B0F5-E0506053756C}"/>
            </c:ext>
          </c:extLst>
        </c:ser>
        <c:ser>
          <c:idx val="2"/>
          <c:order val="2"/>
          <c:tx>
            <c:strRef>
              <c:f>Skymaps!$D$316</c:f>
              <c:strCache>
                <c:ptCount val="1"/>
                <c:pt idx="0">
                  <c:v>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Skymaps!$E$316:$BC$316</c:f>
              <c:numCache>
                <c:formatCode>General</c:formatCode>
                <c:ptCount val="51"/>
                <c:pt idx="14">
                  <c:v>4.7440581321716309</c:v>
                </c:pt>
                <c:pt idx="15">
                  <c:v>9.5781011581420898</c:v>
                </c:pt>
                <c:pt idx="16">
                  <c:v>15.181241989135742</c:v>
                </c:pt>
                <c:pt idx="17">
                  <c:v>16.327289581298828</c:v>
                </c:pt>
                <c:pt idx="18">
                  <c:v>16.811798095703125</c:v>
                </c:pt>
                <c:pt idx="19">
                  <c:v>17.280427932739258</c:v>
                </c:pt>
                <c:pt idx="20">
                  <c:v>17.439424514770508</c:v>
                </c:pt>
                <c:pt idx="21">
                  <c:v>17.119722366333008</c:v>
                </c:pt>
                <c:pt idx="22">
                  <c:v>16.533971786499023</c:v>
                </c:pt>
                <c:pt idx="23">
                  <c:v>15.808454513549805</c:v>
                </c:pt>
                <c:pt idx="24">
                  <c:v>15.464295387268066</c:v>
                </c:pt>
                <c:pt idx="25">
                  <c:v>14.785760879516602</c:v>
                </c:pt>
                <c:pt idx="26">
                  <c:v>14.153136253356934</c:v>
                </c:pt>
                <c:pt idx="27">
                  <c:v>13.452031135559082</c:v>
                </c:pt>
                <c:pt idx="28">
                  <c:v>12.882956504821777</c:v>
                </c:pt>
                <c:pt idx="29">
                  <c:v>12.160594940185547</c:v>
                </c:pt>
                <c:pt idx="30">
                  <c:v>11.575376510620117</c:v>
                </c:pt>
                <c:pt idx="31">
                  <c:v>10.95034122467041</c:v>
                </c:pt>
                <c:pt idx="32">
                  <c:v>10.323955535888672</c:v>
                </c:pt>
                <c:pt idx="33">
                  <c:v>9.645472526550293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A7-4327-B0F5-E0506053756C}"/>
            </c:ext>
          </c:extLst>
        </c:ser>
        <c:ser>
          <c:idx val="3"/>
          <c:order val="3"/>
          <c:tx>
            <c:strRef>
              <c:f>Skymaps!$D$317</c:f>
              <c:strCache>
                <c:ptCount val="1"/>
                <c:pt idx="0">
                  <c:v>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Skymaps!$E$317:$BC$317</c:f>
              <c:numCache>
                <c:formatCode>General</c:formatCode>
                <c:ptCount val="51"/>
                <c:pt idx="14">
                  <c:v>3.9805383682250977</c:v>
                </c:pt>
                <c:pt idx="15">
                  <c:v>7.8999919891357422</c:v>
                </c:pt>
                <c:pt idx="16">
                  <c:v>14.154536247253418</c:v>
                </c:pt>
                <c:pt idx="17">
                  <c:v>16.002399444580078</c:v>
                </c:pt>
                <c:pt idx="18">
                  <c:v>16.861522674560547</c:v>
                </c:pt>
                <c:pt idx="19">
                  <c:v>17.168783187866211</c:v>
                </c:pt>
                <c:pt idx="20">
                  <c:v>17.096397399902344</c:v>
                </c:pt>
                <c:pt idx="21">
                  <c:v>17.065530776977539</c:v>
                </c:pt>
                <c:pt idx="22">
                  <c:v>16.661605834960938</c:v>
                </c:pt>
                <c:pt idx="23">
                  <c:v>16.256477355957031</c:v>
                </c:pt>
                <c:pt idx="24">
                  <c:v>15.698287963867188</c:v>
                </c:pt>
                <c:pt idx="25">
                  <c:v>14.978859901428223</c:v>
                </c:pt>
                <c:pt idx="26">
                  <c:v>14.492900848388672</c:v>
                </c:pt>
                <c:pt idx="27">
                  <c:v>13.690774917602539</c:v>
                </c:pt>
                <c:pt idx="28">
                  <c:v>13.189719200134277</c:v>
                </c:pt>
                <c:pt idx="29">
                  <c:v>12.549980163574219</c:v>
                </c:pt>
                <c:pt idx="30">
                  <c:v>11.880706787109375</c:v>
                </c:pt>
                <c:pt idx="31">
                  <c:v>11.277378082275391</c:v>
                </c:pt>
                <c:pt idx="32">
                  <c:v>10.662278175354004</c:v>
                </c:pt>
                <c:pt idx="33">
                  <c:v>10.052726745605469</c:v>
                </c:pt>
                <c:pt idx="34">
                  <c:v>9.3902797698974609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A7-4327-B0F5-E0506053756C}"/>
            </c:ext>
          </c:extLst>
        </c:ser>
        <c:ser>
          <c:idx val="4"/>
          <c:order val="4"/>
          <c:tx>
            <c:strRef>
              <c:f>Skymaps!$D$318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Skymaps!$E$318:$BC$318</c:f>
              <c:numCache>
                <c:formatCode>General</c:formatCode>
                <c:ptCount val="51"/>
                <c:pt idx="14">
                  <c:v>3.3660876750946045</c:v>
                </c:pt>
                <c:pt idx="15">
                  <c:v>6.4945082664489746</c:v>
                </c:pt>
                <c:pt idx="16">
                  <c:v>12.430841445922852</c:v>
                </c:pt>
                <c:pt idx="17">
                  <c:v>15.56821346282959</c:v>
                </c:pt>
                <c:pt idx="18">
                  <c:v>16.403085708618164</c:v>
                </c:pt>
                <c:pt idx="19">
                  <c:v>17.156518936157227</c:v>
                </c:pt>
                <c:pt idx="20">
                  <c:v>17.431215286254883</c:v>
                </c:pt>
                <c:pt idx="21">
                  <c:v>17.424339294433594</c:v>
                </c:pt>
                <c:pt idx="22">
                  <c:v>17.043098449707031</c:v>
                </c:pt>
                <c:pt idx="23">
                  <c:v>16.50849723815918</c:v>
                </c:pt>
                <c:pt idx="24">
                  <c:v>15.75889778137207</c:v>
                </c:pt>
                <c:pt idx="25">
                  <c:v>15.413562774658203</c:v>
                </c:pt>
                <c:pt idx="26">
                  <c:v>14.7408447265625</c:v>
                </c:pt>
                <c:pt idx="27">
                  <c:v>14.117219924926758</c:v>
                </c:pt>
                <c:pt idx="28">
                  <c:v>13.44307804107666</c:v>
                </c:pt>
                <c:pt idx="29">
                  <c:v>12.902323722839355</c:v>
                </c:pt>
                <c:pt idx="30">
                  <c:v>12.220577239990234</c:v>
                </c:pt>
                <c:pt idx="31">
                  <c:v>11.59542179107666</c:v>
                </c:pt>
                <c:pt idx="32">
                  <c:v>10.996982574462891</c:v>
                </c:pt>
                <c:pt idx="33">
                  <c:v>10.394941329956055</c:v>
                </c:pt>
                <c:pt idx="34">
                  <c:v>9.6971540451049805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A7-4327-B0F5-E0506053756C}"/>
            </c:ext>
          </c:extLst>
        </c:ser>
        <c:ser>
          <c:idx val="5"/>
          <c:order val="5"/>
          <c:tx>
            <c:strRef>
              <c:f>Skymaps!$D$319</c:f>
              <c:strCache>
                <c:ptCount val="1"/>
                <c:pt idx="0">
                  <c:v>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Skymaps!$E$319:$BC$319</c:f>
              <c:numCache>
                <c:formatCode>General</c:formatCode>
                <c:ptCount val="51"/>
                <c:pt idx="15">
                  <c:v>5.3552355766296387</c:v>
                </c:pt>
                <c:pt idx="16">
                  <c:v>10.485224723815918</c:v>
                </c:pt>
                <c:pt idx="17">
                  <c:v>15.286016464233398</c:v>
                </c:pt>
                <c:pt idx="18">
                  <c:v>16.379657745361328</c:v>
                </c:pt>
                <c:pt idx="19">
                  <c:v>16.859018325805664</c:v>
                </c:pt>
                <c:pt idx="20">
                  <c:v>17.202625274658203</c:v>
                </c:pt>
                <c:pt idx="21">
                  <c:v>17.373275756835938</c:v>
                </c:pt>
                <c:pt idx="22">
                  <c:v>17.14300537109375</c:v>
                </c:pt>
                <c:pt idx="23">
                  <c:v>16.54456901550293</c:v>
                </c:pt>
                <c:pt idx="24">
                  <c:v>16.167943954467773</c:v>
                </c:pt>
                <c:pt idx="25">
                  <c:v>15.703392028808594</c:v>
                </c:pt>
                <c:pt idx="26">
                  <c:v>14.915760040283203</c:v>
                </c:pt>
                <c:pt idx="27">
                  <c:v>14.468034744262695</c:v>
                </c:pt>
                <c:pt idx="28">
                  <c:v>13.699047088623047</c:v>
                </c:pt>
                <c:pt idx="29">
                  <c:v>13.213152885437012</c:v>
                </c:pt>
                <c:pt idx="30">
                  <c:v>12.610713958740234</c:v>
                </c:pt>
                <c:pt idx="31">
                  <c:v>11.902095794677734</c:v>
                </c:pt>
                <c:pt idx="32">
                  <c:v>11.327236175537109</c:v>
                </c:pt>
                <c:pt idx="33">
                  <c:v>10.738603591918945</c:v>
                </c:pt>
                <c:pt idx="34">
                  <c:v>10.152434349060059</c:v>
                </c:pt>
                <c:pt idx="35">
                  <c:v>9.5975942611694336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A7-4327-B0F5-E0506053756C}"/>
            </c:ext>
          </c:extLst>
        </c:ser>
        <c:ser>
          <c:idx val="6"/>
          <c:order val="6"/>
          <c:tx>
            <c:strRef>
              <c:f>Skymaps!$D$320</c:f>
              <c:strCache>
                <c:ptCount val="1"/>
                <c:pt idx="0">
                  <c:v>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Skymaps!$E$320:$BC$320</c:f>
              <c:numCache>
                <c:formatCode>General</c:formatCode>
                <c:ptCount val="51"/>
                <c:pt idx="15">
                  <c:v>4.4441800117492676</c:v>
                </c:pt>
                <c:pt idx="16">
                  <c:v>8.6523714065551758</c:v>
                </c:pt>
                <c:pt idx="17">
                  <c:v>14.50200080871582</c:v>
                </c:pt>
                <c:pt idx="18">
                  <c:v>16.003768920898438</c:v>
                </c:pt>
                <c:pt idx="19">
                  <c:v>16.835704803466797</c:v>
                </c:pt>
                <c:pt idx="20">
                  <c:v>17.25334358215332</c:v>
                </c:pt>
                <c:pt idx="21">
                  <c:v>17.293664932250977</c:v>
                </c:pt>
                <c:pt idx="22">
                  <c:v>17.287702560424805</c:v>
                </c:pt>
                <c:pt idx="23">
                  <c:v>16.94556999206543</c:v>
                </c:pt>
                <c:pt idx="24">
                  <c:v>16.480749130249023</c:v>
                </c:pt>
                <c:pt idx="25">
                  <c:v>15.824762344360352</c:v>
                </c:pt>
                <c:pt idx="26">
                  <c:v>15.368566513061523</c:v>
                </c:pt>
                <c:pt idx="27">
                  <c:v>14.71995735168457</c:v>
                </c:pt>
                <c:pt idx="28">
                  <c:v>14.125480651855469</c:v>
                </c:pt>
                <c:pt idx="29">
                  <c:v>13.460859298706055</c:v>
                </c:pt>
                <c:pt idx="30">
                  <c:v>12.960037231445313</c:v>
                </c:pt>
                <c:pt idx="31">
                  <c:v>12.270087242126465</c:v>
                </c:pt>
                <c:pt idx="32">
                  <c:v>11.64411735534668</c:v>
                </c:pt>
                <c:pt idx="33">
                  <c:v>11.073458671569824</c:v>
                </c:pt>
                <c:pt idx="34">
                  <c:v>10.496332168579102</c:v>
                </c:pt>
                <c:pt idx="35">
                  <c:v>9.9272727966308594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A7-4327-B0F5-E0506053756C}"/>
            </c:ext>
          </c:extLst>
        </c:ser>
        <c:ser>
          <c:idx val="7"/>
          <c:order val="7"/>
          <c:tx>
            <c:strRef>
              <c:f>Skymaps!$D$321</c:f>
              <c:strCache>
                <c:ptCount val="1"/>
                <c:pt idx="0">
                  <c:v>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Skymaps!$E$321:$BC$321</c:f>
              <c:numCache>
                <c:formatCode>General</c:formatCode>
                <c:ptCount val="51"/>
                <c:pt idx="16">
                  <c:v>7.0828871726989746</c:v>
                </c:pt>
                <c:pt idx="17">
                  <c:v>12.867597579956055</c:v>
                </c:pt>
                <c:pt idx="18">
                  <c:v>15.62221622467041</c:v>
                </c:pt>
                <c:pt idx="19">
                  <c:v>16.460256576538086</c:v>
                </c:pt>
                <c:pt idx="20">
                  <c:v>17.059894561767578</c:v>
                </c:pt>
                <c:pt idx="21">
                  <c:v>17.409519195556641</c:v>
                </c:pt>
                <c:pt idx="22">
                  <c:v>17.46357536315918</c:v>
                </c:pt>
                <c:pt idx="23">
                  <c:v>17.152101516723633</c:v>
                </c:pt>
                <c:pt idx="24">
                  <c:v>16.571601867675781</c:v>
                </c:pt>
                <c:pt idx="25">
                  <c:v>16.116687774658203</c:v>
                </c:pt>
                <c:pt idx="26">
                  <c:v>15.674824714660645</c:v>
                </c:pt>
                <c:pt idx="27">
                  <c:v>14.906087875366211</c:v>
                </c:pt>
                <c:pt idx="28">
                  <c:v>14.470707893371582</c:v>
                </c:pt>
                <c:pt idx="29">
                  <c:v>13.746902465820313</c:v>
                </c:pt>
                <c:pt idx="30">
                  <c:v>13.259922981262207</c:v>
                </c:pt>
                <c:pt idx="31">
                  <c:v>12.653735160827637</c:v>
                </c:pt>
                <c:pt idx="32">
                  <c:v>11.947164535522461</c:v>
                </c:pt>
                <c:pt idx="33">
                  <c:v>11.400381088256836</c:v>
                </c:pt>
                <c:pt idx="34">
                  <c:v>10.837346076965332</c:v>
                </c:pt>
                <c:pt idx="35">
                  <c:v>10.275483131408691</c:v>
                </c:pt>
                <c:pt idx="36">
                  <c:v>9.5511369705200195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A7-4327-B0F5-E0506053756C}"/>
            </c:ext>
          </c:extLst>
        </c:ser>
        <c:ser>
          <c:idx val="8"/>
          <c:order val="8"/>
          <c:tx>
            <c:strRef>
              <c:f>Skymaps!$D$322</c:f>
              <c:strCache>
                <c:ptCount val="1"/>
                <c:pt idx="0">
                  <c:v>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Skymaps!$E$322:$BC$322</c:f>
              <c:numCache>
                <c:formatCode>General</c:formatCode>
                <c:ptCount val="51"/>
                <c:pt idx="16">
                  <c:v>5.8019709587097168</c:v>
                </c:pt>
                <c:pt idx="17">
                  <c:v>10.890885353088379</c:v>
                </c:pt>
                <c:pt idx="18">
                  <c:v>15.29181957244873</c:v>
                </c:pt>
                <c:pt idx="19">
                  <c:v>16.305976867675781</c:v>
                </c:pt>
                <c:pt idx="20">
                  <c:v>16.950300216674805</c:v>
                </c:pt>
                <c:pt idx="21">
                  <c:v>17.045106887817383</c:v>
                </c:pt>
                <c:pt idx="22">
                  <c:v>17.150062561035156</c:v>
                </c:pt>
                <c:pt idx="23">
                  <c:v>17.126420974731445</c:v>
                </c:pt>
                <c:pt idx="24">
                  <c:v>16.863441467285156</c:v>
                </c:pt>
                <c:pt idx="25">
                  <c:v>16.471445083618164</c:v>
                </c:pt>
                <c:pt idx="26">
                  <c:v>15.811980247497559</c:v>
                </c:pt>
                <c:pt idx="27">
                  <c:v>15.365204811096191</c:v>
                </c:pt>
                <c:pt idx="28">
                  <c:v>14.718791961669922</c:v>
                </c:pt>
                <c:pt idx="29">
                  <c:v>14.168281555175781</c:v>
                </c:pt>
                <c:pt idx="30">
                  <c:v>13.500887870788574</c:v>
                </c:pt>
                <c:pt idx="31">
                  <c:v>12.994587898254395</c:v>
                </c:pt>
                <c:pt idx="32">
                  <c:v>12.351123809814453</c:v>
                </c:pt>
                <c:pt idx="33">
                  <c:v>11.715755462646484</c:v>
                </c:pt>
                <c:pt idx="34">
                  <c:v>11.172360420227051</c:v>
                </c:pt>
                <c:pt idx="35">
                  <c:v>10.622440338134766</c:v>
                </c:pt>
                <c:pt idx="36">
                  <c:v>9.9667720794677734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9A7-4327-B0F5-E0506053756C}"/>
            </c:ext>
          </c:extLst>
        </c:ser>
        <c:ser>
          <c:idx val="9"/>
          <c:order val="9"/>
          <c:tx>
            <c:strRef>
              <c:f>Skymaps!$D$323</c:f>
              <c:strCache>
                <c:ptCount val="1"/>
                <c:pt idx="0">
                  <c:v>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Skymaps!$E$323:$BC$323</c:f>
              <c:numCache>
                <c:formatCode>General</c:formatCode>
                <c:ptCount val="51"/>
                <c:pt idx="17">
                  <c:v>8.9760017395019531</c:v>
                </c:pt>
                <c:pt idx="18">
                  <c:v>14.50605297088623</c:v>
                </c:pt>
                <c:pt idx="19">
                  <c:v>16.032342910766602</c:v>
                </c:pt>
                <c:pt idx="20">
                  <c:v>16.673969268798828</c:v>
                </c:pt>
                <c:pt idx="21">
                  <c:v>17.256675720214844</c:v>
                </c:pt>
                <c:pt idx="22">
                  <c:v>17.436607360839844</c:v>
                </c:pt>
                <c:pt idx="23">
                  <c:v>17.468912124633789</c:v>
                </c:pt>
                <c:pt idx="24">
                  <c:v>17.145048141479492</c:v>
                </c:pt>
                <c:pt idx="25">
                  <c:v>16.600185394287109</c:v>
                </c:pt>
                <c:pt idx="26">
                  <c:v>16.082529067993164</c:v>
                </c:pt>
                <c:pt idx="27">
                  <c:v>15.673458099365234</c:v>
                </c:pt>
                <c:pt idx="28">
                  <c:v>14.952335357666016</c:v>
                </c:pt>
                <c:pt idx="29">
                  <c:v>14.503912925720215</c:v>
                </c:pt>
                <c:pt idx="30">
                  <c:v>13.848146438598633</c:v>
                </c:pt>
                <c:pt idx="31">
                  <c:v>13.28256893157959</c:v>
                </c:pt>
                <c:pt idx="32">
                  <c:v>12.725347518920898</c:v>
                </c:pt>
                <c:pt idx="33">
                  <c:v>12.059041023254395</c:v>
                </c:pt>
                <c:pt idx="34">
                  <c:v>11.497875213623047</c:v>
                </c:pt>
                <c:pt idx="35">
                  <c:v>10.965150833129883</c:v>
                </c:pt>
                <c:pt idx="36">
                  <c:v>10.314338684082031</c:v>
                </c:pt>
                <c:pt idx="37">
                  <c:v>9.6830539703369141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9A7-4327-B0F5-E0506053756C}"/>
            </c:ext>
          </c:extLst>
        </c:ser>
        <c:ser>
          <c:idx val="10"/>
          <c:order val="10"/>
          <c:tx>
            <c:strRef>
              <c:f>Skymaps!$D$324</c:f>
              <c:strCache>
                <c:ptCount val="1"/>
                <c:pt idx="0">
                  <c:v>10000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Skymaps!$E$324:$BC$324</c:f>
              <c:numCache>
                <c:formatCode>General</c:formatCode>
                <c:ptCount val="51"/>
                <c:pt idx="17">
                  <c:v>7.3193931579589844</c:v>
                </c:pt>
                <c:pt idx="18">
                  <c:v>12.833183288574219</c:v>
                </c:pt>
                <c:pt idx="19">
                  <c:v>15.447189331054688</c:v>
                </c:pt>
                <c:pt idx="20">
                  <c:v>16.533292770385742</c:v>
                </c:pt>
                <c:pt idx="21">
                  <c:v>16.744117736816406</c:v>
                </c:pt>
                <c:pt idx="22">
                  <c:v>17.215593338012695</c:v>
                </c:pt>
                <c:pt idx="23">
                  <c:v>17.315877914428711</c:v>
                </c:pt>
                <c:pt idx="24">
                  <c:v>17.121597290039063</c:v>
                </c:pt>
                <c:pt idx="25">
                  <c:v>16.838918685913086</c:v>
                </c:pt>
                <c:pt idx="26">
                  <c:v>16.455350875854492</c:v>
                </c:pt>
                <c:pt idx="27">
                  <c:v>15.812540054321289</c:v>
                </c:pt>
                <c:pt idx="28">
                  <c:v>15.411359786987305</c:v>
                </c:pt>
                <c:pt idx="29">
                  <c:v>14.747780799865723</c:v>
                </c:pt>
                <c:pt idx="30">
                  <c:v>14.266891479492188</c:v>
                </c:pt>
                <c:pt idx="31">
                  <c:v>13.50930118560791</c:v>
                </c:pt>
                <c:pt idx="32">
                  <c:v>13.055105209350586</c:v>
                </c:pt>
                <c:pt idx="33">
                  <c:v>12.46375846862793</c:v>
                </c:pt>
                <c:pt idx="34">
                  <c:v>11.814525604248047</c:v>
                </c:pt>
                <c:pt idx="35">
                  <c:v>11.300210952758789</c:v>
                </c:pt>
                <c:pt idx="36">
                  <c:v>10.657342910766602</c:v>
                </c:pt>
                <c:pt idx="37">
                  <c:v>10.026496887207031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9A7-4327-B0F5-E0506053756C}"/>
            </c:ext>
          </c:extLst>
        </c:ser>
        <c:ser>
          <c:idx val="11"/>
          <c:order val="11"/>
          <c:tx>
            <c:strRef>
              <c:f>Skymaps!$D$325</c:f>
              <c:strCache>
                <c:ptCount val="1"/>
                <c:pt idx="0">
                  <c:v>11000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Skymaps!$E$325:$BC$325</c:f>
              <c:numCache>
                <c:formatCode>General</c:formatCode>
                <c:ptCount val="51"/>
                <c:pt idx="17">
                  <c:v>5.9651484489440918</c:v>
                </c:pt>
                <c:pt idx="18">
                  <c:v>10.810006141662598</c:v>
                </c:pt>
                <c:pt idx="19">
                  <c:v>15.231024742126465</c:v>
                </c:pt>
                <c:pt idx="20">
                  <c:v>16.073156356811523</c:v>
                </c:pt>
                <c:pt idx="21">
                  <c:v>16.927988052368164</c:v>
                </c:pt>
                <c:pt idx="22">
                  <c:v>17.266548156738281</c:v>
                </c:pt>
                <c:pt idx="23">
                  <c:v>17.399448394775391</c:v>
                </c:pt>
                <c:pt idx="24">
                  <c:v>17.461416244506836</c:v>
                </c:pt>
                <c:pt idx="25">
                  <c:v>17.160161972045898</c:v>
                </c:pt>
                <c:pt idx="26">
                  <c:v>16.591590881347656</c:v>
                </c:pt>
                <c:pt idx="27">
                  <c:v>16.104446411132813</c:v>
                </c:pt>
                <c:pt idx="28">
                  <c:v>15.701980590820313</c:v>
                </c:pt>
                <c:pt idx="29">
                  <c:v>15.056151390075684</c:v>
                </c:pt>
                <c:pt idx="30">
                  <c:v>14.598154067993164</c:v>
                </c:pt>
                <c:pt idx="31">
                  <c:v>13.93079662322998</c:v>
                </c:pt>
                <c:pt idx="32">
                  <c:v>13.32158374786377</c:v>
                </c:pt>
                <c:pt idx="33">
                  <c:v>12.82016658782959</c:v>
                </c:pt>
                <c:pt idx="34">
                  <c:v>12.206134796142578</c:v>
                </c:pt>
                <c:pt idx="35">
                  <c:v>11.620495796203613</c:v>
                </c:pt>
                <c:pt idx="36">
                  <c:v>10.993468284606934</c:v>
                </c:pt>
                <c:pt idx="37">
                  <c:v>10.369688034057617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9A7-4327-B0F5-E0506053756C}"/>
            </c:ext>
          </c:extLst>
        </c:ser>
        <c:ser>
          <c:idx val="12"/>
          <c:order val="12"/>
          <c:tx>
            <c:strRef>
              <c:f>Skymaps!$D$326</c:f>
              <c:strCache>
                <c:ptCount val="1"/>
                <c:pt idx="0">
                  <c:v>12000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Skymaps!$E$326:$BC$326</c:f>
              <c:numCache>
                <c:formatCode>General</c:formatCode>
                <c:ptCount val="51"/>
                <c:pt idx="18">
                  <c:v>8.863677978515625</c:v>
                </c:pt>
                <c:pt idx="19">
                  <c:v>14.194369316101074</c:v>
                </c:pt>
                <c:pt idx="20">
                  <c:v>15.962759017944336</c:v>
                </c:pt>
                <c:pt idx="21">
                  <c:v>16.397060394287109</c:v>
                </c:pt>
                <c:pt idx="22">
                  <c:v>17.029376983642578</c:v>
                </c:pt>
                <c:pt idx="23">
                  <c:v>17.347585678100586</c:v>
                </c:pt>
                <c:pt idx="24">
                  <c:v>17.394418716430664</c:v>
                </c:pt>
                <c:pt idx="25">
                  <c:v>17.158515930175781</c:v>
                </c:pt>
                <c:pt idx="26">
                  <c:v>16.812250137329102</c:v>
                </c:pt>
                <c:pt idx="27">
                  <c:v>16.464546203613281</c:v>
                </c:pt>
                <c:pt idx="28">
                  <c:v>15.811230659484863</c:v>
                </c:pt>
                <c:pt idx="29">
                  <c:v>15.482003211975098</c:v>
                </c:pt>
                <c:pt idx="30">
                  <c:v>14.830133438110352</c:v>
                </c:pt>
                <c:pt idx="31">
                  <c:v>14.325404167175293</c:v>
                </c:pt>
                <c:pt idx="32">
                  <c:v>13.592473983764648</c:v>
                </c:pt>
                <c:pt idx="33">
                  <c:v>13.124530792236328</c:v>
                </c:pt>
                <c:pt idx="34">
                  <c:v>12.589447975158691</c:v>
                </c:pt>
                <c:pt idx="35">
                  <c:v>11.964773178100586</c:v>
                </c:pt>
                <c:pt idx="36">
                  <c:v>11.320107460021973</c:v>
                </c:pt>
                <c:pt idx="37">
                  <c:v>10.70866584777832</c:v>
                </c:pt>
                <c:pt idx="38">
                  <c:v>9.9217805862426758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9A7-4327-B0F5-E0506053756C}"/>
            </c:ext>
          </c:extLst>
        </c:ser>
        <c:ser>
          <c:idx val="13"/>
          <c:order val="13"/>
          <c:tx>
            <c:strRef>
              <c:f>Skymaps!$D$327</c:f>
              <c:strCache>
                <c:ptCount val="1"/>
                <c:pt idx="0">
                  <c:v>13000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Skymaps!$E$327:$BC$327</c:f>
              <c:numCache>
                <c:formatCode>General</c:formatCode>
                <c:ptCount val="51"/>
                <c:pt idx="18">
                  <c:v>7.1931614875793457</c:v>
                </c:pt>
                <c:pt idx="19">
                  <c:v>12.353044509887695</c:v>
                </c:pt>
                <c:pt idx="20">
                  <c:v>15.279727935791016</c:v>
                </c:pt>
                <c:pt idx="21">
                  <c:v>16.415559768676758</c:v>
                </c:pt>
                <c:pt idx="22">
                  <c:v>16.968130111694336</c:v>
                </c:pt>
                <c:pt idx="23">
                  <c:v>17.21006965637207</c:v>
                </c:pt>
                <c:pt idx="24">
                  <c:v>17.358705520629883</c:v>
                </c:pt>
                <c:pt idx="25">
                  <c:v>17.468111038208008</c:v>
                </c:pt>
                <c:pt idx="26">
                  <c:v>17.139186859130859</c:v>
                </c:pt>
                <c:pt idx="27">
                  <c:v>16.584926605224609</c:v>
                </c:pt>
                <c:pt idx="28">
                  <c:v>16.16911506652832</c:v>
                </c:pt>
                <c:pt idx="29">
                  <c:v>15.739863395690918</c:v>
                </c:pt>
                <c:pt idx="30">
                  <c:v>15.194181442260742</c:v>
                </c:pt>
                <c:pt idx="31">
                  <c:v>14.629637718200684</c:v>
                </c:pt>
                <c:pt idx="32">
                  <c:v>14.038687705993652</c:v>
                </c:pt>
                <c:pt idx="33">
                  <c:v>13.366588592529297</c:v>
                </c:pt>
                <c:pt idx="34">
                  <c:v>12.925713539123535</c:v>
                </c:pt>
                <c:pt idx="35">
                  <c:v>12.371394157409668</c:v>
                </c:pt>
                <c:pt idx="36">
                  <c:v>11.633272171020508</c:v>
                </c:pt>
                <c:pt idx="37">
                  <c:v>11.039976119995117</c:v>
                </c:pt>
                <c:pt idx="38">
                  <c:v>10.258475303649902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9A7-4327-B0F5-E0506053756C}"/>
            </c:ext>
          </c:extLst>
        </c:ser>
        <c:ser>
          <c:idx val="14"/>
          <c:order val="14"/>
          <c:tx>
            <c:strRef>
              <c:f>Skymaps!$D$328</c:f>
              <c:strCache>
                <c:ptCount val="1"/>
                <c:pt idx="0">
                  <c:v>14000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Skymaps!$E$328:$BC$328</c:f>
              <c:numCache>
                <c:formatCode>General</c:formatCode>
                <c:ptCount val="51"/>
                <c:pt idx="19">
                  <c:v>10.277081489562988</c:v>
                </c:pt>
                <c:pt idx="20">
                  <c:v>14.967097282409668</c:v>
                </c:pt>
                <c:pt idx="21">
                  <c:v>16.034267425537109</c:v>
                </c:pt>
                <c:pt idx="22">
                  <c:v>16.573394775390625</c:v>
                </c:pt>
                <c:pt idx="23">
                  <c:v>17.164995193481445</c:v>
                </c:pt>
                <c:pt idx="24">
                  <c:v>17.407386779785156</c:v>
                </c:pt>
                <c:pt idx="25">
                  <c:v>17.438423156738281</c:v>
                </c:pt>
                <c:pt idx="26">
                  <c:v>17.134332656860352</c:v>
                </c:pt>
                <c:pt idx="27">
                  <c:v>16.838527679443359</c:v>
                </c:pt>
                <c:pt idx="28">
                  <c:v>16.497961044311523</c:v>
                </c:pt>
                <c:pt idx="29">
                  <c:v>15.80781364440918</c:v>
                </c:pt>
                <c:pt idx="30">
                  <c:v>15.581731796264648</c:v>
                </c:pt>
                <c:pt idx="31">
                  <c:v>14.828273773193359</c:v>
                </c:pt>
                <c:pt idx="32">
                  <c:v>14.403770446777344</c:v>
                </c:pt>
                <c:pt idx="33">
                  <c:v>13.750349044799805</c:v>
                </c:pt>
                <c:pt idx="34">
                  <c:v>13.204094886779785</c:v>
                </c:pt>
                <c:pt idx="35">
                  <c:v>12.735628128051758</c:v>
                </c:pt>
                <c:pt idx="36">
                  <c:v>12.038044929504395</c:v>
                </c:pt>
                <c:pt idx="37">
                  <c:v>11.359757423400879</c:v>
                </c:pt>
                <c:pt idx="38">
                  <c:v>10.589667320251465</c:v>
                </c:pt>
                <c:pt idx="39">
                  <c:v>9.6827116012573242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9A7-4327-B0F5-E0506053756C}"/>
            </c:ext>
          </c:extLst>
        </c:ser>
        <c:ser>
          <c:idx val="15"/>
          <c:order val="15"/>
          <c:tx>
            <c:strRef>
              <c:f>Skymaps!$D$329</c:f>
              <c:strCache>
                <c:ptCount val="1"/>
                <c:pt idx="0">
                  <c:v>15000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Skymaps!$E$329:$BC$329</c:f>
              <c:numCache>
                <c:formatCode>General</c:formatCode>
                <c:ptCount val="51"/>
                <c:pt idx="19">
                  <c:v>8.3577957153320313</c:v>
                </c:pt>
                <c:pt idx="20">
                  <c:v>13.527214050292969</c:v>
                </c:pt>
                <c:pt idx="21">
                  <c:v>15.513394355773926</c:v>
                </c:pt>
                <c:pt idx="22">
                  <c:v>16.529611587524414</c:v>
                </c:pt>
                <c:pt idx="23">
                  <c:v>16.940542221069336</c:v>
                </c:pt>
                <c:pt idx="24">
                  <c:v>17.176338195800781</c:v>
                </c:pt>
                <c:pt idx="25">
                  <c:v>17.367715835571289</c:v>
                </c:pt>
                <c:pt idx="26">
                  <c:v>17.457637786865234</c:v>
                </c:pt>
                <c:pt idx="27">
                  <c:v>17.139842987060547</c:v>
                </c:pt>
                <c:pt idx="28">
                  <c:v>16.580032348632813</c:v>
                </c:pt>
                <c:pt idx="29">
                  <c:v>16.275146484375</c:v>
                </c:pt>
                <c:pt idx="30">
                  <c:v>15.789159774780273</c:v>
                </c:pt>
                <c:pt idx="31">
                  <c:v>15.283512115478516</c:v>
                </c:pt>
                <c:pt idx="32">
                  <c:v>14.67307186126709</c:v>
                </c:pt>
                <c:pt idx="33">
                  <c:v>14.169773101806641</c:v>
                </c:pt>
                <c:pt idx="34">
                  <c:v>13.474246025085449</c:v>
                </c:pt>
                <c:pt idx="35">
                  <c:v>13.046211242675781</c:v>
                </c:pt>
                <c:pt idx="36">
                  <c:v>12.424037933349609</c:v>
                </c:pt>
                <c:pt idx="37">
                  <c:v>11.730835914611816</c:v>
                </c:pt>
                <c:pt idx="38">
                  <c:v>10.911738395690918</c:v>
                </c:pt>
                <c:pt idx="39">
                  <c:v>10.015140533447266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9A7-4327-B0F5-E0506053756C}"/>
            </c:ext>
          </c:extLst>
        </c:ser>
        <c:ser>
          <c:idx val="16"/>
          <c:order val="16"/>
          <c:tx>
            <c:strRef>
              <c:f>Skymaps!$D$330</c:f>
              <c:strCache>
                <c:ptCount val="1"/>
                <c:pt idx="0">
                  <c:v>16000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Skymaps!$E$330:$BC$330</c:f>
              <c:numCache>
                <c:formatCode>General</c:formatCode>
                <c:ptCount val="51"/>
                <c:pt idx="19">
                  <c:v>6.7477898597717285</c:v>
                </c:pt>
                <c:pt idx="20">
                  <c:v>11.503952026367188</c:v>
                </c:pt>
                <c:pt idx="21">
                  <c:v>15.261932373046875</c:v>
                </c:pt>
                <c:pt idx="22">
                  <c:v>15.922891616821289</c:v>
                </c:pt>
                <c:pt idx="23">
                  <c:v>16.743932723999023</c:v>
                </c:pt>
                <c:pt idx="24">
                  <c:v>17.229047775268555</c:v>
                </c:pt>
                <c:pt idx="25">
                  <c:v>17.441562652587891</c:v>
                </c:pt>
                <c:pt idx="26">
                  <c:v>17.402681350708008</c:v>
                </c:pt>
                <c:pt idx="27">
                  <c:v>17.092952728271484</c:v>
                </c:pt>
                <c:pt idx="28">
                  <c:v>16.9078369140625</c:v>
                </c:pt>
                <c:pt idx="29">
                  <c:v>16.545154571533203</c:v>
                </c:pt>
                <c:pt idx="30">
                  <c:v>15.954041481018066</c:v>
                </c:pt>
                <c:pt idx="31">
                  <c:v>15.609874725341797</c:v>
                </c:pt>
                <c:pt idx="32">
                  <c:v>14.949540138244629</c:v>
                </c:pt>
                <c:pt idx="33">
                  <c:v>14.492325782775879</c:v>
                </c:pt>
                <c:pt idx="34">
                  <c:v>13.929243087768555</c:v>
                </c:pt>
                <c:pt idx="35">
                  <c:v>13.291055679321289</c:v>
                </c:pt>
                <c:pt idx="36">
                  <c:v>12.758143424987793</c:v>
                </c:pt>
                <c:pt idx="37">
                  <c:v>12.12852954864502</c:v>
                </c:pt>
                <c:pt idx="38">
                  <c:v>11.257777214050293</c:v>
                </c:pt>
                <c:pt idx="39">
                  <c:v>10.343084335327148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9A7-4327-B0F5-E0506053756C}"/>
            </c:ext>
          </c:extLst>
        </c:ser>
        <c:ser>
          <c:idx val="17"/>
          <c:order val="17"/>
          <c:tx>
            <c:strRef>
              <c:f>Skymaps!$D$331</c:f>
              <c:strCache>
                <c:ptCount val="1"/>
                <c:pt idx="0">
                  <c:v>17000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Skymaps!$E$331:$BC$331</c:f>
              <c:numCache>
                <c:formatCode>General</c:formatCode>
                <c:ptCount val="51"/>
                <c:pt idx="20">
                  <c:v>9.4364309310913086</c:v>
                </c:pt>
                <c:pt idx="21">
                  <c:v>14.226263999938965</c:v>
                </c:pt>
                <c:pt idx="22">
                  <c:v>15.800748825073242</c:v>
                </c:pt>
                <c:pt idx="23">
                  <c:v>16.54698371887207</c:v>
                </c:pt>
                <c:pt idx="24">
                  <c:v>16.91792106628418</c:v>
                </c:pt>
                <c:pt idx="25">
                  <c:v>17.186920166015625</c:v>
                </c:pt>
                <c:pt idx="26">
                  <c:v>17.372737884521484</c:v>
                </c:pt>
                <c:pt idx="27">
                  <c:v>17.464122772216797</c:v>
                </c:pt>
                <c:pt idx="28">
                  <c:v>17.141517639160156</c:v>
                </c:pt>
                <c:pt idx="29">
                  <c:v>16.516754150390625</c:v>
                </c:pt>
                <c:pt idx="30">
                  <c:v>16.382654190063477</c:v>
                </c:pt>
                <c:pt idx="31">
                  <c:v>15.744606018066406</c:v>
                </c:pt>
                <c:pt idx="32">
                  <c:v>15.377963066101074</c:v>
                </c:pt>
                <c:pt idx="33">
                  <c:v>14.707662582397461</c:v>
                </c:pt>
                <c:pt idx="34">
                  <c:v>14.301102638244629</c:v>
                </c:pt>
                <c:pt idx="35">
                  <c:v>13.697834968566895</c:v>
                </c:pt>
                <c:pt idx="36">
                  <c:v>13.032500267028809</c:v>
                </c:pt>
                <c:pt idx="37">
                  <c:v>12.48233699798584</c:v>
                </c:pt>
                <c:pt idx="38">
                  <c:v>11.659316062927246</c:v>
                </c:pt>
                <c:pt idx="39">
                  <c:v>10.665213584899902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9A7-4327-B0F5-E0506053756C}"/>
            </c:ext>
          </c:extLst>
        </c:ser>
        <c:ser>
          <c:idx val="18"/>
          <c:order val="18"/>
          <c:tx>
            <c:strRef>
              <c:f>Skymaps!$D$332</c:f>
              <c:strCache>
                <c:ptCount val="1"/>
                <c:pt idx="0">
                  <c:v>18000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Skymaps!$E$332:$BC$332</c:f>
              <c:numCache>
                <c:formatCode>General</c:formatCode>
                <c:ptCount val="51"/>
                <c:pt idx="20">
                  <c:v>7.6200189590454102</c:v>
                </c:pt>
                <c:pt idx="21">
                  <c:v>12.329319000244141</c:v>
                </c:pt>
                <c:pt idx="22">
                  <c:v>15.329554557800293</c:v>
                </c:pt>
                <c:pt idx="23">
                  <c:v>16.060564041137695</c:v>
                </c:pt>
                <c:pt idx="24">
                  <c:v>16.80833625793457</c:v>
                </c:pt>
                <c:pt idx="25">
                  <c:v>17.246482849121094</c:v>
                </c:pt>
                <c:pt idx="26">
                  <c:v>17.398782730102539</c:v>
                </c:pt>
                <c:pt idx="27">
                  <c:v>17.326934814453125</c:v>
                </c:pt>
                <c:pt idx="28">
                  <c:v>17.161603927612305</c:v>
                </c:pt>
                <c:pt idx="29">
                  <c:v>16.994308471679688</c:v>
                </c:pt>
                <c:pt idx="30">
                  <c:v>16.544866561889648</c:v>
                </c:pt>
                <c:pt idx="31">
                  <c:v>16.083122253417969</c:v>
                </c:pt>
                <c:pt idx="32">
                  <c:v>15.626306533813477</c:v>
                </c:pt>
                <c:pt idx="33">
                  <c:v>15.116109848022461</c:v>
                </c:pt>
                <c:pt idx="34">
                  <c:v>14.571687698364258</c:v>
                </c:pt>
                <c:pt idx="35">
                  <c:v>14.103564262390137</c:v>
                </c:pt>
                <c:pt idx="36">
                  <c:v>13.325995445251465</c:v>
                </c:pt>
                <c:pt idx="37">
                  <c:v>12.780838012695313</c:v>
                </c:pt>
                <c:pt idx="38">
                  <c:v>12.017468452453613</c:v>
                </c:pt>
                <c:pt idx="39">
                  <c:v>11.05124568939209</c:v>
                </c:pt>
                <c:pt idx="40">
                  <c:v>9.7465286254882813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9A7-4327-B0F5-E0506053756C}"/>
            </c:ext>
          </c:extLst>
        </c:ser>
        <c:ser>
          <c:idx val="19"/>
          <c:order val="19"/>
          <c:tx>
            <c:strRef>
              <c:f>Skymaps!$D$333</c:f>
              <c:strCache>
                <c:ptCount val="1"/>
                <c:pt idx="0">
                  <c:v>19000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Skymaps!$E$333:$BC$333</c:f>
              <c:numCache>
                <c:formatCode>General</c:formatCode>
                <c:ptCount val="51"/>
                <c:pt idx="21">
                  <c:v>10.190893173217773</c:v>
                </c:pt>
                <c:pt idx="22">
                  <c:v>14.610321044921875</c:v>
                </c:pt>
                <c:pt idx="23">
                  <c:v>15.913884162902832</c:v>
                </c:pt>
                <c:pt idx="24">
                  <c:v>16.551357269287109</c:v>
                </c:pt>
                <c:pt idx="25">
                  <c:v>16.942251205444336</c:v>
                </c:pt>
                <c:pt idx="26">
                  <c:v>17.220817565917969</c:v>
                </c:pt>
                <c:pt idx="27">
                  <c:v>17.408851623535156</c:v>
                </c:pt>
                <c:pt idx="28">
                  <c:v>17.468055725097656</c:v>
                </c:pt>
                <c:pt idx="29">
                  <c:v>17.129091262817383</c:v>
                </c:pt>
                <c:pt idx="30">
                  <c:v>16.715463638305664</c:v>
                </c:pt>
                <c:pt idx="31">
                  <c:v>16.413244247436523</c:v>
                </c:pt>
                <c:pt idx="32">
                  <c:v>15.733404159545898</c:v>
                </c:pt>
                <c:pt idx="33">
                  <c:v>15.461896896362305</c:v>
                </c:pt>
                <c:pt idx="34">
                  <c:v>14.842162132263184</c:v>
                </c:pt>
                <c:pt idx="35">
                  <c:v>14.404495239257813</c:v>
                </c:pt>
                <c:pt idx="36">
                  <c:v>13.765773773193359</c:v>
                </c:pt>
                <c:pt idx="37">
                  <c:v>12.977380752563477</c:v>
                </c:pt>
                <c:pt idx="38">
                  <c:v>12.320186614990234</c:v>
                </c:pt>
                <c:pt idx="39">
                  <c:v>11.400718688964844</c:v>
                </c:pt>
                <c:pt idx="40">
                  <c:v>10.111527442932129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9A7-4327-B0F5-E0506053756C}"/>
            </c:ext>
          </c:extLst>
        </c:ser>
        <c:ser>
          <c:idx val="20"/>
          <c:order val="20"/>
          <c:tx>
            <c:strRef>
              <c:f>Skymaps!$D$334</c:f>
              <c:strCache>
                <c:ptCount val="1"/>
                <c:pt idx="0">
                  <c:v>20000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Skymaps!$E$334:$BC$334</c:f>
              <c:numCache>
                <c:formatCode>General</c:formatCode>
                <c:ptCount val="51"/>
                <c:pt idx="21">
                  <c:v>8.2288551330566406</c:v>
                </c:pt>
                <c:pt idx="22">
                  <c:v>12.841763496398926</c:v>
                </c:pt>
                <c:pt idx="23">
                  <c:v>15.328182220458984</c:v>
                </c:pt>
                <c:pt idx="24">
                  <c:v>16.124082565307617</c:v>
                </c:pt>
                <c:pt idx="25">
                  <c:v>16.806425094604492</c:v>
                </c:pt>
                <c:pt idx="26">
                  <c:v>17.195459365844727</c:v>
                </c:pt>
                <c:pt idx="27">
                  <c:v>17.314945220947266</c:v>
                </c:pt>
                <c:pt idx="28">
                  <c:v>17.193857192993164</c:v>
                </c:pt>
                <c:pt idx="29">
                  <c:v>17.308664321899414</c:v>
                </c:pt>
                <c:pt idx="30">
                  <c:v>17.080854415893555</c:v>
                </c:pt>
                <c:pt idx="31">
                  <c:v>16.462377548217773</c:v>
                </c:pt>
                <c:pt idx="32">
                  <c:v>16.210233688354492</c:v>
                </c:pt>
                <c:pt idx="33">
                  <c:v>15.619000434875488</c:v>
                </c:pt>
                <c:pt idx="34">
                  <c:v>15.280030250549316</c:v>
                </c:pt>
                <c:pt idx="35">
                  <c:v>14.582938194274902</c:v>
                </c:pt>
                <c:pt idx="36">
                  <c:v>14.111584663391113</c:v>
                </c:pt>
                <c:pt idx="37">
                  <c:v>13.44803524017334</c:v>
                </c:pt>
                <c:pt idx="38">
                  <c:v>12.554091453552246</c:v>
                </c:pt>
                <c:pt idx="39">
                  <c:v>11.691231727600098</c:v>
                </c:pt>
                <c:pt idx="40">
                  <c:v>10.442368507385254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9A7-4327-B0F5-E0506053756C}"/>
            </c:ext>
          </c:extLst>
        </c:ser>
        <c:ser>
          <c:idx val="21"/>
          <c:order val="21"/>
          <c:tx>
            <c:strRef>
              <c:f>Skymaps!$D$335</c:f>
              <c:strCache>
                <c:ptCount val="1"/>
                <c:pt idx="0">
                  <c:v>21000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Skymaps!$E$335:$BC$335</c:f>
              <c:numCache>
                <c:formatCode>General</c:formatCode>
                <c:ptCount val="51"/>
                <c:pt idx="22">
                  <c:v>10.673043251037598</c:v>
                </c:pt>
                <c:pt idx="23">
                  <c:v>14.777958869934082</c:v>
                </c:pt>
                <c:pt idx="24">
                  <c:v>15.937806129455566</c:v>
                </c:pt>
                <c:pt idx="25">
                  <c:v>16.568452835083008</c:v>
                </c:pt>
                <c:pt idx="26">
                  <c:v>16.965229034423828</c:v>
                </c:pt>
                <c:pt idx="27">
                  <c:v>17.278484344482422</c:v>
                </c:pt>
                <c:pt idx="28">
                  <c:v>17.43989372253418</c:v>
                </c:pt>
                <c:pt idx="29">
                  <c:v>17.431501388549805</c:v>
                </c:pt>
                <c:pt idx="30">
                  <c:v>17.079185485839844</c:v>
                </c:pt>
                <c:pt idx="31">
                  <c:v>16.863201141357422</c:v>
                </c:pt>
                <c:pt idx="32">
                  <c:v>16.41077995300293</c:v>
                </c:pt>
                <c:pt idx="33">
                  <c:v>15.957021713256836</c:v>
                </c:pt>
                <c:pt idx="34">
                  <c:v>15.519418716430664</c:v>
                </c:pt>
                <c:pt idx="35">
                  <c:v>15.076602935791016</c:v>
                </c:pt>
                <c:pt idx="36">
                  <c:v>14.335760116577148</c:v>
                </c:pt>
                <c:pt idx="37">
                  <c:v>13.821966171264648</c:v>
                </c:pt>
                <c:pt idx="38">
                  <c:v>12.914661407470703</c:v>
                </c:pt>
                <c:pt idx="39">
                  <c:v>11.909445762634277</c:v>
                </c:pt>
                <c:pt idx="40">
                  <c:v>10.709743499755859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9A7-4327-B0F5-E0506053756C}"/>
            </c:ext>
          </c:extLst>
        </c:ser>
        <c:ser>
          <c:idx val="22"/>
          <c:order val="22"/>
          <c:tx>
            <c:strRef>
              <c:f>Skymaps!$D$336</c:f>
              <c:strCache>
                <c:ptCount val="1"/>
                <c:pt idx="0">
                  <c:v>22000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Skymaps!$E$336:$BC$336</c:f>
              <c:numCache>
                <c:formatCode>General</c:formatCode>
                <c:ptCount val="51"/>
                <c:pt idx="22">
                  <c:v>8.6147193908691406</c:v>
                </c:pt>
                <c:pt idx="23">
                  <c:v>13.070698738098145</c:v>
                </c:pt>
                <c:pt idx="24">
                  <c:v>15.329314231872559</c:v>
                </c:pt>
                <c:pt idx="25">
                  <c:v>16.041921615600586</c:v>
                </c:pt>
                <c:pt idx="26">
                  <c:v>16.689044952392578</c:v>
                </c:pt>
                <c:pt idx="27">
                  <c:v>17.071550369262695</c:v>
                </c:pt>
                <c:pt idx="28">
                  <c:v>17.146404266357422</c:v>
                </c:pt>
                <c:pt idx="29">
                  <c:v>17.215986251831055</c:v>
                </c:pt>
                <c:pt idx="30">
                  <c:v>17.421257019042969</c:v>
                </c:pt>
                <c:pt idx="31">
                  <c:v>17.074275970458984</c:v>
                </c:pt>
                <c:pt idx="32">
                  <c:v>16.570598602294922</c:v>
                </c:pt>
                <c:pt idx="33">
                  <c:v>16.292028427124023</c:v>
                </c:pt>
                <c:pt idx="34">
                  <c:v>15.68148136138916</c:v>
                </c:pt>
                <c:pt idx="35">
                  <c:v>15.394112586975098</c:v>
                </c:pt>
                <c:pt idx="36">
                  <c:v>14.701868057250977</c:v>
                </c:pt>
                <c:pt idx="37">
                  <c:v>14.086844444274902</c:v>
                </c:pt>
                <c:pt idx="38">
                  <c:v>13.302836418151855</c:v>
                </c:pt>
                <c:pt idx="39">
                  <c:v>12.222561836242676</c:v>
                </c:pt>
                <c:pt idx="40">
                  <c:v>10.903290748596191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9A7-4327-B0F5-E0506053756C}"/>
            </c:ext>
          </c:extLst>
        </c:ser>
        <c:ser>
          <c:idx val="23"/>
          <c:order val="23"/>
          <c:tx>
            <c:strRef>
              <c:f>Skymaps!$D$337</c:f>
              <c:strCache>
                <c:ptCount val="1"/>
                <c:pt idx="0">
                  <c:v>23000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Skymaps!$E$337:$BC$337</c:f>
              <c:numCache>
                <c:formatCode>General</c:formatCode>
                <c:ptCount val="51"/>
                <c:pt idx="23">
                  <c:v>10.878311157226563</c:v>
                </c:pt>
                <c:pt idx="24">
                  <c:v>14.787111282348633</c:v>
                </c:pt>
                <c:pt idx="25">
                  <c:v>15.904866218566895</c:v>
                </c:pt>
                <c:pt idx="26">
                  <c:v>16.555500030517578</c:v>
                </c:pt>
                <c:pt idx="27">
                  <c:v>16.979938507080078</c:v>
                </c:pt>
                <c:pt idx="28">
                  <c:v>17.304838180541992</c:v>
                </c:pt>
                <c:pt idx="29">
                  <c:v>17.406099319458008</c:v>
                </c:pt>
                <c:pt idx="30">
                  <c:v>17.305591583251953</c:v>
                </c:pt>
                <c:pt idx="31">
                  <c:v>17.165666580200195</c:v>
                </c:pt>
                <c:pt idx="32">
                  <c:v>16.966461181640625</c:v>
                </c:pt>
                <c:pt idx="33">
                  <c:v>16.334051132202148</c:v>
                </c:pt>
                <c:pt idx="34">
                  <c:v>16.130178451538086</c:v>
                </c:pt>
                <c:pt idx="35">
                  <c:v>15.505142211914063</c:v>
                </c:pt>
                <c:pt idx="36">
                  <c:v>15.083873748779297</c:v>
                </c:pt>
                <c:pt idx="37">
                  <c:v>14.343218803405762</c:v>
                </c:pt>
                <c:pt idx="38">
                  <c:v>13.582982063293457</c:v>
                </c:pt>
                <c:pt idx="39">
                  <c:v>12.610445022583008</c:v>
                </c:pt>
                <c:pt idx="40">
                  <c:v>11.126351356506348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9A7-4327-B0F5-E0506053756C}"/>
            </c:ext>
          </c:extLst>
        </c:ser>
        <c:ser>
          <c:idx val="24"/>
          <c:order val="24"/>
          <c:tx>
            <c:strRef>
              <c:f>Skymaps!$D$338</c:f>
              <c:strCache>
                <c:ptCount val="1"/>
                <c:pt idx="0">
                  <c:v>24000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Skymaps!$E$338:$BC$338</c:f>
              <c:numCache>
                <c:formatCode>General</c:formatCode>
                <c:ptCount val="51"/>
                <c:pt idx="23">
                  <c:v>8.7632102966308594</c:v>
                </c:pt>
                <c:pt idx="24">
                  <c:v>13.048688888549805</c:v>
                </c:pt>
                <c:pt idx="25">
                  <c:v>15.35157585144043</c:v>
                </c:pt>
                <c:pt idx="26">
                  <c:v>15.932123184204102</c:v>
                </c:pt>
                <c:pt idx="27">
                  <c:v>16.458236694335938</c:v>
                </c:pt>
                <c:pt idx="28">
                  <c:v>16.832712173461914</c:v>
                </c:pt>
                <c:pt idx="29">
                  <c:v>17.129119873046875</c:v>
                </c:pt>
                <c:pt idx="30">
                  <c:v>17.391532897949219</c:v>
                </c:pt>
                <c:pt idx="31">
                  <c:v>17.383602142333984</c:v>
                </c:pt>
                <c:pt idx="32">
                  <c:v>16.984901428222656</c:v>
                </c:pt>
                <c:pt idx="33">
                  <c:v>16.790216445922852</c:v>
                </c:pt>
                <c:pt idx="34">
                  <c:v>16.295160293579102</c:v>
                </c:pt>
                <c:pt idx="35">
                  <c:v>15.950370788574219</c:v>
                </c:pt>
                <c:pt idx="36">
                  <c:v>15.26939868927002</c:v>
                </c:pt>
                <c:pt idx="37">
                  <c:v>14.776174545288086</c:v>
                </c:pt>
                <c:pt idx="38">
                  <c:v>13.757646560668945</c:v>
                </c:pt>
                <c:pt idx="39">
                  <c:v>12.886941909790039</c:v>
                </c:pt>
                <c:pt idx="40">
                  <c:v>11.486433029174805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9A7-4327-B0F5-E0506053756C}"/>
            </c:ext>
          </c:extLst>
        </c:ser>
        <c:ser>
          <c:idx val="25"/>
          <c:order val="25"/>
          <c:tx>
            <c:strRef>
              <c:f>Skymaps!$D$339</c:f>
              <c:strCache>
                <c:ptCount val="1"/>
                <c:pt idx="0">
                  <c:v>25000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Skymaps!$E$339:$BC$339</c:f>
              <c:numCache>
                <c:formatCode>General</c:formatCode>
                <c:ptCount val="51"/>
                <c:pt idx="24">
                  <c:v>10.81956958770752</c:v>
                </c:pt>
                <c:pt idx="25">
                  <c:v>14.631232261657715</c:v>
                </c:pt>
                <c:pt idx="26">
                  <c:v>15.754278182983398</c:v>
                </c:pt>
                <c:pt idx="27">
                  <c:v>16.483299255371094</c:v>
                </c:pt>
                <c:pt idx="28">
                  <c:v>16.924793243408203</c:v>
                </c:pt>
                <c:pt idx="29">
                  <c:v>17.240764617919922</c:v>
                </c:pt>
                <c:pt idx="30">
                  <c:v>17.291217803955078</c:v>
                </c:pt>
                <c:pt idx="31">
                  <c:v>17.11920166015625</c:v>
                </c:pt>
                <c:pt idx="32">
                  <c:v>17.299816131591797</c:v>
                </c:pt>
                <c:pt idx="33">
                  <c:v>16.978214263916016</c:v>
                </c:pt>
                <c:pt idx="34">
                  <c:v>16.574590682983398</c:v>
                </c:pt>
                <c:pt idx="35">
                  <c:v>16.242835998535156</c:v>
                </c:pt>
                <c:pt idx="36">
                  <c:v>15.612442970275879</c:v>
                </c:pt>
                <c:pt idx="37">
                  <c:v>15.027396202087402</c:v>
                </c:pt>
                <c:pt idx="38">
                  <c:v>14.233782768249512</c:v>
                </c:pt>
                <c:pt idx="39">
                  <c:v>13.032795906066895</c:v>
                </c:pt>
                <c:pt idx="40">
                  <c:v>11.722444534301758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9A7-4327-B0F5-E0506053756C}"/>
            </c:ext>
          </c:extLst>
        </c:ser>
        <c:ser>
          <c:idx val="26"/>
          <c:order val="26"/>
          <c:tx>
            <c:strRef>
              <c:f>Skymaps!$D$340</c:f>
              <c:strCache>
                <c:ptCount val="1"/>
                <c:pt idx="0">
                  <c:v>26000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Skymaps!$E$340:$BC$340</c:f>
              <c:numCache>
                <c:formatCode>General</c:formatCode>
                <c:ptCount val="51"/>
                <c:pt idx="24">
                  <c:v>8.67822265625</c:v>
                </c:pt>
                <c:pt idx="25">
                  <c:v>12.734768867492676</c:v>
                </c:pt>
                <c:pt idx="26">
                  <c:v>15.319644927978516</c:v>
                </c:pt>
                <c:pt idx="27">
                  <c:v>16.033548355102539</c:v>
                </c:pt>
                <c:pt idx="28">
                  <c:v>16.493747711181641</c:v>
                </c:pt>
                <c:pt idx="29">
                  <c:v>16.910181045532227</c:v>
                </c:pt>
                <c:pt idx="30">
                  <c:v>17.297760009765625</c:v>
                </c:pt>
                <c:pt idx="31">
                  <c:v>17.397998809814453</c:v>
                </c:pt>
                <c:pt idx="32">
                  <c:v>17.178094863891602</c:v>
                </c:pt>
                <c:pt idx="33">
                  <c:v>17.101913452148438</c:v>
                </c:pt>
                <c:pt idx="34">
                  <c:v>16.904544830322266</c:v>
                </c:pt>
                <c:pt idx="35">
                  <c:v>16.340112686157227</c:v>
                </c:pt>
                <c:pt idx="36">
                  <c:v>15.986793518066406</c:v>
                </c:pt>
                <c:pt idx="37">
                  <c:v>15.283998489379883</c:v>
                </c:pt>
                <c:pt idx="38">
                  <c:v>14.546379089355469</c:v>
                </c:pt>
                <c:pt idx="39">
                  <c:v>13.469915390014648</c:v>
                </c:pt>
                <c:pt idx="40">
                  <c:v>11.813597679138184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9A7-4327-B0F5-E0506053756C}"/>
            </c:ext>
          </c:extLst>
        </c:ser>
        <c:ser>
          <c:idx val="27"/>
          <c:order val="27"/>
          <c:tx>
            <c:strRef>
              <c:f>Skymaps!$D$341</c:f>
              <c:strCache>
                <c:ptCount val="1"/>
                <c:pt idx="0">
                  <c:v>27000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Skymaps!$E$341:$BC$341</c:f>
              <c:numCache>
                <c:formatCode>General</c:formatCode>
                <c:ptCount val="51"/>
                <c:pt idx="25">
                  <c:v>10.431550025939941</c:v>
                </c:pt>
                <c:pt idx="26">
                  <c:v>14.290212631225586</c:v>
                </c:pt>
                <c:pt idx="27">
                  <c:v>15.431493759155273</c:v>
                </c:pt>
                <c:pt idx="28">
                  <c:v>16.254451751708984</c:v>
                </c:pt>
                <c:pt idx="29">
                  <c:v>16.68952751159668</c:v>
                </c:pt>
                <c:pt idx="30">
                  <c:v>16.941709518432617</c:v>
                </c:pt>
                <c:pt idx="31">
                  <c:v>17.06544303894043</c:v>
                </c:pt>
                <c:pt idx="32">
                  <c:v>17.328527450561523</c:v>
                </c:pt>
                <c:pt idx="33">
                  <c:v>17.242853164672852</c:v>
                </c:pt>
                <c:pt idx="34">
                  <c:v>16.840164184570313</c:v>
                </c:pt>
                <c:pt idx="35">
                  <c:v>16.783964157104492</c:v>
                </c:pt>
                <c:pt idx="36">
                  <c:v>16.077924728393555</c:v>
                </c:pt>
                <c:pt idx="37">
                  <c:v>15.725567817687988</c:v>
                </c:pt>
                <c:pt idx="38">
                  <c:v>14.657209396362305</c:v>
                </c:pt>
                <c:pt idx="39">
                  <c:v>13.770540237426758</c:v>
                </c:pt>
                <c:pt idx="40">
                  <c:v>12.135340690612793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9A7-4327-B0F5-E0506053756C}"/>
            </c:ext>
          </c:extLst>
        </c:ser>
        <c:ser>
          <c:idx val="28"/>
          <c:order val="28"/>
          <c:tx>
            <c:strRef>
              <c:f>Skymaps!$D$342</c:f>
              <c:strCache>
                <c:ptCount val="1"/>
                <c:pt idx="0">
                  <c:v>28000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Skymaps!$E$342:$BC$342</c:f>
              <c:numCache>
                <c:formatCode>General</c:formatCode>
                <c:ptCount val="51"/>
                <c:pt idx="25">
                  <c:v>8.2936487197875977</c:v>
                </c:pt>
                <c:pt idx="26">
                  <c:v>12.210556983947754</c:v>
                </c:pt>
                <c:pt idx="27">
                  <c:v>15.15920352935791</c:v>
                </c:pt>
                <c:pt idx="28">
                  <c:v>15.993086814880371</c:v>
                </c:pt>
                <c:pt idx="29">
                  <c:v>16.549842834472656</c:v>
                </c:pt>
                <c:pt idx="30">
                  <c:v>16.952550888061523</c:v>
                </c:pt>
                <c:pt idx="31">
                  <c:v>17.190114974975586</c:v>
                </c:pt>
                <c:pt idx="32">
                  <c:v>17.181417465209961</c:v>
                </c:pt>
                <c:pt idx="33">
                  <c:v>17.141176223754883</c:v>
                </c:pt>
                <c:pt idx="34">
                  <c:v>17.208084106445313</c:v>
                </c:pt>
                <c:pt idx="35">
                  <c:v>16.815849304199219</c:v>
                </c:pt>
                <c:pt idx="36">
                  <c:v>16.484622955322266</c:v>
                </c:pt>
                <c:pt idx="37">
                  <c:v>15.893885612487793</c:v>
                </c:pt>
                <c:pt idx="38">
                  <c:v>15.136242866516113</c:v>
                </c:pt>
                <c:pt idx="39">
                  <c:v>13.869333267211914</c:v>
                </c:pt>
                <c:pt idx="40">
                  <c:v>12.361578941345215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9A7-4327-B0F5-E0506053756C}"/>
            </c:ext>
          </c:extLst>
        </c:ser>
        <c:ser>
          <c:idx val="29"/>
          <c:order val="29"/>
          <c:tx>
            <c:strRef>
              <c:f>Skymaps!$D$343</c:f>
              <c:strCache>
                <c:ptCount val="1"/>
                <c:pt idx="0">
                  <c:v>29000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Skymaps!$E$343:$BC$343</c:f>
              <c:numCache>
                <c:formatCode>General</c:formatCode>
                <c:ptCount val="51"/>
                <c:pt idx="26">
                  <c:v>9.8777627944946289</c:v>
                </c:pt>
                <c:pt idx="27">
                  <c:v>13.711182594299316</c:v>
                </c:pt>
                <c:pt idx="28">
                  <c:v>15.299727439880371</c:v>
                </c:pt>
                <c:pt idx="29">
                  <c:v>15.952177047729492</c:v>
                </c:pt>
                <c:pt idx="30">
                  <c:v>16.445571899414063</c:v>
                </c:pt>
                <c:pt idx="31">
                  <c:v>16.864179611206055</c:v>
                </c:pt>
                <c:pt idx="32">
                  <c:v>17.217372894287109</c:v>
                </c:pt>
                <c:pt idx="33">
                  <c:v>17.293888092041016</c:v>
                </c:pt>
                <c:pt idx="34">
                  <c:v>16.92213249206543</c:v>
                </c:pt>
                <c:pt idx="35">
                  <c:v>17.130441665649414</c:v>
                </c:pt>
                <c:pt idx="36">
                  <c:v>16.637067794799805</c:v>
                </c:pt>
                <c:pt idx="37">
                  <c:v>16.183319091796875</c:v>
                </c:pt>
                <c:pt idx="38">
                  <c:v>15.34751033782959</c:v>
                </c:pt>
                <c:pt idx="39">
                  <c:v>14.294867515563965</c:v>
                </c:pt>
                <c:pt idx="40">
                  <c:v>12.340826034545898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9A7-4327-B0F5-E0506053756C}"/>
            </c:ext>
          </c:extLst>
        </c:ser>
        <c:ser>
          <c:idx val="30"/>
          <c:order val="30"/>
          <c:tx>
            <c:strRef>
              <c:f>Skymaps!$D$344</c:f>
              <c:strCache>
                <c:ptCount val="1"/>
                <c:pt idx="0">
                  <c:v>30000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Skymaps!$E$344:$BC$344</c:f>
              <c:numCache>
                <c:formatCode>General</c:formatCode>
                <c:ptCount val="51"/>
                <c:pt idx="27">
                  <c:v>11.443830490112305</c:v>
                </c:pt>
                <c:pt idx="28">
                  <c:v>14.748004913330078</c:v>
                </c:pt>
                <c:pt idx="29">
                  <c:v>15.662964820861816</c:v>
                </c:pt>
                <c:pt idx="30">
                  <c:v>16.324308395385742</c:v>
                </c:pt>
                <c:pt idx="31">
                  <c:v>16.655527114868164</c:v>
                </c:pt>
                <c:pt idx="32">
                  <c:v>16.757884979248047</c:v>
                </c:pt>
                <c:pt idx="33">
                  <c:v>17.095779418945313</c:v>
                </c:pt>
                <c:pt idx="34">
                  <c:v>17.306617736816406</c:v>
                </c:pt>
                <c:pt idx="35">
                  <c:v>17.098917007446289</c:v>
                </c:pt>
                <c:pt idx="36">
                  <c:v>16.812583923339844</c:v>
                </c:pt>
                <c:pt idx="37">
                  <c:v>16.433195114135742</c:v>
                </c:pt>
                <c:pt idx="38">
                  <c:v>15.536532402038574</c:v>
                </c:pt>
                <c:pt idx="39">
                  <c:v>14.50355339050293</c:v>
                </c:pt>
                <c:pt idx="40">
                  <c:v>12.619526863098145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9A7-4327-B0F5-E0506053756C}"/>
            </c:ext>
          </c:extLst>
        </c:ser>
        <c:ser>
          <c:idx val="31"/>
          <c:order val="31"/>
          <c:tx>
            <c:strRef>
              <c:f>Skymaps!$D$345</c:f>
              <c:strCache>
                <c:ptCount val="1"/>
                <c:pt idx="0">
                  <c:v>31000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Skymaps!$E$345:$BC$345</c:f>
              <c:numCache>
                <c:formatCode>General</c:formatCode>
                <c:ptCount val="51"/>
                <c:pt idx="27">
                  <c:v>9.1278238296508789</c:v>
                </c:pt>
                <c:pt idx="28">
                  <c:v>12.848224639892578</c:v>
                </c:pt>
                <c:pt idx="29">
                  <c:v>15.249361038208008</c:v>
                </c:pt>
                <c:pt idx="30">
                  <c:v>16.009914398193359</c:v>
                </c:pt>
                <c:pt idx="31">
                  <c:v>16.503635406494141</c:v>
                </c:pt>
                <c:pt idx="32">
                  <c:v>16.841331481933594</c:v>
                </c:pt>
                <c:pt idx="33">
                  <c:v>16.996448516845703</c:v>
                </c:pt>
                <c:pt idx="34">
                  <c:v>16.916114807128906</c:v>
                </c:pt>
                <c:pt idx="35">
                  <c:v>17.237096786499023</c:v>
                </c:pt>
                <c:pt idx="36">
                  <c:v>16.939729690551758</c:v>
                </c:pt>
                <c:pt idx="37">
                  <c:v>16.489095687866211</c:v>
                </c:pt>
                <c:pt idx="38">
                  <c:v>15.845580101013184</c:v>
                </c:pt>
                <c:pt idx="39">
                  <c:v>14.621079444885254</c:v>
                </c:pt>
                <c:pt idx="40">
                  <c:v>12.737480163574219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E9A7-4327-B0F5-E0506053756C}"/>
            </c:ext>
          </c:extLst>
        </c:ser>
        <c:ser>
          <c:idx val="32"/>
          <c:order val="32"/>
          <c:tx>
            <c:strRef>
              <c:f>Skymaps!$D$346</c:f>
              <c:strCache>
                <c:ptCount val="1"/>
                <c:pt idx="0">
                  <c:v>32000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Skymaps!$E$346:$BC$346</c:f>
              <c:numCache>
                <c:formatCode>General</c:formatCode>
                <c:ptCount val="51"/>
                <c:pt idx="28">
                  <c:v>10.45567512512207</c:v>
                </c:pt>
                <c:pt idx="29">
                  <c:v>13.968147277832031</c:v>
                </c:pt>
                <c:pt idx="30">
                  <c:v>15.28266429901123</c:v>
                </c:pt>
                <c:pt idx="31">
                  <c:v>15.953621864318848</c:v>
                </c:pt>
                <c:pt idx="32">
                  <c:v>16.436798095703125</c:v>
                </c:pt>
                <c:pt idx="33">
                  <c:v>16.849943161010742</c:v>
                </c:pt>
                <c:pt idx="34">
                  <c:v>17.098163604736328</c:v>
                </c:pt>
                <c:pt idx="35">
                  <c:v>17.033615112304688</c:v>
                </c:pt>
                <c:pt idx="36">
                  <c:v>16.868986129760742</c:v>
                </c:pt>
                <c:pt idx="37">
                  <c:v>16.744430541992188</c:v>
                </c:pt>
                <c:pt idx="38">
                  <c:v>15.689216613769531</c:v>
                </c:pt>
                <c:pt idx="39">
                  <c:v>14.851468086242676</c:v>
                </c:pt>
                <c:pt idx="40">
                  <c:v>12.66289234161377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9A7-4327-B0F5-E0506053756C}"/>
            </c:ext>
          </c:extLst>
        </c:ser>
        <c:ser>
          <c:idx val="33"/>
          <c:order val="33"/>
          <c:tx>
            <c:strRef>
              <c:f>Skymaps!$D$347</c:f>
              <c:strCache>
                <c:ptCount val="1"/>
                <c:pt idx="0">
                  <c:v>33000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Skymaps!$E$347:$BC$347</c:f>
              <c:numCache>
                <c:formatCode>General</c:formatCode>
                <c:ptCount val="51"/>
                <c:pt idx="29">
                  <c:v>11.698999404907227</c:v>
                </c:pt>
                <c:pt idx="30">
                  <c:v>14.761777877807617</c:v>
                </c:pt>
                <c:pt idx="31">
                  <c:v>15.491558074951172</c:v>
                </c:pt>
                <c:pt idx="32">
                  <c:v>16.068418502807617</c:v>
                </c:pt>
                <c:pt idx="33">
                  <c:v>16.322824478149414</c:v>
                </c:pt>
                <c:pt idx="34">
                  <c:v>16.742271423339844</c:v>
                </c:pt>
                <c:pt idx="35">
                  <c:v>17.110557556152344</c:v>
                </c:pt>
                <c:pt idx="36">
                  <c:v>16.867757797241211</c:v>
                </c:pt>
                <c:pt idx="37">
                  <c:v>16.495931625366211</c:v>
                </c:pt>
                <c:pt idx="38">
                  <c:v>15.989553451538086</c:v>
                </c:pt>
                <c:pt idx="39">
                  <c:v>14.543351173400879</c:v>
                </c:pt>
                <c:pt idx="40">
                  <c:v>12.823339462280273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E9A7-4327-B0F5-E0506053756C}"/>
            </c:ext>
          </c:extLst>
        </c:ser>
        <c:ser>
          <c:idx val="34"/>
          <c:order val="34"/>
          <c:tx>
            <c:strRef>
              <c:f>Skymaps!$D$348</c:f>
              <c:strCache>
                <c:ptCount val="1"/>
                <c:pt idx="0">
                  <c:v>34000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Skymaps!$E$348:$BC$348</c:f>
              <c:numCache>
                <c:formatCode>General</c:formatCode>
                <c:ptCount val="51"/>
                <c:pt idx="30">
                  <c:v>12.840150833129883</c:v>
                </c:pt>
                <c:pt idx="31">
                  <c:v>15.148833274841309</c:v>
                </c:pt>
                <c:pt idx="32">
                  <c:v>15.823397636413574</c:v>
                </c:pt>
                <c:pt idx="33">
                  <c:v>16.298030853271484</c:v>
                </c:pt>
                <c:pt idx="34">
                  <c:v>16.554012298583984</c:v>
                </c:pt>
                <c:pt idx="35">
                  <c:v>16.577934265136719</c:v>
                </c:pt>
                <c:pt idx="36">
                  <c:v>16.754428863525391</c:v>
                </c:pt>
                <c:pt idx="37">
                  <c:v>16.653043746948242</c:v>
                </c:pt>
                <c:pt idx="38">
                  <c:v>15.597682952880859</c:v>
                </c:pt>
                <c:pt idx="39">
                  <c:v>14.830018043518066</c:v>
                </c:pt>
                <c:pt idx="40">
                  <c:v>12.384040832519531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E9A7-4327-B0F5-E0506053756C}"/>
            </c:ext>
          </c:extLst>
        </c:ser>
        <c:ser>
          <c:idx val="35"/>
          <c:order val="35"/>
          <c:tx>
            <c:strRef>
              <c:f>Skymaps!$D$349</c:f>
              <c:strCache>
                <c:ptCount val="1"/>
                <c:pt idx="0">
                  <c:v>35000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Skymaps!$E$349:$BC$349</c:f>
              <c:numCache>
                <c:formatCode>General</c:formatCode>
                <c:ptCount val="51"/>
                <c:pt idx="31">
                  <c:v>13.683390617370605</c:v>
                </c:pt>
                <c:pt idx="32">
                  <c:v>15.257133483886719</c:v>
                </c:pt>
                <c:pt idx="33">
                  <c:v>15.930205345153809</c:v>
                </c:pt>
                <c:pt idx="34">
                  <c:v>16.384645462036133</c:v>
                </c:pt>
                <c:pt idx="35">
                  <c:v>16.665981292724609</c:v>
                </c:pt>
                <c:pt idx="36">
                  <c:v>16.42140007019043</c:v>
                </c:pt>
                <c:pt idx="37">
                  <c:v>16.385356903076172</c:v>
                </c:pt>
                <c:pt idx="38">
                  <c:v>15.821745872497559</c:v>
                </c:pt>
                <c:pt idx="39">
                  <c:v>14.36854076385498</c:v>
                </c:pt>
                <c:pt idx="40">
                  <c:v>12.565971374511719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E9A7-4327-B0F5-E0506053756C}"/>
            </c:ext>
          </c:extLst>
        </c:ser>
        <c:ser>
          <c:idx val="36"/>
          <c:order val="36"/>
          <c:tx>
            <c:strRef>
              <c:f>Skymaps!$D$350</c:f>
              <c:strCache>
                <c:ptCount val="1"/>
                <c:pt idx="0">
                  <c:v>36000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Skymaps!$E$350:$BC$350</c:f>
              <c:numCache>
                <c:formatCode>General</c:formatCode>
                <c:ptCount val="51"/>
                <c:pt idx="33">
                  <c:v>15.162397384643555</c:v>
                </c:pt>
                <c:pt idx="34">
                  <c:v>15.870950698852539</c:v>
                </c:pt>
                <c:pt idx="35">
                  <c:v>16.360172271728516</c:v>
                </c:pt>
                <c:pt idx="36">
                  <c:v>16.344995498657227</c:v>
                </c:pt>
                <c:pt idx="37">
                  <c:v>16.224588394165039</c:v>
                </c:pt>
                <c:pt idx="38">
                  <c:v>15.429512977600098</c:v>
                </c:pt>
                <c:pt idx="39">
                  <c:v>14.548405647277832</c:v>
                </c:pt>
                <c:pt idx="40">
                  <c:v>12.169978141784668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E9A7-4327-B0F5-E0506053756C}"/>
            </c:ext>
          </c:extLst>
        </c:ser>
        <c:ser>
          <c:idx val="37"/>
          <c:order val="37"/>
          <c:tx>
            <c:strRef>
              <c:f>Skymaps!$D$351</c:f>
              <c:strCache>
                <c:ptCount val="1"/>
                <c:pt idx="0">
                  <c:v>37000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Skymaps!$E$351:$BC$351</c:f>
              <c:numCache>
                <c:formatCode>General</c:formatCode>
                <c:ptCount val="51"/>
                <c:pt idx="35">
                  <c:v>15.726350784301758</c:v>
                </c:pt>
                <c:pt idx="36">
                  <c:v>15.858412742614746</c:v>
                </c:pt>
                <c:pt idx="37">
                  <c:v>15.98762035369873</c:v>
                </c:pt>
                <c:pt idx="38">
                  <c:v>15.320427894592285</c:v>
                </c:pt>
                <c:pt idx="39">
                  <c:v>14.103400230407715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E9A7-4327-B0F5-E0506053756C}"/>
            </c:ext>
          </c:extLst>
        </c:ser>
        <c:ser>
          <c:idx val="38"/>
          <c:order val="38"/>
          <c:tx>
            <c:strRef>
              <c:f>Skymaps!$D$352</c:f>
              <c:strCache>
                <c:ptCount val="1"/>
                <c:pt idx="0">
                  <c:v>38000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Skymaps!$E$352:$BC$352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6-E9A7-4327-B0F5-E0506053756C}"/>
            </c:ext>
          </c:extLst>
        </c:ser>
        <c:ser>
          <c:idx val="39"/>
          <c:order val="39"/>
          <c:tx>
            <c:strRef>
              <c:f>Skymaps!$D$353</c:f>
              <c:strCache>
                <c:ptCount val="1"/>
                <c:pt idx="0">
                  <c:v>39000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Skymaps!$E$353:$BC$353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E9A7-4327-B0F5-E0506053756C}"/>
            </c:ext>
          </c:extLst>
        </c:ser>
        <c:ser>
          <c:idx val="40"/>
          <c:order val="40"/>
          <c:tx>
            <c:strRef>
              <c:f>Skymaps!$D$354</c:f>
              <c:strCache>
                <c:ptCount val="1"/>
                <c:pt idx="0">
                  <c:v>40000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Skymaps!$E$354:$BC$354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E9A7-4327-B0F5-E0506053756C}"/>
            </c:ext>
          </c:extLst>
        </c:ser>
        <c:ser>
          <c:idx val="41"/>
          <c:order val="41"/>
          <c:tx>
            <c:strRef>
              <c:f>Skymaps!$D$355</c:f>
              <c:strCache>
                <c:ptCount val="1"/>
                <c:pt idx="0">
                  <c:v>41000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Skymaps!$E$355:$BC$355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E9A7-4327-B0F5-E0506053756C}"/>
            </c:ext>
          </c:extLst>
        </c:ser>
        <c:ser>
          <c:idx val="42"/>
          <c:order val="42"/>
          <c:tx>
            <c:strRef>
              <c:f>Skymaps!$D$356</c:f>
              <c:strCache>
                <c:ptCount val="1"/>
                <c:pt idx="0">
                  <c:v>42000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Skymaps!$E$356:$BC$356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E9A7-4327-B0F5-E0506053756C}"/>
            </c:ext>
          </c:extLst>
        </c:ser>
        <c:ser>
          <c:idx val="43"/>
          <c:order val="43"/>
          <c:tx>
            <c:strRef>
              <c:f>Skymaps!$D$357</c:f>
              <c:strCache>
                <c:ptCount val="1"/>
                <c:pt idx="0">
                  <c:v>43000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Skymaps!$E$357:$BC$357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E9A7-4327-B0F5-E0506053756C}"/>
            </c:ext>
          </c:extLst>
        </c:ser>
        <c:ser>
          <c:idx val="44"/>
          <c:order val="44"/>
          <c:tx>
            <c:strRef>
              <c:f>Skymaps!$D$358</c:f>
              <c:strCache>
                <c:ptCount val="1"/>
                <c:pt idx="0">
                  <c:v>44000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Skymaps!$E$358:$BC$358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E9A7-4327-B0F5-E0506053756C}"/>
            </c:ext>
          </c:extLst>
        </c:ser>
        <c:ser>
          <c:idx val="45"/>
          <c:order val="45"/>
          <c:tx>
            <c:strRef>
              <c:f>Skymaps!$D$359</c:f>
              <c:strCache>
                <c:ptCount val="1"/>
                <c:pt idx="0">
                  <c:v>45000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Skymaps!$E$359:$BC$359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E9A7-4327-B0F5-E0506053756C}"/>
            </c:ext>
          </c:extLst>
        </c:ser>
        <c:ser>
          <c:idx val="46"/>
          <c:order val="46"/>
          <c:tx>
            <c:strRef>
              <c:f>Skymaps!$D$360</c:f>
              <c:strCache>
                <c:ptCount val="1"/>
                <c:pt idx="0">
                  <c:v>46000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Skymaps!$E$360:$BC$360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E9A7-4327-B0F5-E0506053756C}"/>
            </c:ext>
          </c:extLst>
        </c:ser>
        <c:ser>
          <c:idx val="47"/>
          <c:order val="47"/>
          <c:tx>
            <c:strRef>
              <c:f>Skymaps!$D$361</c:f>
              <c:strCache>
                <c:ptCount val="1"/>
                <c:pt idx="0">
                  <c:v>47000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Skymaps!$E$361:$BC$361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E9A7-4327-B0F5-E0506053756C}"/>
            </c:ext>
          </c:extLst>
        </c:ser>
        <c:ser>
          <c:idx val="48"/>
          <c:order val="48"/>
          <c:tx>
            <c:strRef>
              <c:f>Skymaps!$D$362</c:f>
              <c:strCache>
                <c:ptCount val="1"/>
                <c:pt idx="0">
                  <c:v>48000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Skymaps!$E$362:$BC$362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E9A7-4327-B0F5-E0506053756C}"/>
            </c:ext>
          </c:extLst>
        </c:ser>
        <c:ser>
          <c:idx val="49"/>
          <c:order val="49"/>
          <c:tx>
            <c:strRef>
              <c:f>Skymaps!$D$363</c:f>
              <c:strCache>
                <c:ptCount val="1"/>
                <c:pt idx="0">
                  <c:v>49000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Skymaps!$E$363:$BC$363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E9A7-4327-B0F5-E0506053756C}"/>
            </c:ext>
          </c:extLst>
        </c:ser>
        <c:ser>
          <c:idx val="50"/>
          <c:order val="50"/>
          <c:tx>
            <c:strRef>
              <c:f>Skymaps!$D$364</c:f>
              <c:strCache>
                <c:ptCount val="1"/>
                <c:pt idx="0">
                  <c:v>50000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Skymaps!$E$364:$BC$364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E9A7-4327-B0F5-E0506053756C}"/>
            </c:ext>
          </c:extLst>
        </c:ser>
        <c:bandFmts>
          <c:bandFmt>
            <c:idx val="51"/>
            <c:spPr>
              <a:ln w="9525" cap="rnd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bandFmt>
        </c:bandFmts>
        <c:axId val="586228728"/>
        <c:axId val="586232336"/>
        <c:axId val="302067968"/>
      </c:surfaceChart>
      <c:catAx>
        <c:axId val="586228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32336"/>
        <c:crosses val="autoZero"/>
        <c:auto val="1"/>
        <c:lblAlgn val="ctr"/>
        <c:lblOffset val="100"/>
        <c:noMultiLvlLbl val="0"/>
      </c:catAx>
      <c:valAx>
        <c:axId val="58623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28728"/>
        <c:crosses val="autoZero"/>
        <c:crossBetween val="midCat"/>
        <c:majorUnit val="1"/>
      </c:valAx>
      <c:serAx>
        <c:axId val="3020679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32336"/>
        <c:crosses val="autoZero"/>
      </c:ser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Skymaps!$D$366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Skymaps!$E$366:$BC$366</c:f>
              <c:numCache>
                <c:formatCode>General</c:formatCode>
                <c:ptCount val="51"/>
                <c:pt idx="13">
                  <c:v>0.86872392892837524</c:v>
                </c:pt>
                <c:pt idx="14">
                  <c:v>1.9235877990722656</c:v>
                </c:pt>
                <c:pt idx="15">
                  <c:v>3.9911472797393799</c:v>
                </c:pt>
                <c:pt idx="16">
                  <c:v>5.1143651008605957</c:v>
                </c:pt>
                <c:pt idx="17">
                  <c:v>5.7157001495361328</c:v>
                </c:pt>
                <c:pt idx="18">
                  <c:v>6.175051212310791</c:v>
                </c:pt>
                <c:pt idx="19">
                  <c:v>6.5273818969726563</c:v>
                </c:pt>
                <c:pt idx="20">
                  <c:v>6.8437399864196777</c:v>
                </c:pt>
                <c:pt idx="21">
                  <c:v>6.9383211135864258</c:v>
                </c:pt>
                <c:pt idx="22">
                  <c:v>7.0459561347961426</c:v>
                </c:pt>
                <c:pt idx="23">
                  <c:v>7.1559576988220215</c:v>
                </c:pt>
                <c:pt idx="24">
                  <c:v>7.1272830963134766</c:v>
                </c:pt>
                <c:pt idx="25">
                  <c:v>7.1164889335632324</c:v>
                </c:pt>
                <c:pt idx="26">
                  <c:v>7.0131793022155762</c:v>
                </c:pt>
                <c:pt idx="27">
                  <c:v>6.965242862701416</c:v>
                </c:pt>
                <c:pt idx="28">
                  <c:v>6.8012137413024902</c:v>
                </c:pt>
                <c:pt idx="29">
                  <c:v>6.694150447845459</c:v>
                </c:pt>
                <c:pt idx="30">
                  <c:v>6.5599498748779297</c:v>
                </c:pt>
                <c:pt idx="31">
                  <c:v>6.3747110366821289</c:v>
                </c:pt>
                <c:pt idx="32">
                  <c:v>6.1568727493286133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66-456E-9FF0-DC31CCF46992}"/>
            </c:ext>
          </c:extLst>
        </c:ser>
        <c:ser>
          <c:idx val="1"/>
          <c:order val="1"/>
          <c:tx>
            <c:strRef>
              <c:f>Skymaps!$D$367</c:f>
              <c:strCache>
                <c:ptCount val="1"/>
                <c:pt idx="0">
                  <c:v>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Skymaps!$E$367:$BC$367</c:f>
              <c:numCache>
                <c:formatCode>General</c:formatCode>
                <c:ptCount val="51"/>
                <c:pt idx="14">
                  <c:v>1.5943479537963867</c:v>
                </c:pt>
                <c:pt idx="15">
                  <c:v>3.4361114501953125</c:v>
                </c:pt>
                <c:pt idx="16">
                  <c:v>4.8773384094238281</c:v>
                </c:pt>
                <c:pt idx="17">
                  <c:v>5.5914087295532227</c:v>
                </c:pt>
                <c:pt idx="18">
                  <c:v>6.182044506072998</c:v>
                </c:pt>
                <c:pt idx="19">
                  <c:v>6.6066713333129883</c:v>
                </c:pt>
                <c:pt idx="20">
                  <c:v>6.9309778213500977</c:v>
                </c:pt>
                <c:pt idx="21">
                  <c:v>7.0931510925292969</c:v>
                </c:pt>
                <c:pt idx="22">
                  <c:v>7.2045822143554688</c:v>
                </c:pt>
                <c:pt idx="23">
                  <c:v>7.2365732192993164</c:v>
                </c:pt>
                <c:pt idx="24">
                  <c:v>7.2361268997192383</c:v>
                </c:pt>
                <c:pt idx="25">
                  <c:v>7.2775120735168457</c:v>
                </c:pt>
                <c:pt idx="26">
                  <c:v>7.1429166793823242</c:v>
                </c:pt>
                <c:pt idx="27">
                  <c:v>7.1287074089050293</c:v>
                </c:pt>
                <c:pt idx="28">
                  <c:v>7.0177531242370605</c:v>
                </c:pt>
                <c:pt idx="29">
                  <c:v>6.8692703247070313</c:v>
                </c:pt>
                <c:pt idx="30">
                  <c:v>6.7550621032714844</c:v>
                </c:pt>
                <c:pt idx="31">
                  <c:v>6.5828642845153809</c:v>
                </c:pt>
                <c:pt idx="32">
                  <c:v>6.3528609275817871</c:v>
                </c:pt>
                <c:pt idx="33">
                  <c:v>6.1673369407653809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66-456E-9FF0-DC31CCF46992}"/>
            </c:ext>
          </c:extLst>
        </c:ser>
        <c:ser>
          <c:idx val="2"/>
          <c:order val="2"/>
          <c:tx>
            <c:strRef>
              <c:f>Skymaps!$D$368</c:f>
              <c:strCache>
                <c:ptCount val="1"/>
                <c:pt idx="0">
                  <c:v>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Skymaps!$E$368:$BC$368</c:f>
              <c:numCache>
                <c:formatCode>General</c:formatCode>
                <c:ptCount val="51"/>
                <c:pt idx="14">
                  <c:v>1.328336238861084</c:v>
                </c:pt>
                <c:pt idx="15">
                  <c:v>2.8734302520751953</c:v>
                </c:pt>
                <c:pt idx="16">
                  <c:v>4.8579974174499512</c:v>
                </c:pt>
                <c:pt idx="17">
                  <c:v>5.5512785911560059</c:v>
                </c:pt>
                <c:pt idx="18">
                  <c:v>6.0522475242614746</c:v>
                </c:pt>
                <c:pt idx="19">
                  <c:v>6.5665626525878906</c:v>
                </c:pt>
                <c:pt idx="20">
                  <c:v>6.9757699966430664</c:v>
                </c:pt>
                <c:pt idx="21">
                  <c:v>7.1902832984924316</c:v>
                </c:pt>
                <c:pt idx="22">
                  <c:v>7.2749476432800293</c:v>
                </c:pt>
                <c:pt idx="23">
                  <c:v>7.2718892097473145</c:v>
                </c:pt>
                <c:pt idx="24">
                  <c:v>7.4228615760803223</c:v>
                </c:pt>
                <c:pt idx="25">
                  <c:v>7.3928804397583008</c:v>
                </c:pt>
                <c:pt idx="26">
                  <c:v>7.3596310615539551</c:v>
                </c:pt>
                <c:pt idx="27">
                  <c:v>7.264096736907959</c:v>
                </c:pt>
                <c:pt idx="28">
                  <c:v>7.2144556045532227</c:v>
                </c:pt>
                <c:pt idx="29">
                  <c:v>7.0531449317932129</c:v>
                </c:pt>
                <c:pt idx="30">
                  <c:v>6.945225715637207</c:v>
                </c:pt>
                <c:pt idx="31">
                  <c:v>6.7892117500305176</c:v>
                </c:pt>
                <c:pt idx="32">
                  <c:v>6.6073317527770996</c:v>
                </c:pt>
                <c:pt idx="33">
                  <c:v>6.3660120964050293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66-456E-9FF0-DC31CCF46992}"/>
            </c:ext>
          </c:extLst>
        </c:ser>
        <c:ser>
          <c:idx val="3"/>
          <c:order val="3"/>
          <c:tx>
            <c:strRef>
              <c:f>Skymaps!$D$369</c:f>
              <c:strCache>
                <c:ptCount val="1"/>
                <c:pt idx="0">
                  <c:v>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Skymaps!$E$369:$BC$369</c:f>
              <c:numCache>
                <c:formatCode>General</c:formatCode>
                <c:ptCount val="51"/>
                <c:pt idx="14">
                  <c:v>1.1145507097244263</c:v>
                </c:pt>
                <c:pt idx="15">
                  <c:v>2.369997501373291</c:v>
                </c:pt>
                <c:pt idx="16">
                  <c:v>4.5294513702392578</c:v>
                </c:pt>
                <c:pt idx="17">
                  <c:v>5.4408159255981445</c:v>
                </c:pt>
                <c:pt idx="18">
                  <c:v>6.0701479911804199</c:v>
                </c:pt>
                <c:pt idx="19">
                  <c:v>6.5241374969482422</c:v>
                </c:pt>
                <c:pt idx="20">
                  <c:v>6.8385591506958008</c:v>
                </c:pt>
                <c:pt idx="21">
                  <c:v>7.1675229072570801</c:v>
                </c:pt>
                <c:pt idx="22">
                  <c:v>7.3311066627502441</c:v>
                </c:pt>
                <c:pt idx="23">
                  <c:v>7.4779796600341797</c:v>
                </c:pt>
                <c:pt idx="24">
                  <c:v>7.5351781845092773</c:v>
                </c:pt>
                <c:pt idx="25">
                  <c:v>7.4894299507141113</c:v>
                </c:pt>
                <c:pt idx="26">
                  <c:v>7.5363082885742188</c:v>
                </c:pt>
                <c:pt idx="27">
                  <c:v>7.3930182456970215</c:v>
                </c:pt>
                <c:pt idx="28">
                  <c:v>7.3862428665161133</c:v>
                </c:pt>
                <c:pt idx="29">
                  <c:v>7.2789883613586426</c:v>
                </c:pt>
                <c:pt idx="30">
                  <c:v>7.1284241676330566</c:v>
                </c:pt>
                <c:pt idx="31">
                  <c:v>6.9919743537902832</c:v>
                </c:pt>
                <c:pt idx="32">
                  <c:v>6.8238582611083984</c:v>
                </c:pt>
                <c:pt idx="33">
                  <c:v>6.6347994804382324</c:v>
                </c:pt>
                <c:pt idx="34">
                  <c:v>6.3853902816772461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66-456E-9FF0-DC31CCF46992}"/>
            </c:ext>
          </c:extLst>
        </c:ser>
        <c:ser>
          <c:idx val="4"/>
          <c:order val="4"/>
          <c:tx>
            <c:strRef>
              <c:f>Skymaps!$D$370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Skymaps!$E$370:$BC$370</c:f>
              <c:numCache>
                <c:formatCode>General</c:formatCode>
                <c:ptCount val="51"/>
                <c:pt idx="14">
                  <c:v>0.94250452518463135</c:v>
                </c:pt>
                <c:pt idx="15">
                  <c:v>1.9483524560928345</c:v>
                </c:pt>
                <c:pt idx="16">
                  <c:v>3.9778692722320557</c:v>
                </c:pt>
                <c:pt idx="17">
                  <c:v>5.2931923866271973</c:v>
                </c:pt>
                <c:pt idx="18">
                  <c:v>5.9051108360290527</c:v>
                </c:pt>
                <c:pt idx="19">
                  <c:v>6.519477367401123</c:v>
                </c:pt>
                <c:pt idx="20">
                  <c:v>6.9724860191345215</c:v>
                </c:pt>
                <c:pt idx="21">
                  <c:v>7.3182225227355957</c:v>
                </c:pt>
                <c:pt idx="22">
                  <c:v>7.4989633560180664</c:v>
                </c:pt>
                <c:pt idx="23">
                  <c:v>7.5939087867736816</c:v>
                </c:pt>
                <c:pt idx="24">
                  <c:v>7.5642709732055664</c:v>
                </c:pt>
                <c:pt idx="25">
                  <c:v>7.7067813873291016</c:v>
                </c:pt>
                <c:pt idx="26">
                  <c:v>7.6652393341064453</c:v>
                </c:pt>
                <c:pt idx="27">
                  <c:v>7.6232986450195313</c:v>
                </c:pt>
                <c:pt idx="28">
                  <c:v>7.5281238555908203</c:v>
                </c:pt>
                <c:pt idx="29">
                  <c:v>7.4833478927612305</c:v>
                </c:pt>
                <c:pt idx="30">
                  <c:v>7.3323464393615723</c:v>
                </c:pt>
                <c:pt idx="31">
                  <c:v>7.1891613006591797</c:v>
                </c:pt>
                <c:pt idx="32">
                  <c:v>7.0380687713623047</c:v>
                </c:pt>
                <c:pt idx="33">
                  <c:v>6.860661506652832</c:v>
                </c:pt>
                <c:pt idx="34">
                  <c:v>6.5940647125244141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66-456E-9FF0-DC31CCF46992}"/>
            </c:ext>
          </c:extLst>
        </c:ser>
        <c:ser>
          <c:idx val="5"/>
          <c:order val="5"/>
          <c:tx>
            <c:strRef>
              <c:f>Skymaps!$D$371</c:f>
              <c:strCache>
                <c:ptCount val="1"/>
                <c:pt idx="0">
                  <c:v>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Skymaps!$E$371:$BC$371</c:f>
              <c:numCache>
                <c:formatCode>General</c:formatCode>
                <c:ptCount val="51"/>
                <c:pt idx="15">
                  <c:v>1.6065707206726074</c:v>
                </c:pt>
                <c:pt idx="16">
                  <c:v>3.3552718162536621</c:v>
                </c:pt>
                <c:pt idx="17">
                  <c:v>5.1972455978393555</c:v>
                </c:pt>
                <c:pt idx="18">
                  <c:v>5.8966770172119141</c:v>
                </c:pt>
                <c:pt idx="19">
                  <c:v>6.4064269065856934</c:v>
                </c:pt>
                <c:pt idx="20">
                  <c:v>6.8810501098632813</c:v>
                </c:pt>
                <c:pt idx="21">
                  <c:v>7.2967758178710938</c:v>
                </c:pt>
                <c:pt idx="22">
                  <c:v>7.5429224967956543</c:v>
                </c:pt>
                <c:pt idx="23">
                  <c:v>7.610501766204834</c:v>
                </c:pt>
                <c:pt idx="24">
                  <c:v>7.760612964630127</c:v>
                </c:pt>
                <c:pt idx="25">
                  <c:v>7.8516960144042969</c:v>
                </c:pt>
                <c:pt idx="26">
                  <c:v>7.756195068359375</c:v>
                </c:pt>
                <c:pt idx="27">
                  <c:v>7.8127388954162598</c:v>
                </c:pt>
                <c:pt idx="28">
                  <c:v>7.6714663505554199</c:v>
                </c:pt>
                <c:pt idx="29">
                  <c:v>7.6636285781860352</c:v>
                </c:pt>
                <c:pt idx="30">
                  <c:v>7.5664281845092773</c:v>
                </c:pt>
                <c:pt idx="31">
                  <c:v>7.3792991638183594</c:v>
                </c:pt>
                <c:pt idx="32">
                  <c:v>7.2494311332702637</c:v>
                </c:pt>
                <c:pt idx="33">
                  <c:v>7.0874781608581543</c:v>
                </c:pt>
                <c:pt idx="34">
                  <c:v>6.9036555290222168</c:v>
                </c:pt>
                <c:pt idx="35">
                  <c:v>6.7183160781860352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C66-456E-9FF0-DC31CCF46992}"/>
            </c:ext>
          </c:extLst>
        </c:ser>
        <c:ser>
          <c:idx val="6"/>
          <c:order val="6"/>
          <c:tx>
            <c:strRef>
              <c:f>Skymaps!$D$372</c:f>
              <c:strCache>
                <c:ptCount val="1"/>
                <c:pt idx="0">
                  <c:v>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Skymaps!$E$372:$BC$372</c:f>
              <c:numCache>
                <c:formatCode>General</c:formatCode>
                <c:ptCount val="51"/>
                <c:pt idx="15">
                  <c:v>1.3332539796829224</c:v>
                </c:pt>
                <c:pt idx="16">
                  <c:v>2.7687587738037109</c:v>
                </c:pt>
                <c:pt idx="17">
                  <c:v>4.9306802749633789</c:v>
                </c:pt>
                <c:pt idx="18">
                  <c:v>5.7613568305969238</c:v>
                </c:pt>
                <c:pt idx="19">
                  <c:v>6.3975677490234375</c:v>
                </c:pt>
                <c:pt idx="20">
                  <c:v>6.9013376235961914</c:v>
                </c:pt>
                <c:pt idx="21">
                  <c:v>7.2633390426635742</c:v>
                </c:pt>
                <c:pt idx="22">
                  <c:v>7.6065893173217773</c:v>
                </c:pt>
                <c:pt idx="23">
                  <c:v>7.7949624061584473</c:v>
                </c:pt>
                <c:pt idx="24">
                  <c:v>7.910759449005127</c:v>
                </c:pt>
                <c:pt idx="25">
                  <c:v>7.9123811721801758</c:v>
                </c:pt>
                <c:pt idx="26">
                  <c:v>7.9916543960571289</c:v>
                </c:pt>
                <c:pt idx="27">
                  <c:v>7.9487771987915039</c:v>
                </c:pt>
                <c:pt idx="28">
                  <c:v>7.9102692604064941</c:v>
                </c:pt>
                <c:pt idx="29">
                  <c:v>7.8072981834411621</c:v>
                </c:pt>
                <c:pt idx="30">
                  <c:v>7.7760224342346191</c:v>
                </c:pt>
                <c:pt idx="31">
                  <c:v>7.6074542999267578</c:v>
                </c:pt>
                <c:pt idx="32">
                  <c:v>7.452235221862793</c:v>
                </c:pt>
                <c:pt idx="33">
                  <c:v>7.3084826469421387</c:v>
                </c:pt>
                <c:pt idx="34">
                  <c:v>7.1375060081481934</c:v>
                </c:pt>
                <c:pt idx="35">
                  <c:v>6.9490909576416016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C66-456E-9FF0-DC31CCF46992}"/>
            </c:ext>
          </c:extLst>
        </c:ser>
        <c:ser>
          <c:idx val="7"/>
          <c:order val="7"/>
          <c:tx>
            <c:strRef>
              <c:f>Skymaps!$D$373</c:f>
              <c:strCache>
                <c:ptCount val="1"/>
                <c:pt idx="0">
                  <c:v>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Skymaps!$E$373:$BC$373</c:f>
              <c:numCache>
                <c:formatCode>General</c:formatCode>
                <c:ptCount val="51"/>
                <c:pt idx="16">
                  <c:v>2.2665238380432129</c:v>
                </c:pt>
                <c:pt idx="17">
                  <c:v>4.3749833106994629</c:v>
                </c:pt>
                <c:pt idx="18">
                  <c:v>5.623997688293457</c:v>
                </c:pt>
                <c:pt idx="19">
                  <c:v>6.2548975944519043</c:v>
                </c:pt>
                <c:pt idx="20">
                  <c:v>6.8239579200744629</c:v>
                </c:pt>
                <c:pt idx="21">
                  <c:v>7.3119978904724121</c:v>
                </c:pt>
                <c:pt idx="22">
                  <c:v>7.6839733123779297</c:v>
                </c:pt>
                <c:pt idx="23">
                  <c:v>7.8899664878845215</c:v>
                </c:pt>
                <c:pt idx="24">
                  <c:v>7.954369068145752</c:v>
                </c:pt>
                <c:pt idx="25">
                  <c:v>8.0583438873291016</c:v>
                </c:pt>
                <c:pt idx="26">
                  <c:v>8.1509084701538086</c:v>
                </c:pt>
                <c:pt idx="27">
                  <c:v>8.0492877960205078</c:v>
                </c:pt>
                <c:pt idx="28">
                  <c:v>8.1035966873168945</c:v>
                </c:pt>
                <c:pt idx="29">
                  <c:v>7.9732036590576172</c:v>
                </c:pt>
                <c:pt idx="30">
                  <c:v>7.9559535980224609</c:v>
                </c:pt>
                <c:pt idx="31">
                  <c:v>7.8453159332275391</c:v>
                </c:pt>
                <c:pt idx="32">
                  <c:v>7.6461853981018066</c:v>
                </c:pt>
                <c:pt idx="33">
                  <c:v>7.5242514610290527</c:v>
                </c:pt>
                <c:pt idx="34">
                  <c:v>7.3693952560424805</c:v>
                </c:pt>
                <c:pt idx="35">
                  <c:v>7.192838191986084</c:v>
                </c:pt>
                <c:pt idx="36">
                  <c:v>6.8768186569213867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C66-456E-9FF0-DC31CCF46992}"/>
            </c:ext>
          </c:extLst>
        </c:ser>
        <c:ser>
          <c:idx val="8"/>
          <c:order val="8"/>
          <c:tx>
            <c:strRef>
              <c:f>Skymaps!$D$374</c:f>
              <c:strCache>
                <c:ptCount val="1"/>
                <c:pt idx="0">
                  <c:v>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Skymaps!$E$374:$BC$374</c:f>
              <c:numCache>
                <c:formatCode>General</c:formatCode>
                <c:ptCount val="51"/>
                <c:pt idx="16">
                  <c:v>1.8566306829452515</c:v>
                </c:pt>
                <c:pt idx="17">
                  <c:v>3.7029011249542236</c:v>
                </c:pt>
                <c:pt idx="18">
                  <c:v>5.5050549507141113</c:v>
                </c:pt>
                <c:pt idx="19">
                  <c:v>6.1962714195251465</c:v>
                </c:pt>
                <c:pt idx="20">
                  <c:v>6.7801198959350586</c:v>
                </c:pt>
                <c:pt idx="21">
                  <c:v>7.1589450836181641</c:v>
                </c:pt>
                <c:pt idx="22">
                  <c:v>7.546027660369873</c:v>
                </c:pt>
                <c:pt idx="23">
                  <c:v>7.8781538009643555</c:v>
                </c:pt>
                <c:pt idx="24">
                  <c:v>8.094451904296875</c:v>
                </c:pt>
                <c:pt idx="25">
                  <c:v>8.235722541809082</c:v>
                </c:pt>
                <c:pt idx="26">
                  <c:v>8.2222299575805664</c:v>
                </c:pt>
                <c:pt idx="27">
                  <c:v>8.297210693359375</c:v>
                </c:pt>
                <c:pt idx="28">
                  <c:v>8.242523193359375</c:v>
                </c:pt>
                <c:pt idx="29">
                  <c:v>8.2176036834716797</c:v>
                </c:pt>
                <c:pt idx="30">
                  <c:v>8.1005325317382813</c:v>
                </c:pt>
                <c:pt idx="31">
                  <c:v>8.0566444396972656</c:v>
                </c:pt>
                <c:pt idx="32">
                  <c:v>7.904719352722168</c:v>
                </c:pt>
                <c:pt idx="33">
                  <c:v>7.732398509979248</c:v>
                </c:pt>
                <c:pt idx="34">
                  <c:v>7.5972051620483398</c:v>
                </c:pt>
                <c:pt idx="35">
                  <c:v>7.4357080459594727</c:v>
                </c:pt>
                <c:pt idx="36">
                  <c:v>7.1760759353637695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C66-456E-9FF0-DC31CCF46992}"/>
            </c:ext>
          </c:extLst>
        </c:ser>
        <c:ser>
          <c:idx val="9"/>
          <c:order val="9"/>
          <c:tx>
            <c:strRef>
              <c:f>Skymaps!$D$375</c:f>
              <c:strCache>
                <c:ptCount val="1"/>
                <c:pt idx="0">
                  <c:v>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Skymaps!$E$375:$BC$375</c:f>
              <c:numCache>
                <c:formatCode>General</c:formatCode>
                <c:ptCount val="51"/>
                <c:pt idx="17">
                  <c:v>3.0518405437469482</c:v>
                </c:pt>
                <c:pt idx="18">
                  <c:v>5.2221789360046387</c:v>
                </c:pt>
                <c:pt idx="19">
                  <c:v>6.0922904014587402</c:v>
                </c:pt>
                <c:pt idx="20">
                  <c:v>6.6695876121520996</c:v>
                </c:pt>
                <c:pt idx="21">
                  <c:v>7.2478036880493164</c:v>
                </c:pt>
                <c:pt idx="22">
                  <c:v>7.6721072196960449</c:v>
                </c:pt>
                <c:pt idx="23">
                  <c:v>8.0356998443603516</c:v>
                </c:pt>
                <c:pt idx="24">
                  <c:v>8.2296228408813477</c:v>
                </c:pt>
                <c:pt idx="25">
                  <c:v>8.3000926971435547</c:v>
                </c:pt>
                <c:pt idx="26">
                  <c:v>8.3629150390625</c:v>
                </c:pt>
                <c:pt idx="27">
                  <c:v>8.4636669158935547</c:v>
                </c:pt>
                <c:pt idx="28">
                  <c:v>8.3733081817626953</c:v>
                </c:pt>
                <c:pt idx="29">
                  <c:v>8.4122695922851563</c:v>
                </c:pt>
                <c:pt idx="30">
                  <c:v>8.3088874816894531</c:v>
                </c:pt>
                <c:pt idx="31">
                  <c:v>8.2351922988891602</c:v>
                </c:pt>
                <c:pt idx="32">
                  <c:v>8.1442222595214844</c:v>
                </c:pt>
                <c:pt idx="33">
                  <c:v>7.9589672088623047</c:v>
                </c:pt>
                <c:pt idx="34">
                  <c:v>7.8185553550720215</c:v>
                </c:pt>
                <c:pt idx="35">
                  <c:v>7.6756057739257813</c:v>
                </c:pt>
                <c:pt idx="36">
                  <c:v>7.4263238906860352</c:v>
                </c:pt>
                <c:pt idx="37">
                  <c:v>7.1654601097106934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C66-456E-9FF0-DC31CCF46992}"/>
            </c:ext>
          </c:extLst>
        </c:ser>
        <c:ser>
          <c:idx val="10"/>
          <c:order val="10"/>
          <c:tx>
            <c:strRef>
              <c:f>Skymaps!$D$376</c:f>
              <c:strCache>
                <c:ptCount val="1"/>
                <c:pt idx="0">
                  <c:v>10000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Skymaps!$E$376:$BC$376</c:f>
              <c:numCache>
                <c:formatCode>General</c:formatCode>
                <c:ptCount val="51"/>
                <c:pt idx="17">
                  <c:v>2.488593578338623</c:v>
                </c:pt>
                <c:pt idx="18">
                  <c:v>4.6199460029602051</c:v>
                </c:pt>
                <c:pt idx="19">
                  <c:v>5.8699321746826172</c:v>
                </c:pt>
                <c:pt idx="20">
                  <c:v>6.6133170127868652</c:v>
                </c:pt>
                <c:pt idx="21">
                  <c:v>7.032529354095459</c:v>
                </c:pt>
                <c:pt idx="22">
                  <c:v>7.5748610496520996</c:v>
                </c:pt>
                <c:pt idx="23">
                  <c:v>7.965303897857666</c:v>
                </c:pt>
                <c:pt idx="24">
                  <c:v>8.2183666229248047</c:v>
                </c:pt>
                <c:pt idx="25">
                  <c:v>8.419459342956543</c:v>
                </c:pt>
                <c:pt idx="26">
                  <c:v>8.5567827224731445</c:v>
                </c:pt>
                <c:pt idx="27">
                  <c:v>8.5387716293334961</c:v>
                </c:pt>
                <c:pt idx="28">
                  <c:v>8.6303615570068359</c:v>
                </c:pt>
                <c:pt idx="29">
                  <c:v>8.5537128448486328</c:v>
                </c:pt>
                <c:pt idx="30">
                  <c:v>8.5601348876953125</c:v>
                </c:pt>
                <c:pt idx="31">
                  <c:v>8.3757667541503906</c:v>
                </c:pt>
                <c:pt idx="32">
                  <c:v>8.3552675247192383</c:v>
                </c:pt>
                <c:pt idx="33">
                  <c:v>8.2260808944702148</c:v>
                </c:pt>
                <c:pt idx="34">
                  <c:v>8.0338773727416992</c:v>
                </c:pt>
                <c:pt idx="35">
                  <c:v>7.9101476669311523</c:v>
                </c:pt>
                <c:pt idx="36">
                  <c:v>7.6732869148254395</c:v>
                </c:pt>
                <c:pt idx="37">
                  <c:v>7.4196076393127441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C66-456E-9FF0-DC31CCF46992}"/>
            </c:ext>
          </c:extLst>
        </c:ser>
        <c:ser>
          <c:idx val="11"/>
          <c:order val="11"/>
          <c:tx>
            <c:strRef>
              <c:f>Skymaps!$D$377</c:f>
              <c:strCache>
                <c:ptCount val="1"/>
                <c:pt idx="0">
                  <c:v>11000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Skymaps!$E$377:$BC$377</c:f>
              <c:numCache>
                <c:formatCode>General</c:formatCode>
                <c:ptCount val="51"/>
                <c:pt idx="17">
                  <c:v>2.0281505584716797</c:v>
                </c:pt>
                <c:pt idx="18">
                  <c:v>3.8916022777557373</c:v>
                </c:pt>
                <c:pt idx="19">
                  <c:v>5.7877893447875977</c:v>
                </c:pt>
                <c:pt idx="20">
                  <c:v>6.429262638092041</c:v>
                </c:pt>
                <c:pt idx="21">
                  <c:v>7.1097550392150879</c:v>
                </c:pt>
                <c:pt idx="22">
                  <c:v>7.5972809791564941</c:v>
                </c:pt>
                <c:pt idx="23">
                  <c:v>8.0037460327148438</c:v>
                </c:pt>
                <c:pt idx="24">
                  <c:v>8.3814802169799805</c:v>
                </c:pt>
                <c:pt idx="25">
                  <c:v>8.5800809860229492</c:v>
                </c:pt>
                <c:pt idx="26">
                  <c:v>8.6276273727416992</c:v>
                </c:pt>
                <c:pt idx="27">
                  <c:v>8.6964006423950195</c:v>
                </c:pt>
                <c:pt idx="28">
                  <c:v>8.7931089401245117</c:v>
                </c:pt>
                <c:pt idx="29">
                  <c:v>8.7325677871704102</c:v>
                </c:pt>
                <c:pt idx="30">
                  <c:v>8.7588920593261719</c:v>
                </c:pt>
                <c:pt idx="31">
                  <c:v>8.6370935440063477</c:v>
                </c:pt>
                <c:pt idx="32">
                  <c:v>8.5258140563964844</c:v>
                </c:pt>
                <c:pt idx="33">
                  <c:v>8.4613103866577148</c:v>
                </c:pt>
                <c:pt idx="34">
                  <c:v>8.3001718521118164</c:v>
                </c:pt>
                <c:pt idx="35">
                  <c:v>8.1343469619750977</c:v>
                </c:pt>
                <c:pt idx="36">
                  <c:v>7.9152970314025879</c:v>
                </c:pt>
                <c:pt idx="37">
                  <c:v>7.6735692024230957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C66-456E-9FF0-DC31CCF46992}"/>
            </c:ext>
          </c:extLst>
        </c:ser>
        <c:ser>
          <c:idx val="12"/>
          <c:order val="12"/>
          <c:tx>
            <c:strRef>
              <c:f>Skymaps!$D$378</c:f>
              <c:strCache>
                <c:ptCount val="1"/>
                <c:pt idx="0">
                  <c:v>12000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Skymaps!$E$378:$BC$378</c:f>
              <c:numCache>
                <c:formatCode>General</c:formatCode>
                <c:ptCount val="51"/>
                <c:pt idx="18">
                  <c:v>3.1909241676330566</c:v>
                </c:pt>
                <c:pt idx="19">
                  <c:v>5.3938603401184082</c:v>
                </c:pt>
                <c:pt idx="20">
                  <c:v>6.385103702545166</c:v>
                </c:pt>
                <c:pt idx="21">
                  <c:v>6.8867654800415039</c:v>
                </c:pt>
                <c:pt idx="22">
                  <c:v>7.4929256439208984</c:v>
                </c:pt>
                <c:pt idx="23">
                  <c:v>7.9798893928527832</c:v>
                </c:pt>
                <c:pt idx="24">
                  <c:v>8.3493213653564453</c:v>
                </c:pt>
                <c:pt idx="25">
                  <c:v>8.5792579650878906</c:v>
                </c:pt>
                <c:pt idx="26">
                  <c:v>8.7423696517944336</c:v>
                </c:pt>
                <c:pt idx="27">
                  <c:v>8.8908548355102539</c:v>
                </c:pt>
                <c:pt idx="28">
                  <c:v>8.8542890548706055</c:v>
                </c:pt>
                <c:pt idx="29">
                  <c:v>8.9795618057250977</c:v>
                </c:pt>
                <c:pt idx="30">
                  <c:v>8.8980798721313477</c:v>
                </c:pt>
                <c:pt idx="31">
                  <c:v>8.8817501068115234</c:v>
                </c:pt>
                <c:pt idx="32">
                  <c:v>8.699183464050293</c:v>
                </c:pt>
                <c:pt idx="33">
                  <c:v>8.6621904373168945</c:v>
                </c:pt>
                <c:pt idx="34">
                  <c:v>8.5608243942260742</c:v>
                </c:pt>
                <c:pt idx="35">
                  <c:v>8.3753414154052734</c:v>
                </c:pt>
                <c:pt idx="36">
                  <c:v>8.150477409362793</c:v>
                </c:pt>
                <c:pt idx="37">
                  <c:v>7.924412727355957</c:v>
                </c:pt>
                <c:pt idx="38">
                  <c:v>7.540553092956543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C66-456E-9FF0-DC31CCF46992}"/>
            </c:ext>
          </c:extLst>
        </c:ser>
        <c:ser>
          <c:idx val="13"/>
          <c:order val="13"/>
          <c:tx>
            <c:strRef>
              <c:f>Skymaps!$D$379</c:f>
              <c:strCache>
                <c:ptCount val="1"/>
                <c:pt idx="0">
                  <c:v>13000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Skymaps!$E$379:$BC$379</c:f>
              <c:numCache>
                <c:formatCode>General</c:formatCode>
                <c:ptCount val="51"/>
                <c:pt idx="18">
                  <c:v>2.5895380973815918</c:v>
                </c:pt>
                <c:pt idx="19">
                  <c:v>4.6941571235656738</c:v>
                </c:pt>
                <c:pt idx="20">
                  <c:v>6.1118912696838379</c:v>
                </c:pt>
                <c:pt idx="21">
                  <c:v>6.8945350646972656</c:v>
                </c:pt>
                <c:pt idx="22">
                  <c:v>7.4659771919250488</c:v>
                </c:pt>
                <c:pt idx="23">
                  <c:v>7.9166321754455566</c:v>
                </c:pt>
                <c:pt idx="24">
                  <c:v>8.332179069519043</c:v>
                </c:pt>
                <c:pt idx="25">
                  <c:v>8.7340555191040039</c:v>
                </c:pt>
                <c:pt idx="26">
                  <c:v>8.9123773574829102</c:v>
                </c:pt>
                <c:pt idx="27">
                  <c:v>8.9558601379394531</c:v>
                </c:pt>
                <c:pt idx="28">
                  <c:v>9.0547046661376953</c:v>
                </c:pt>
                <c:pt idx="29">
                  <c:v>9.1291208267211914</c:v>
                </c:pt>
                <c:pt idx="30">
                  <c:v>9.1165084838867188</c:v>
                </c:pt>
                <c:pt idx="31">
                  <c:v>9.0703754425048828</c:v>
                </c:pt>
                <c:pt idx="32">
                  <c:v>8.9847602844238281</c:v>
                </c:pt>
                <c:pt idx="33">
                  <c:v>8.8219480514526367</c:v>
                </c:pt>
                <c:pt idx="34">
                  <c:v>8.789484977722168</c:v>
                </c:pt>
                <c:pt idx="35">
                  <c:v>8.6599760055541992</c:v>
                </c:pt>
                <c:pt idx="36">
                  <c:v>8.3759555816650391</c:v>
                </c:pt>
                <c:pt idx="37">
                  <c:v>8.1695823669433594</c:v>
                </c:pt>
                <c:pt idx="38">
                  <c:v>7.7964410781860352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C66-456E-9FF0-DC31CCF46992}"/>
            </c:ext>
          </c:extLst>
        </c:ser>
        <c:ser>
          <c:idx val="14"/>
          <c:order val="14"/>
          <c:tx>
            <c:strRef>
              <c:f>Skymaps!$D$380</c:f>
              <c:strCache>
                <c:ptCount val="1"/>
                <c:pt idx="0">
                  <c:v>14000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Skymaps!$E$380:$BC$380</c:f>
              <c:numCache>
                <c:formatCode>General</c:formatCode>
                <c:ptCount val="51"/>
                <c:pt idx="19">
                  <c:v>3.9052910804748535</c:v>
                </c:pt>
                <c:pt idx="20">
                  <c:v>5.9868388175964355</c:v>
                </c:pt>
                <c:pt idx="21">
                  <c:v>6.7343921661376953</c:v>
                </c:pt>
                <c:pt idx="22">
                  <c:v>7.2922935485839844</c:v>
                </c:pt>
                <c:pt idx="23">
                  <c:v>7.8958978652954102</c:v>
                </c:pt>
                <c:pt idx="24">
                  <c:v>8.3555459976196289</c:v>
                </c:pt>
                <c:pt idx="25">
                  <c:v>8.7192115783691406</c:v>
                </c:pt>
                <c:pt idx="26">
                  <c:v>8.9098529815673828</c:v>
                </c:pt>
                <c:pt idx="27">
                  <c:v>9.0928049087524414</c:v>
                </c:pt>
                <c:pt idx="28">
                  <c:v>9.2388582229614258</c:v>
                </c:pt>
                <c:pt idx="29">
                  <c:v>9.1685323715209961</c:v>
                </c:pt>
                <c:pt idx="30">
                  <c:v>9.3490390777587891</c:v>
                </c:pt>
                <c:pt idx="31">
                  <c:v>9.1935300827026367</c:v>
                </c:pt>
                <c:pt idx="32">
                  <c:v>9.2184133529663086</c:v>
                </c:pt>
                <c:pt idx="33">
                  <c:v>9.075230598449707</c:v>
                </c:pt>
                <c:pt idx="34">
                  <c:v>8.9787845611572266</c:v>
                </c:pt>
                <c:pt idx="35">
                  <c:v>8.9149398803710938</c:v>
                </c:pt>
                <c:pt idx="36">
                  <c:v>8.6673927307128906</c:v>
                </c:pt>
                <c:pt idx="37">
                  <c:v>8.4062204360961914</c:v>
                </c:pt>
                <c:pt idx="38">
                  <c:v>8.0481472015380859</c:v>
                </c:pt>
                <c:pt idx="39">
                  <c:v>7.5525150299072266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C66-456E-9FF0-DC31CCF46992}"/>
            </c:ext>
          </c:extLst>
        </c:ser>
        <c:ser>
          <c:idx val="15"/>
          <c:order val="15"/>
          <c:tx>
            <c:strRef>
              <c:f>Skymaps!$D$381</c:f>
              <c:strCache>
                <c:ptCount val="1"/>
                <c:pt idx="0">
                  <c:v>15000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Skymaps!$E$381:$BC$381</c:f>
              <c:numCache>
                <c:formatCode>General</c:formatCode>
                <c:ptCount val="51"/>
                <c:pt idx="19">
                  <c:v>3.1759624481201172</c:v>
                </c:pt>
                <c:pt idx="20">
                  <c:v>5.4108858108520508</c:v>
                </c:pt>
                <c:pt idx="21">
                  <c:v>6.5156254768371582</c:v>
                </c:pt>
                <c:pt idx="22">
                  <c:v>7.2730293273925781</c:v>
                </c:pt>
                <c:pt idx="23">
                  <c:v>7.7926492691040039</c:v>
                </c:pt>
                <c:pt idx="24">
                  <c:v>8.2446422576904297</c:v>
                </c:pt>
                <c:pt idx="25">
                  <c:v>8.6838579177856445</c:v>
                </c:pt>
                <c:pt idx="26">
                  <c:v>9.0779714584350586</c:v>
                </c:pt>
                <c:pt idx="27">
                  <c:v>9.2555150985717773</c:v>
                </c:pt>
                <c:pt idx="28">
                  <c:v>9.2848176956176758</c:v>
                </c:pt>
                <c:pt idx="29">
                  <c:v>9.4395847320556641</c:v>
                </c:pt>
                <c:pt idx="30">
                  <c:v>9.4734954833984375</c:v>
                </c:pt>
                <c:pt idx="31">
                  <c:v>9.4757776260375977</c:v>
                </c:pt>
                <c:pt idx="32">
                  <c:v>9.3907661437988281</c:v>
                </c:pt>
                <c:pt idx="33">
                  <c:v>9.3520498275756836</c:v>
                </c:pt>
                <c:pt idx="34">
                  <c:v>9.1624870300292969</c:v>
                </c:pt>
                <c:pt idx="35">
                  <c:v>9.1323480606079102</c:v>
                </c:pt>
                <c:pt idx="36">
                  <c:v>8.945307731628418</c:v>
                </c:pt>
                <c:pt idx="37">
                  <c:v>8.6808185577392578</c:v>
                </c:pt>
                <c:pt idx="38">
                  <c:v>8.2929210662841797</c:v>
                </c:pt>
                <c:pt idx="39">
                  <c:v>7.8118095397949219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C66-456E-9FF0-DC31CCF46992}"/>
            </c:ext>
          </c:extLst>
        </c:ser>
        <c:ser>
          <c:idx val="16"/>
          <c:order val="16"/>
          <c:tx>
            <c:strRef>
              <c:f>Skymaps!$D$382</c:f>
              <c:strCache>
                <c:ptCount val="1"/>
                <c:pt idx="0">
                  <c:v>16000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Skymaps!$E$382:$BC$382</c:f>
              <c:numCache>
                <c:formatCode>General</c:formatCode>
                <c:ptCount val="51"/>
                <c:pt idx="19">
                  <c:v>2.5641601085662842</c:v>
                </c:pt>
                <c:pt idx="20">
                  <c:v>4.6015806198120117</c:v>
                </c:pt>
                <c:pt idx="21">
                  <c:v>6.4100117683410645</c:v>
                </c:pt>
                <c:pt idx="22">
                  <c:v>7.0060725212097168</c:v>
                </c:pt>
                <c:pt idx="23">
                  <c:v>7.7022089958190918</c:v>
                </c:pt>
                <c:pt idx="24">
                  <c:v>8.2699432373046875</c:v>
                </c:pt>
                <c:pt idx="25">
                  <c:v>8.7207813262939453</c:v>
                </c:pt>
                <c:pt idx="26">
                  <c:v>9.0493946075439453</c:v>
                </c:pt>
                <c:pt idx="27">
                  <c:v>9.230194091796875</c:v>
                </c:pt>
                <c:pt idx="28">
                  <c:v>9.468388557434082</c:v>
                </c:pt>
                <c:pt idx="29">
                  <c:v>9.5961894989013672</c:v>
                </c:pt>
                <c:pt idx="30">
                  <c:v>9.5724248886108398</c:v>
                </c:pt>
                <c:pt idx="31">
                  <c:v>9.6781225204467773</c:v>
                </c:pt>
                <c:pt idx="32">
                  <c:v>9.5677061080932617</c:v>
                </c:pt>
                <c:pt idx="33">
                  <c:v>9.5649347305297852</c:v>
                </c:pt>
                <c:pt idx="34">
                  <c:v>9.4718856811523438</c:v>
                </c:pt>
                <c:pt idx="35">
                  <c:v>9.3037385940551758</c:v>
                </c:pt>
                <c:pt idx="36">
                  <c:v>9.1858634948730469</c:v>
                </c:pt>
                <c:pt idx="37">
                  <c:v>8.9751119613647461</c:v>
                </c:pt>
                <c:pt idx="38">
                  <c:v>8.5559110641479492</c:v>
                </c:pt>
                <c:pt idx="39">
                  <c:v>8.0676059722900391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C66-456E-9FF0-DC31CCF46992}"/>
            </c:ext>
          </c:extLst>
        </c:ser>
        <c:ser>
          <c:idx val="17"/>
          <c:order val="17"/>
          <c:tx>
            <c:strRef>
              <c:f>Skymaps!$D$383</c:f>
              <c:strCache>
                <c:ptCount val="1"/>
                <c:pt idx="0">
                  <c:v>17000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Skymaps!$E$383:$BC$383</c:f>
              <c:numCache>
                <c:formatCode>General</c:formatCode>
                <c:ptCount val="51"/>
                <c:pt idx="20">
                  <c:v>3.7745723724365234</c:v>
                </c:pt>
                <c:pt idx="21">
                  <c:v>5.9750308990478516</c:v>
                </c:pt>
                <c:pt idx="22">
                  <c:v>6.9523296356201172</c:v>
                </c:pt>
                <c:pt idx="23">
                  <c:v>7.6116123199462891</c:v>
                </c:pt>
                <c:pt idx="24">
                  <c:v>8.1206016540527344</c:v>
                </c:pt>
                <c:pt idx="25">
                  <c:v>8.5934600830078125</c:v>
                </c:pt>
                <c:pt idx="26">
                  <c:v>9.0338239669799805</c:v>
                </c:pt>
                <c:pt idx="27">
                  <c:v>9.4306259155273438</c:v>
                </c:pt>
                <c:pt idx="28">
                  <c:v>9.5992498397827148</c:v>
                </c:pt>
                <c:pt idx="29">
                  <c:v>9.5797176361083984</c:v>
                </c:pt>
                <c:pt idx="30">
                  <c:v>9.8295927047729492</c:v>
                </c:pt>
                <c:pt idx="31">
                  <c:v>9.7616558074951172</c:v>
                </c:pt>
                <c:pt idx="32">
                  <c:v>9.8418960571289063</c:v>
                </c:pt>
                <c:pt idx="33">
                  <c:v>9.707056999206543</c:v>
                </c:pt>
                <c:pt idx="34">
                  <c:v>9.7247495651245117</c:v>
                </c:pt>
                <c:pt idx="35">
                  <c:v>9.5884847640991211</c:v>
                </c:pt>
                <c:pt idx="36">
                  <c:v>9.3833999633789063</c:v>
                </c:pt>
                <c:pt idx="37">
                  <c:v>9.2369289398193359</c:v>
                </c:pt>
                <c:pt idx="38">
                  <c:v>8.8610801696777344</c:v>
                </c:pt>
                <c:pt idx="39">
                  <c:v>8.3188667297363281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C66-456E-9FF0-DC31CCF46992}"/>
            </c:ext>
          </c:extLst>
        </c:ser>
        <c:ser>
          <c:idx val="18"/>
          <c:order val="18"/>
          <c:tx>
            <c:strRef>
              <c:f>Skymaps!$D$384</c:f>
              <c:strCache>
                <c:ptCount val="1"/>
                <c:pt idx="0">
                  <c:v>18000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Skymaps!$E$384:$BC$384</c:f>
              <c:numCache>
                <c:formatCode>General</c:formatCode>
                <c:ptCount val="51"/>
                <c:pt idx="20">
                  <c:v>3.0480074882507324</c:v>
                </c:pt>
                <c:pt idx="21">
                  <c:v>5.178314208984375</c:v>
                </c:pt>
                <c:pt idx="22">
                  <c:v>6.7450041770935059</c:v>
                </c:pt>
                <c:pt idx="23">
                  <c:v>7.3878593444824219</c:v>
                </c:pt>
                <c:pt idx="24">
                  <c:v>8.0680017471313477</c:v>
                </c:pt>
                <c:pt idx="25">
                  <c:v>8.6232414245605469</c:v>
                </c:pt>
                <c:pt idx="26">
                  <c:v>9.0473670959472656</c:v>
                </c:pt>
                <c:pt idx="27">
                  <c:v>9.3565444946289063</c:v>
                </c:pt>
                <c:pt idx="28">
                  <c:v>9.6104984283447266</c:v>
                </c:pt>
                <c:pt idx="29">
                  <c:v>9.8566989898681641</c:v>
                </c:pt>
                <c:pt idx="30">
                  <c:v>9.9269199371337891</c:v>
                </c:pt>
                <c:pt idx="31">
                  <c:v>9.9715356826782227</c:v>
                </c:pt>
                <c:pt idx="32">
                  <c:v>10.000836372375488</c:v>
                </c:pt>
                <c:pt idx="33">
                  <c:v>9.9766321182250977</c:v>
                </c:pt>
                <c:pt idx="34">
                  <c:v>9.908747673034668</c:v>
                </c:pt>
                <c:pt idx="35">
                  <c:v>9.8724946975708008</c:v>
                </c:pt>
                <c:pt idx="36">
                  <c:v>9.5947170257568359</c:v>
                </c:pt>
                <c:pt idx="37">
                  <c:v>9.457819938659668</c:v>
                </c:pt>
                <c:pt idx="38">
                  <c:v>9.1332759857177734</c:v>
                </c:pt>
                <c:pt idx="39">
                  <c:v>8.6199712753295898</c:v>
                </c:pt>
                <c:pt idx="40">
                  <c:v>7.7972230911254883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C66-456E-9FF0-DC31CCF46992}"/>
            </c:ext>
          </c:extLst>
        </c:ser>
        <c:ser>
          <c:idx val="19"/>
          <c:order val="19"/>
          <c:tx>
            <c:strRef>
              <c:f>Skymaps!$D$385</c:f>
              <c:strCache>
                <c:ptCount val="1"/>
                <c:pt idx="0">
                  <c:v>19000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Skymaps!$E$385:$BC$385</c:f>
              <c:numCache>
                <c:formatCode>General</c:formatCode>
                <c:ptCount val="51"/>
                <c:pt idx="21">
                  <c:v>4.2801752090454102</c:v>
                </c:pt>
                <c:pt idx="22">
                  <c:v>6.4285411834716797</c:v>
                </c:pt>
                <c:pt idx="23">
                  <c:v>7.3203868865966797</c:v>
                </c:pt>
                <c:pt idx="24">
                  <c:v>7.9446516036987305</c:v>
                </c:pt>
                <c:pt idx="25">
                  <c:v>8.471125602722168</c:v>
                </c:pt>
                <c:pt idx="26">
                  <c:v>8.9548254013061523</c:v>
                </c:pt>
                <c:pt idx="27">
                  <c:v>9.4007797241210938</c:v>
                </c:pt>
                <c:pt idx="28">
                  <c:v>9.7821111679077148</c:v>
                </c:pt>
                <c:pt idx="29">
                  <c:v>9.9348726272583008</c:v>
                </c:pt>
                <c:pt idx="30">
                  <c:v>10.029277801513672</c:v>
                </c:pt>
                <c:pt idx="31">
                  <c:v>10.176211357116699</c:v>
                </c:pt>
                <c:pt idx="32">
                  <c:v>10.069378852844238</c:v>
                </c:pt>
                <c:pt idx="33">
                  <c:v>10.204852104187012</c:v>
                </c:pt>
                <c:pt idx="34">
                  <c:v>10.092670440673828</c:v>
                </c:pt>
                <c:pt idx="35">
                  <c:v>10.083147048950195</c:v>
                </c:pt>
                <c:pt idx="36">
                  <c:v>9.9113569259643555</c:v>
                </c:pt>
                <c:pt idx="37">
                  <c:v>9.6032619476318359</c:v>
                </c:pt>
                <c:pt idx="38">
                  <c:v>9.36334228515625</c:v>
                </c:pt>
                <c:pt idx="39">
                  <c:v>8.8925609588623047</c:v>
                </c:pt>
                <c:pt idx="40">
                  <c:v>8.0892219543457031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C66-456E-9FF0-DC31CCF46992}"/>
            </c:ext>
          </c:extLst>
        </c:ser>
        <c:ser>
          <c:idx val="20"/>
          <c:order val="20"/>
          <c:tx>
            <c:strRef>
              <c:f>Skymaps!$D$386</c:f>
              <c:strCache>
                <c:ptCount val="1"/>
                <c:pt idx="0">
                  <c:v>20000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Skymaps!$E$386:$BC$386</c:f>
              <c:numCache>
                <c:formatCode>General</c:formatCode>
                <c:ptCount val="51"/>
                <c:pt idx="21">
                  <c:v>3.4561190605163574</c:v>
                </c:pt>
                <c:pt idx="22">
                  <c:v>5.6503758430480957</c:v>
                </c:pt>
                <c:pt idx="23">
                  <c:v>7.0509638786315918</c:v>
                </c:pt>
                <c:pt idx="24">
                  <c:v>7.7395596504211426</c:v>
                </c:pt>
                <c:pt idx="25">
                  <c:v>8.4032125473022461</c:v>
                </c:pt>
                <c:pt idx="26">
                  <c:v>8.9416389465332031</c:v>
                </c:pt>
                <c:pt idx="27">
                  <c:v>9.3500699996948242</c:v>
                </c:pt>
                <c:pt idx="28">
                  <c:v>9.6285600662231445</c:v>
                </c:pt>
                <c:pt idx="29">
                  <c:v>10.03902530670166</c:v>
                </c:pt>
                <c:pt idx="30">
                  <c:v>10.248512268066406</c:v>
                </c:pt>
                <c:pt idx="31">
                  <c:v>10.206673622131348</c:v>
                </c:pt>
                <c:pt idx="32">
                  <c:v>10.374549865722656</c:v>
                </c:pt>
                <c:pt idx="33">
                  <c:v>10.308540344238281</c:v>
                </c:pt>
                <c:pt idx="34">
                  <c:v>10.390420913696289</c:v>
                </c:pt>
                <c:pt idx="35">
                  <c:v>10.208056449890137</c:v>
                </c:pt>
                <c:pt idx="36">
                  <c:v>10.160341262817383</c:v>
                </c:pt>
                <c:pt idx="37">
                  <c:v>9.9515457153320313</c:v>
                </c:pt>
                <c:pt idx="38">
                  <c:v>9.5411090850830078</c:v>
                </c:pt>
                <c:pt idx="39">
                  <c:v>9.1191606521606445</c:v>
                </c:pt>
                <c:pt idx="40">
                  <c:v>8.3538951873779297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C66-456E-9FF0-DC31CCF46992}"/>
            </c:ext>
          </c:extLst>
        </c:ser>
        <c:ser>
          <c:idx val="21"/>
          <c:order val="21"/>
          <c:tx>
            <c:strRef>
              <c:f>Skymaps!$D$387</c:f>
              <c:strCache>
                <c:ptCount val="1"/>
                <c:pt idx="0">
                  <c:v>21000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Skymaps!$E$387:$BC$387</c:f>
              <c:numCache>
                <c:formatCode>General</c:formatCode>
                <c:ptCount val="51"/>
                <c:pt idx="22">
                  <c:v>4.696138858795166</c:v>
                </c:pt>
                <c:pt idx="23">
                  <c:v>6.7978610992431641</c:v>
                </c:pt>
                <c:pt idx="24">
                  <c:v>7.6501469612121582</c:v>
                </c:pt>
                <c:pt idx="25">
                  <c:v>8.2842264175415039</c:v>
                </c:pt>
                <c:pt idx="26">
                  <c:v>8.8219194412231445</c:v>
                </c:pt>
                <c:pt idx="27">
                  <c:v>9.3303813934326172</c:v>
                </c:pt>
                <c:pt idx="28">
                  <c:v>9.7663402557373047</c:v>
                </c:pt>
                <c:pt idx="29">
                  <c:v>10.110270500183105</c:v>
                </c:pt>
                <c:pt idx="30">
                  <c:v>10.24751091003418</c:v>
                </c:pt>
                <c:pt idx="31">
                  <c:v>10.455184936523438</c:v>
                </c:pt>
                <c:pt idx="32">
                  <c:v>10.502899169921875</c:v>
                </c:pt>
                <c:pt idx="33">
                  <c:v>10.531634330749512</c:v>
                </c:pt>
                <c:pt idx="34">
                  <c:v>10.553204536437988</c:v>
                </c:pt>
                <c:pt idx="35">
                  <c:v>10.553622245788574</c:v>
                </c:pt>
                <c:pt idx="36">
                  <c:v>10.321746826171875</c:v>
                </c:pt>
                <c:pt idx="37">
                  <c:v>10.228255271911621</c:v>
                </c:pt>
                <c:pt idx="38">
                  <c:v>9.8151426315307617</c:v>
                </c:pt>
                <c:pt idx="39">
                  <c:v>9.28936767578125</c:v>
                </c:pt>
                <c:pt idx="40">
                  <c:v>8.5677947998046875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C66-456E-9FF0-DC31CCF46992}"/>
            </c:ext>
          </c:extLst>
        </c:ser>
        <c:ser>
          <c:idx val="22"/>
          <c:order val="22"/>
          <c:tx>
            <c:strRef>
              <c:f>Skymaps!$D$388</c:f>
              <c:strCache>
                <c:ptCount val="1"/>
                <c:pt idx="0">
                  <c:v>22000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Skymaps!$E$388:$BC$388</c:f>
              <c:numCache>
                <c:formatCode>General</c:formatCode>
                <c:ptCount val="51"/>
                <c:pt idx="22">
                  <c:v>3.7904765605926514</c:v>
                </c:pt>
                <c:pt idx="23">
                  <c:v>6.0125212669372559</c:v>
                </c:pt>
                <c:pt idx="24">
                  <c:v>7.3580708503723145</c:v>
                </c:pt>
                <c:pt idx="25">
                  <c:v>8.020960807800293</c:v>
                </c:pt>
                <c:pt idx="26">
                  <c:v>8.6783037185668945</c:v>
                </c:pt>
                <c:pt idx="27">
                  <c:v>9.2186374664306641</c:v>
                </c:pt>
                <c:pt idx="28">
                  <c:v>9.6019859313964844</c:v>
                </c:pt>
                <c:pt idx="29">
                  <c:v>9.9852724075317383</c:v>
                </c:pt>
                <c:pt idx="30">
                  <c:v>10.452754020690918</c:v>
                </c:pt>
                <c:pt idx="31">
                  <c:v>10.586050987243652</c:v>
                </c:pt>
                <c:pt idx="32">
                  <c:v>10.605182647705078</c:v>
                </c:pt>
                <c:pt idx="33">
                  <c:v>10.752738952636719</c:v>
                </c:pt>
                <c:pt idx="34">
                  <c:v>10.663407325744629</c:v>
                </c:pt>
                <c:pt idx="35">
                  <c:v>10.77587890625</c:v>
                </c:pt>
                <c:pt idx="36">
                  <c:v>10.585345268249512</c:v>
                </c:pt>
                <c:pt idx="37">
                  <c:v>10.424264907836914</c:v>
                </c:pt>
                <c:pt idx="38">
                  <c:v>10.110156059265137</c:v>
                </c:pt>
                <c:pt idx="39">
                  <c:v>9.5335979461669922</c:v>
                </c:pt>
                <c:pt idx="40">
                  <c:v>8.7226324081420898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C66-456E-9FF0-DC31CCF46992}"/>
            </c:ext>
          </c:extLst>
        </c:ser>
        <c:ser>
          <c:idx val="23"/>
          <c:order val="23"/>
          <c:tx>
            <c:strRef>
              <c:f>Skymaps!$D$389</c:f>
              <c:strCache>
                <c:ptCount val="1"/>
                <c:pt idx="0">
                  <c:v>23000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Skymaps!$E$389:$BC$389</c:f>
              <c:numCache>
                <c:formatCode>General</c:formatCode>
                <c:ptCount val="51"/>
                <c:pt idx="23">
                  <c:v>5.0040230751037598</c:v>
                </c:pt>
                <c:pt idx="24">
                  <c:v>7.097813606262207</c:v>
                </c:pt>
                <c:pt idx="25">
                  <c:v>7.9524331092834473</c:v>
                </c:pt>
                <c:pt idx="26">
                  <c:v>8.6088600158691406</c:v>
                </c:pt>
                <c:pt idx="27">
                  <c:v>9.1691665649414063</c:v>
                </c:pt>
                <c:pt idx="28">
                  <c:v>9.690709114074707</c:v>
                </c:pt>
                <c:pt idx="29">
                  <c:v>10.095537185668945</c:v>
                </c:pt>
                <c:pt idx="30">
                  <c:v>10.383355140686035</c:v>
                </c:pt>
                <c:pt idx="31">
                  <c:v>10.64271354675293</c:v>
                </c:pt>
                <c:pt idx="32">
                  <c:v>10.858534812927246</c:v>
                </c:pt>
                <c:pt idx="33">
                  <c:v>10.780473709106445</c:v>
                </c:pt>
                <c:pt idx="34">
                  <c:v>10.968521118164063</c:v>
                </c:pt>
                <c:pt idx="35">
                  <c:v>10.853599548339844</c:v>
                </c:pt>
                <c:pt idx="36">
                  <c:v>10.86038875579834</c:v>
                </c:pt>
                <c:pt idx="37">
                  <c:v>10.613982200622559</c:v>
                </c:pt>
                <c:pt idx="38">
                  <c:v>10.323066711425781</c:v>
                </c:pt>
                <c:pt idx="39">
                  <c:v>9.8361473083496094</c:v>
                </c:pt>
                <c:pt idx="40">
                  <c:v>8.9010810852050781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C66-456E-9FF0-DC31CCF46992}"/>
            </c:ext>
          </c:extLst>
        </c:ser>
        <c:ser>
          <c:idx val="24"/>
          <c:order val="24"/>
          <c:tx>
            <c:strRef>
              <c:f>Skymaps!$D$390</c:f>
              <c:strCache>
                <c:ptCount val="1"/>
                <c:pt idx="0">
                  <c:v>24000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Skymaps!$E$390:$BC$390</c:f>
              <c:numCache>
                <c:formatCode>General</c:formatCode>
                <c:ptCount val="51"/>
                <c:pt idx="23">
                  <c:v>4.0310769081115723</c:v>
                </c:pt>
                <c:pt idx="24">
                  <c:v>6.2633705139160156</c:v>
                </c:pt>
                <c:pt idx="25">
                  <c:v>7.6757879257202148</c:v>
                </c:pt>
                <c:pt idx="26">
                  <c:v>8.2847042083740234</c:v>
                </c:pt>
                <c:pt idx="27">
                  <c:v>8.8874473571777344</c:v>
                </c:pt>
                <c:pt idx="28">
                  <c:v>9.4263191223144531</c:v>
                </c:pt>
                <c:pt idx="29">
                  <c:v>9.9348897933959961</c:v>
                </c:pt>
                <c:pt idx="30">
                  <c:v>10.434919357299805</c:v>
                </c:pt>
                <c:pt idx="31">
                  <c:v>10.777832984924316</c:v>
                </c:pt>
                <c:pt idx="32">
                  <c:v>10.870336532592773</c:v>
                </c:pt>
                <c:pt idx="33">
                  <c:v>11.08154296875</c:v>
                </c:pt>
                <c:pt idx="34">
                  <c:v>11.080709457397461</c:v>
                </c:pt>
                <c:pt idx="35">
                  <c:v>11.16525936126709</c:v>
                </c:pt>
                <c:pt idx="36">
                  <c:v>10.993967056274414</c:v>
                </c:pt>
                <c:pt idx="37">
                  <c:v>10.934369087219238</c:v>
                </c:pt>
                <c:pt idx="38">
                  <c:v>10.455811500549316</c:v>
                </c:pt>
                <c:pt idx="39">
                  <c:v>10.051815032958984</c:v>
                </c:pt>
                <c:pt idx="40">
                  <c:v>9.1891460418701172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C66-456E-9FF0-DC31CCF46992}"/>
            </c:ext>
          </c:extLst>
        </c:ser>
        <c:ser>
          <c:idx val="25"/>
          <c:order val="25"/>
          <c:tx>
            <c:strRef>
              <c:f>Skymaps!$D$391</c:f>
              <c:strCache>
                <c:ptCount val="1"/>
                <c:pt idx="0">
                  <c:v>25000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Skymaps!$E$391:$BC$391</c:f>
              <c:numCache>
                <c:formatCode>General</c:formatCode>
                <c:ptCount val="51"/>
                <c:pt idx="24">
                  <c:v>5.1933932304382324</c:v>
                </c:pt>
                <c:pt idx="25">
                  <c:v>7.3156161308288574</c:v>
                </c:pt>
                <c:pt idx="26">
                  <c:v>8.1922245025634766</c:v>
                </c:pt>
                <c:pt idx="27">
                  <c:v>8.9009819030761719</c:v>
                </c:pt>
                <c:pt idx="28">
                  <c:v>9.4778842926025391</c:v>
                </c:pt>
                <c:pt idx="29">
                  <c:v>9.9996433258056641</c:v>
                </c:pt>
                <c:pt idx="30">
                  <c:v>10.374731063842773</c:v>
                </c:pt>
                <c:pt idx="31">
                  <c:v>10.61390495300293</c:v>
                </c:pt>
                <c:pt idx="32">
                  <c:v>11.071882247924805</c:v>
                </c:pt>
                <c:pt idx="33">
                  <c:v>11.205621719360352</c:v>
                </c:pt>
                <c:pt idx="34">
                  <c:v>11.270721435546875</c:v>
                </c:pt>
                <c:pt idx="35">
                  <c:v>11.369985580444336</c:v>
                </c:pt>
                <c:pt idx="36">
                  <c:v>11.240959167480469</c:v>
                </c:pt>
                <c:pt idx="37">
                  <c:v>11.120273590087891</c:v>
                </c:pt>
                <c:pt idx="38">
                  <c:v>10.81767463684082</c:v>
                </c:pt>
                <c:pt idx="39">
                  <c:v>10.165580749511719</c:v>
                </c:pt>
                <c:pt idx="40">
                  <c:v>9.377955436706543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C66-456E-9FF0-DC31CCF46992}"/>
            </c:ext>
          </c:extLst>
        </c:ser>
        <c:ser>
          <c:idx val="26"/>
          <c:order val="26"/>
          <c:tx>
            <c:strRef>
              <c:f>Skymaps!$D$392</c:f>
              <c:strCache>
                <c:ptCount val="1"/>
                <c:pt idx="0">
                  <c:v>26000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Skymaps!$E$392:$BC$392</c:f>
              <c:numCache>
                <c:formatCode>General</c:formatCode>
                <c:ptCount val="51"/>
                <c:pt idx="24">
                  <c:v>4.1655468940734863</c:v>
                </c:pt>
                <c:pt idx="25">
                  <c:v>6.3673844337463379</c:v>
                </c:pt>
                <c:pt idx="26">
                  <c:v>7.9662151336669922</c:v>
                </c:pt>
                <c:pt idx="27">
                  <c:v>8.658116340637207</c:v>
                </c:pt>
                <c:pt idx="28">
                  <c:v>9.2364988327026367</c:v>
                </c:pt>
                <c:pt idx="29">
                  <c:v>9.8079051971435547</c:v>
                </c:pt>
                <c:pt idx="30">
                  <c:v>10.378656387329102</c:v>
                </c:pt>
                <c:pt idx="31">
                  <c:v>10.786759376525879</c:v>
                </c:pt>
                <c:pt idx="32">
                  <c:v>10.993980407714844</c:v>
                </c:pt>
                <c:pt idx="33">
                  <c:v>11.287262916564941</c:v>
                </c:pt>
                <c:pt idx="34">
                  <c:v>11.495090484619141</c:v>
                </c:pt>
                <c:pt idx="35">
                  <c:v>11.438078880310059</c:v>
                </c:pt>
                <c:pt idx="36">
                  <c:v>11.510491371154785</c:v>
                </c:pt>
                <c:pt idx="37">
                  <c:v>11.310158729553223</c:v>
                </c:pt>
                <c:pt idx="38">
                  <c:v>11.055248260498047</c:v>
                </c:pt>
                <c:pt idx="39">
                  <c:v>10.506533622741699</c:v>
                </c:pt>
                <c:pt idx="40">
                  <c:v>9.4508781433105469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C66-456E-9FF0-DC31CCF46992}"/>
            </c:ext>
          </c:extLst>
        </c:ser>
        <c:ser>
          <c:idx val="27"/>
          <c:order val="27"/>
          <c:tx>
            <c:strRef>
              <c:f>Skymaps!$D$393</c:f>
              <c:strCache>
                <c:ptCount val="1"/>
                <c:pt idx="0">
                  <c:v>27000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Skymaps!$E$393:$BC$393</c:f>
              <c:numCache>
                <c:formatCode>General</c:formatCode>
                <c:ptCount val="51"/>
                <c:pt idx="25">
                  <c:v>5.2157750129699707</c:v>
                </c:pt>
                <c:pt idx="26">
                  <c:v>7.430910587310791</c:v>
                </c:pt>
                <c:pt idx="27">
                  <c:v>8.3330068588256836</c:v>
                </c:pt>
                <c:pt idx="28">
                  <c:v>9.1024932861328125</c:v>
                </c:pt>
                <c:pt idx="29">
                  <c:v>9.6799259185791016</c:v>
                </c:pt>
                <c:pt idx="30">
                  <c:v>10.16502571105957</c:v>
                </c:pt>
                <c:pt idx="31">
                  <c:v>10.580574989318848</c:v>
                </c:pt>
                <c:pt idx="32">
                  <c:v>11.09025764465332</c:v>
                </c:pt>
                <c:pt idx="33">
                  <c:v>11.380283355712891</c:v>
                </c:pt>
                <c:pt idx="34">
                  <c:v>11.451312065124512</c:v>
                </c:pt>
                <c:pt idx="35">
                  <c:v>11.748774528503418</c:v>
                </c:pt>
                <c:pt idx="36">
                  <c:v>11.576106071472168</c:v>
                </c:pt>
                <c:pt idx="37">
                  <c:v>11.636919975280762</c:v>
                </c:pt>
                <c:pt idx="38">
                  <c:v>11.13947868347168</c:v>
                </c:pt>
                <c:pt idx="39">
                  <c:v>10.741021156311035</c:v>
                </c:pt>
                <c:pt idx="40">
                  <c:v>9.7082729339599609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5C66-456E-9FF0-DC31CCF46992}"/>
            </c:ext>
          </c:extLst>
        </c:ser>
        <c:ser>
          <c:idx val="28"/>
          <c:order val="28"/>
          <c:tx>
            <c:strRef>
              <c:f>Skymaps!$D$394</c:f>
              <c:strCache>
                <c:ptCount val="1"/>
                <c:pt idx="0">
                  <c:v>28000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Skymaps!$E$394:$BC$394</c:f>
              <c:numCache>
                <c:formatCode>General</c:formatCode>
                <c:ptCount val="51"/>
                <c:pt idx="25">
                  <c:v>4.1468243598937988</c:v>
                </c:pt>
                <c:pt idx="26">
                  <c:v>6.349489688873291</c:v>
                </c:pt>
                <c:pt idx="27">
                  <c:v>8.1859703063964844</c:v>
                </c:pt>
                <c:pt idx="28">
                  <c:v>8.9561290740966797</c:v>
                </c:pt>
                <c:pt idx="29">
                  <c:v>9.5989084243774414</c:v>
                </c:pt>
                <c:pt idx="30">
                  <c:v>10.171530723571777</c:v>
                </c:pt>
                <c:pt idx="31">
                  <c:v>10.657871246337891</c:v>
                </c:pt>
                <c:pt idx="32">
                  <c:v>10.99610710144043</c:v>
                </c:pt>
                <c:pt idx="33">
                  <c:v>11.313176155090332</c:v>
                </c:pt>
                <c:pt idx="34">
                  <c:v>11.701497077941895</c:v>
                </c:pt>
                <c:pt idx="35">
                  <c:v>11.77109432220459</c:v>
                </c:pt>
                <c:pt idx="36">
                  <c:v>11.868928909301758</c:v>
                </c:pt>
                <c:pt idx="37">
                  <c:v>11.761475563049316</c:v>
                </c:pt>
                <c:pt idx="38">
                  <c:v>11.503544807434082</c:v>
                </c:pt>
                <c:pt idx="39">
                  <c:v>10.818079948425293</c:v>
                </c:pt>
                <c:pt idx="40">
                  <c:v>9.8892631530761719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C66-456E-9FF0-DC31CCF46992}"/>
            </c:ext>
          </c:extLst>
        </c:ser>
        <c:ser>
          <c:idx val="29"/>
          <c:order val="29"/>
          <c:tx>
            <c:strRef>
              <c:f>Skymaps!$D$395</c:f>
              <c:strCache>
                <c:ptCount val="1"/>
                <c:pt idx="0">
                  <c:v>29000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Skymaps!$E$395:$BC$395</c:f>
              <c:numCache>
                <c:formatCode>General</c:formatCode>
                <c:ptCount val="51"/>
                <c:pt idx="26">
                  <c:v>5.1364364624023438</c:v>
                </c:pt>
                <c:pt idx="27">
                  <c:v>7.4040384292602539</c:v>
                </c:pt>
                <c:pt idx="28">
                  <c:v>8.5678472518920898</c:v>
                </c:pt>
                <c:pt idx="29">
                  <c:v>9.252263069152832</c:v>
                </c:pt>
                <c:pt idx="30">
                  <c:v>9.8673429489135742</c:v>
                </c:pt>
                <c:pt idx="31">
                  <c:v>10.455791473388672</c:v>
                </c:pt>
                <c:pt idx="32">
                  <c:v>11.019118309020996</c:v>
                </c:pt>
                <c:pt idx="33">
                  <c:v>11.413966178894043</c:v>
                </c:pt>
                <c:pt idx="34">
                  <c:v>11.507050514221191</c:v>
                </c:pt>
                <c:pt idx="35">
                  <c:v>11.99130916595459</c:v>
                </c:pt>
                <c:pt idx="36">
                  <c:v>11.978689193725586</c:v>
                </c:pt>
                <c:pt idx="37">
                  <c:v>11.975656509399414</c:v>
                </c:pt>
                <c:pt idx="38">
                  <c:v>11.664108276367188</c:v>
                </c:pt>
                <c:pt idx="39">
                  <c:v>11.149996757507324</c:v>
                </c:pt>
                <c:pt idx="40">
                  <c:v>9.8726606369018555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C66-456E-9FF0-DC31CCF46992}"/>
            </c:ext>
          </c:extLst>
        </c:ser>
        <c:ser>
          <c:idx val="30"/>
          <c:order val="30"/>
          <c:tx>
            <c:strRef>
              <c:f>Skymaps!$D$396</c:f>
              <c:strCache>
                <c:ptCount val="1"/>
                <c:pt idx="0">
                  <c:v>30000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Skymaps!$E$396:$BC$396</c:f>
              <c:numCache>
                <c:formatCode>General</c:formatCode>
                <c:ptCount val="51"/>
                <c:pt idx="27">
                  <c:v>6.1796684265136719</c:v>
                </c:pt>
                <c:pt idx="28">
                  <c:v>8.2588825225830078</c:v>
                </c:pt>
                <c:pt idx="29">
                  <c:v>9.0845193862915039</c:v>
                </c:pt>
                <c:pt idx="30">
                  <c:v>9.7945852279663086</c:v>
                </c:pt>
                <c:pt idx="31">
                  <c:v>10.32642650604248</c:v>
                </c:pt>
                <c:pt idx="32">
                  <c:v>10.725046157836914</c:v>
                </c:pt>
                <c:pt idx="33">
                  <c:v>11.283214569091797</c:v>
                </c:pt>
                <c:pt idx="34">
                  <c:v>11.768500328063965</c:v>
                </c:pt>
                <c:pt idx="35">
                  <c:v>11.969242095947266</c:v>
                </c:pt>
                <c:pt idx="36">
                  <c:v>12.105060577392578</c:v>
                </c:pt>
                <c:pt idx="37">
                  <c:v>12.160564422607422</c:v>
                </c:pt>
                <c:pt idx="38">
                  <c:v>11.807765007019043</c:v>
                </c:pt>
                <c:pt idx="39">
                  <c:v>11.312771797180176</c:v>
                </c:pt>
                <c:pt idx="40">
                  <c:v>10.095621109008789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5C66-456E-9FF0-DC31CCF46992}"/>
            </c:ext>
          </c:extLst>
        </c:ser>
        <c:ser>
          <c:idx val="31"/>
          <c:order val="31"/>
          <c:tx>
            <c:strRef>
              <c:f>Skymaps!$D$397</c:f>
              <c:strCache>
                <c:ptCount val="1"/>
                <c:pt idx="0">
                  <c:v>31000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Skymaps!$E$397:$BC$397</c:f>
              <c:numCache>
                <c:formatCode>General</c:formatCode>
                <c:ptCount val="51"/>
                <c:pt idx="27">
                  <c:v>4.9290246963500977</c:v>
                </c:pt>
                <c:pt idx="28">
                  <c:v>7.1950058937072754</c:v>
                </c:pt>
                <c:pt idx="29">
                  <c:v>8.8446292877197266</c:v>
                </c:pt>
                <c:pt idx="30">
                  <c:v>9.6059484481811523</c:v>
                </c:pt>
                <c:pt idx="31">
                  <c:v>10.232254028320313</c:v>
                </c:pt>
                <c:pt idx="32">
                  <c:v>10.778451919555664</c:v>
                </c:pt>
                <c:pt idx="33">
                  <c:v>11.217656135559082</c:v>
                </c:pt>
                <c:pt idx="34">
                  <c:v>11.502958297729492</c:v>
                </c:pt>
                <c:pt idx="35">
                  <c:v>12.065967559814453</c:v>
                </c:pt>
                <c:pt idx="36">
                  <c:v>12.196605682373047</c:v>
                </c:pt>
                <c:pt idx="37">
                  <c:v>12.201930999755859</c:v>
                </c:pt>
                <c:pt idx="38">
                  <c:v>12.042640686035156</c:v>
                </c:pt>
                <c:pt idx="39">
                  <c:v>11.404441833496094</c:v>
                </c:pt>
                <c:pt idx="40">
                  <c:v>10.189984321594238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5C66-456E-9FF0-DC31CCF46992}"/>
            </c:ext>
          </c:extLst>
        </c:ser>
        <c:ser>
          <c:idx val="32"/>
          <c:order val="32"/>
          <c:tx>
            <c:strRef>
              <c:f>Skymaps!$D$398</c:f>
              <c:strCache>
                <c:ptCount val="1"/>
                <c:pt idx="0">
                  <c:v>32000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Skymaps!$E$398:$BC$398</c:f>
              <c:numCache>
                <c:formatCode>General</c:formatCode>
                <c:ptCount val="51"/>
                <c:pt idx="28">
                  <c:v>5.8551778793334961</c:v>
                </c:pt>
                <c:pt idx="29">
                  <c:v>8.1015253067016602</c:v>
                </c:pt>
                <c:pt idx="30">
                  <c:v>9.1695985794067383</c:v>
                </c:pt>
                <c:pt idx="31">
                  <c:v>9.8912458419799805</c:v>
                </c:pt>
                <c:pt idx="32">
                  <c:v>10.519550323486328</c:v>
                </c:pt>
                <c:pt idx="33">
                  <c:v>11.120962142944336</c:v>
                </c:pt>
                <c:pt idx="34">
                  <c:v>11.626750946044922</c:v>
                </c:pt>
                <c:pt idx="35">
                  <c:v>11.923530578613281</c:v>
                </c:pt>
                <c:pt idx="36">
                  <c:v>12.145669937133789</c:v>
                </c:pt>
                <c:pt idx="37">
                  <c:v>12.390878677368164</c:v>
                </c:pt>
                <c:pt idx="38">
                  <c:v>11.92380428314209</c:v>
                </c:pt>
                <c:pt idx="39">
                  <c:v>11.584145545959473</c:v>
                </c:pt>
                <c:pt idx="40">
                  <c:v>10.130313873291016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5C66-456E-9FF0-DC31CCF46992}"/>
            </c:ext>
          </c:extLst>
        </c:ser>
        <c:ser>
          <c:idx val="33"/>
          <c:order val="33"/>
          <c:tx>
            <c:strRef>
              <c:f>Skymaps!$D$399</c:f>
              <c:strCache>
                <c:ptCount val="1"/>
                <c:pt idx="0">
                  <c:v>33000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Skymaps!$E$399:$BC$399</c:f>
              <c:numCache>
                <c:formatCode>General</c:formatCode>
                <c:ptCount val="51"/>
                <c:pt idx="29">
                  <c:v>6.7854194641113281</c:v>
                </c:pt>
                <c:pt idx="30">
                  <c:v>8.8570671081542969</c:v>
                </c:pt>
                <c:pt idx="31">
                  <c:v>9.6047658920288086</c:v>
                </c:pt>
                <c:pt idx="32">
                  <c:v>10.283787727355957</c:v>
                </c:pt>
                <c:pt idx="33">
                  <c:v>10.773064613342285</c:v>
                </c:pt>
                <c:pt idx="34">
                  <c:v>11.384744644165039</c:v>
                </c:pt>
                <c:pt idx="35">
                  <c:v>11.977390289306641</c:v>
                </c:pt>
                <c:pt idx="36">
                  <c:v>12.14478588104248</c:v>
                </c:pt>
                <c:pt idx="37">
                  <c:v>12.206989288330078</c:v>
                </c:pt>
                <c:pt idx="38">
                  <c:v>12.152060508728027</c:v>
                </c:pt>
                <c:pt idx="39">
                  <c:v>11.343813896179199</c:v>
                </c:pt>
                <c:pt idx="40">
                  <c:v>10.258671760559082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C66-456E-9FF0-DC31CCF46992}"/>
            </c:ext>
          </c:extLst>
        </c:ser>
        <c:ser>
          <c:idx val="34"/>
          <c:order val="34"/>
          <c:tx>
            <c:strRef>
              <c:f>Skymaps!$D$400</c:f>
              <c:strCache>
                <c:ptCount val="1"/>
                <c:pt idx="0">
                  <c:v>34000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Skymaps!$E$400:$BC$400</c:f>
              <c:numCache>
                <c:formatCode>General</c:formatCode>
                <c:ptCount val="51"/>
                <c:pt idx="30">
                  <c:v>7.7040905952453613</c:v>
                </c:pt>
                <c:pt idx="31">
                  <c:v>9.3922767639160156</c:v>
                </c:pt>
                <c:pt idx="32">
                  <c:v>10.126974105834961</c:v>
                </c:pt>
                <c:pt idx="33">
                  <c:v>10.75670051574707</c:v>
                </c:pt>
                <c:pt idx="34">
                  <c:v>11.256728172302246</c:v>
                </c:pt>
                <c:pt idx="35">
                  <c:v>11.604554176330566</c:v>
                </c:pt>
                <c:pt idx="36">
                  <c:v>12.063188552856445</c:v>
                </c:pt>
                <c:pt idx="37">
                  <c:v>12.32325267791748</c:v>
                </c:pt>
                <c:pt idx="38">
                  <c:v>11.854239463806152</c:v>
                </c:pt>
                <c:pt idx="39">
                  <c:v>11.567414283752441</c:v>
                </c:pt>
                <c:pt idx="40">
                  <c:v>9.9072322845458984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C66-456E-9FF0-DC31CCF46992}"/>
            </c:ext>
          </c:extLst>
        </c:ser>
        <c:ser>
          <c:idx val="35"/>
          <c:order val="35"/>
          <c:tx>
            <c:strRef>
              <c:f>Skymaps!$D$401</c:f>
              <c:strCache>
                <c:ptCount val="1"/>
                <c:pt idx="0">
                  <c:v>35000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Skymaps!$E$401:$BC$401</c:f>
              <c:numCache>
                <c:formatCode>General</c:formatCode>
                <c:ptCount val="51"/>
                <c:pt idx="31">
                  <c:v>8.4837017059326172</c:v>
                </c:pt>
                <c:pt idx="32">
                  <c:v>9.7645654678344727</c:v>
                </c:pt>
                <c:pt idx="33">
                  <c:v>10.513935089111328</c:v>
                </c:pt>
                <c:pt idx="34">
                  <c:v>11.141558647155762</c:v>
                </c:pt>
                <c:pt idx="35">
                  <c:v>11.666187286376953</c:v>
                </c:pt>
                <c:pt idx="36">
                  <c:v>11.823408126831055</c:v>
                </c:pt>
                <c:pt idx="37">
                  <c:v>12.125164031982422</c:v>
                </c:pt>
                <c:pt idx="38">
                  <c:v>12.024526596069336</c:v>
                </c:pt>
                <c:pt idx="39">
                  <c:v>11.207461357116699</c:v>
                </c:pt>
                <c:pt idx="40">
                  <c:v>10.052777290344238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5C66-456E-9FF0-DC31CCF46992}"/>
            </c:ext>
          </c:extLst>
        </c:ser>
        <c:ser>
          <c:idx val="36"/>
          <c:order val="36"/>
          <c:tx>
            <c:strRef>
              <c:f>Skymaps!$D$402</c:f>
              <c:strCache>
                <c:ptCount val="1"/>
                <c:pt idx="0">
                  <c:v>36000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Skymaps!$E$402:$BC$402</c:f>
              <c:numCache>
                <c:formatCode>General</c:formatCode>
                <c:ptCount val="51"/>
                <c:pt idx="33">
                  <c:v>10.007182121276855</c:v>
                </c:pt>
                <c:pt idx="34">
                  <c:v>10.79224681854248</c:v>
                </c:pt>
                <c:pt idx="35">
                  <c:v>11.452120780944824</c:v>
                </c:pt>
                <c:pt idx="36">
                  <c:v>11.768396377563477</c:v>
                </c:pt>
                <c:pt idx="37">
                  <c:v>12.006195068359375</c:v>
                </c:pt>
                <c:pt idx="38">
                  <c:v>11.72642993927002</c:v>
                </c:pt>
                <c:pt idx="39">
                  <c:v>11.347756385803223</c:v>
                </c:pt>
                <c:pt idx="40">
                  <c:v>9.7359828948974609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5C66-456E-9FF0-DC31CCF46992}"/>
            </c:ext>
          </c:extLst>
        </c:ser>
        <c:ser>
          <c:idx val="37"/>
          <c:order val="37"/>
          <c:tx>
            <c:strRef>
              <c:f>Skymaps!$D$403</c:f>
              <c:strCache>
                <c:ptCount val="1"/>
                <c:pt idx="0">
                  <c:v>37000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Skymaps!$E$403:$BC$403</c:f>
              <c:numCache>
                <c:formatCode>General</c:formatCode>
                <c:ptCount val="51"/>
                <c:pt idx="35">
                  <c:v>11.008445739746094</c:v>
                </c:pt>
                <c:pt idx="36">
                  <c:v>11.418057441711426</c:v>
                </c:pt>
                <c:pt idx="37">
                  <c:v>11.830839157104492</c:v>
                </c:pt>
                <c:pt idx="38">
                  <c:v>11.643525123596191</c:v>
                </c:pt>
                <c:pt idx="39">
                  <c:v>11.000652313232422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5C66-456E-9FF0-DC31CCF46992}"/>
            </c:ext>
          </c:extLst>
        </c:ser>
        <c:ser>
          <c:idx val="38"/>
          <c:order val="38"/>
          <c:tx>
            <c:strRef>
              <c:f>Skymaps!$D$404</c:f>
              <c:strCache>
                <c:ptCount val="1"/>
                <c:pt idx="0">
                  <c:v>38000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Skymaps!$E$404:$BC$404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6-5C66-456E-9FF0-DC31CCF46992}"/>
            </c:ext>
          </c:extLst>
        </c:ser>
        <c:ser>
          <c:idx val="39"/>
          <c:order val="39"/>
          <c:tx>
            <c:strRef>
              <c:f>Skymaps!$D$405</c:f>
              <c:strCache>
                <c:ptCount val="1"/>
                <c:pt idx="0">
                  <c:v>39000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Skymaps!$E$405:$BC$405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5C66-456E-9FF0-DC31CCF46992}"/>
            </c:ext>
          </c:extLst>
        </c:ser>
        <c:ser>
          <c:idx val="40"/>
          <c:order val="40"/>
          <c:tx>
            <c:strRef>
              <c:f>Skymaps!$D$406</c:f>
              <c:strCache>
                <c:ptCount val="1"/>
                <c:pt idx="0">
                  <c:v>40000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Skymaps!$E$406:$BC$406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5C66-456E-9FF0-DC31CCF46992}"/>
            </c:ext>
          </c:extLst>
        </c:ser>
        <c:ser>
          <c:idx val="41"/>
          <c:order val="41"/>
          <c:tx>
            <c:strRef>
              <c:f>Skymaps!$D$407</c:f>
              <c:strCache>
                <c:ptCount val="1"/>
                <c:pt idx="0">
                  <c:v>41000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Skymaps!$E$407:$BC$407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5C66-456E-9FF0-DC31CCF46992}"/>
            </c:ext>
          </c:extLst>
        </c:ser>
        <c:ser>
          <c:idx val="42"/>
          <c:order val="42"/>
          <c:tx>
            <c:strRef>
              <c:f>Skymaps!$D$408</c:f>
              <c:strCache>
                <c:ptCount val="1"/>
                <c:pt idx="0">
                  <c:v>42000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Skymaps!$E$408:$BC$408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5C66-456E-9FF0-DC31CCF46992}"/>
            </c:ext>
          </c:extLst>
        </c:ser>
        <c:ser>
          <c:idx val="43"/>
          <c:order val="43"/>
          <c:tx>
            <c:strRef>
              <c:f>Skymaps!$D$409</c:f>
              <c:strCache>
                <c:ptCount val="1"/>
                <c:pt idx="0">
                  <c:v>43000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Skymaps!$E$409:$BC$409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5C66-456E-9FF0-DC31CCF46992}"/>
            </c:ext>
          </c:extLst>
        </c:ser>
        <c:ser>
          <c:idx val="44"/>
          <c:order val="44"/>
          <c:tx>
            <c:strRef>
              <c:f>Skymaps!$D$410</c:f>
              <c:strCache>
                <c:ptCount val="1"/>
                <c:pt idx="0">
                  <c:v>44000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Skymaps!$E$410:$BC$410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5C66-456E-9FF0-DC31CCF46992}"/>
            </c:ext>
          </c:extLst>
        </c:ser>
        <c:ser>
          <c:idx val="45"/>
          <c:order val="45"/>
          <c:tx>
            <c:strRef>
              <c:f>Skymaps!$D$411</c:f>
              <c:strCache>
                <c:ptCount val="1"/>
                <c:pt idx="0">
                  <c:v>45000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Skymaps!$E$411:$BC$411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5C66-456E-9FF0-DC31CCF46992}"/>
            </c:ext>
          </c:extLst>
        </c:ser>
        <c:ser>
          <c:idx val="46"/>
          <c:order val="46"/>
          <c:tx>
            <c:strRef>
              <c:f>Skymaps!$D$412</c:f>
              <c:strCache>
                <c:ptCount val="1"/>
                <c:pt idx="0">
                  <c:v>46000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Skymaps!$E$412:$BC$412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5C66-456E-9FF0-DC31CCF46992}"/>
            </c:ext>
          </c:extLst>
        </c:ser>
        <c:ser>
          <c:idx val="47"/>
          <c:order val="47"/>
          <c:tx>
            <c:strRef>
              <c:f>Skymaps!$D$413</c:f>
              <c:strCache>
                <c:ptCount val="1"/>
                <c:pt idx="0">
                  <c:v>47000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Skymaps!$E$413:$BC$413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5C66-456E-9FF0-DC31CCF46992}"/>
            </c:ext>
          </c:extLst>
        </c:ser>
        <c:ser>
          <c:idx val="48"/>
          <c:order val="48"/>
          <c:tx>
            <c:strRef>
              <c:f>Skymaps!$D$414</c:f>
              <c:strCache>
                <c:ptCount val="1"/>
                <c:pt idx="0">
                  <c:v>48000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Skymaps!$E$414:$BC$414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5C66-456E-9FF0-DC31CCF46992}"/>
            </c:ext>
          </c:extLst>
        </c:ser>
        <c:ser>
          <c:idx val="49"/>
          <c:order val="49"/>
          <c:tx>
            <c:strRef>
              <c:f>Skymaps!$D$415</c:f>
              <c:strCache>
                <c:ptCount val="1"/>
                <c:pt idx="0">
                  <c:v>49000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Skymaps!$E$415:$BC$415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5C66-456E-9FF0-DC31CCF46992}"/>
            </c:ext>
          </c:extLst>
        </c:ser>
        <c:ser>
          <c:idx val="50"/>
          <c:order val="50"/>
          <c:tx>
            <c:strRef>
              <c:f>Skymaps!$D$416</c:f>
              <c:strCache>
                <c:ptCount val="1"/>
                <c:pt idx="0">
                  <c:v>50000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Skymaps!$E$416:$BC$416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5C66-456E-9FF0-DC31CCF46992}"/>
            </c:ext>
          </c:extLst>
        </c:ser>
        <c:bandFmts>
          <c:bandFmt>
            <c:idx val="51"/>
            <c:spPr>
              <a:ln w="9525" cap="rnd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bandFmt>
        </c:bandFmts>
        <c:axId val="586228728"/>
        <c:axId val="586232336"/>
        <c:axId val="302067968"/>
      </c:surfaceChart>
      <c:catAx>
        <c:axId val="586228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32336"/>
        <c:crosses val="autoZero"/>
        <c:auto val="1"/>
        <c:lblAlgn val="ctr"/>
        <c:lblOffset val="100"/>
        <c:noMultiLvlLbl val="0"/>
      </c:catAx>
      <c:valAx>
        <c:axId val="58623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28728"/>
        <c:crosses val="autoZero"/>
        <c:crossBetween val="midCat"/>
        <c:majorUnit val="1"/>
      </c:valAx>
      <c:serAx>
        <c:axId val="3020679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32336"/>
        <c:crosses val="autoZero"/>
      </c:ser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Skymaps!$D$418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Skymaps!$E$418:$BC$418</c:f>
              <c:numCache>
                <c:formatCode>General</c:formatCode>
                <c:ptCount val="51"/>
                <c:pt idx="13">
                  <c:v>0.93727397918701172</c:v>
                </c:pt>
                <c:pt idx="14">
                  <c:v>0.85237693786621094</c:v>
                </c:pt>
                <c:pt idx="15">
                  <c:v>0.67616868019104004</c:v>
                </c:pt>
                <c:pt idx="16">
                  <c:v>0.56118756532669067</c:v>
                </c:pt>
                <c:pt idx="17">
                  <c:v>0.48347657918930054</c:v>
                </c:pt>
                <c:pt idx="18">
                  <c:v>0.41432619094848633</c:v>
                </c:pt>
                <c:pt idx="19">
                  <c:v>0.35230234265327454</c:v>
                </c:pt>
                <c:pt idx="20">
                  <c:v>0.29155600070953369</c:v>
                </c:pt>
                <c:pt idx="21">
                  <c:v>0.25154390931129456</c:v>
                </c:pt>
                <c:pt idx="22">
                  <c:v>0.20979300141334534</c:v>
                </c:pt>
                <c:pt idx="23">
                  <c:v>0.16740474104881287</c:v>
                </c:pt>
                <c:pt idx="24">
                  <c:v>0.1413666158914566</c:v>
                </c:pt>
                <c:pt idx="25">
                  <c:v>0.11389292031526566</c:v>
                </c:pt>
                <c:pt idx="26">
                  <c:v>9.5433466136455536E-2</c:v>
                </c:pt>
                <c:pt idx="27">
                  <c:v>7.0783115923404694E-2</c:v>
                </c:pt>
                <c:pt idx="28">
                  <c:v>6.2827736139297485E-2</c:v>
                </c:pt>
                <c:pt idx="29">
                  <c:v>4.8476859927177429E-2</c:v>
                </c:pt>
                <c:pt idx="30">
                  <c:v>3.9291944354772568E-2</c:v>
                </c:pt>
                <c:pt idx="31">
                  <c:v>3.2394178211688995E-2</c:v>
                </c:pt>
                <c:pt idx="32">
                  <c:v>3.2415192574262619E-2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63-4932-BB7D-B2FA29387183}"/>
            </c:ext>
          </c:extLst>
        </c:ser>
        <c:ser>
          <c:idx val="1"/>
          <c:order val="1"/>
          <c:tx>
            <c:strRef>
              <c:f>Skymaps!$D$419</c:f>
              <c:strCache>
                <c:ptCount val="1"/>
                <c:pt idx="0">
                  <c:v>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Skymaps!$E$419:$BC$419</c:f>
              <c:numCache>
                <c:formatCode>General</c:formatCode>
                <c:ptCount val="51"/>
                <c:pt idx="14">
                  <c:v>0.88164085149765015</c:v>
                </c:pt>
                <c:pt idx="15">
                  <c:v>0.73037475347518921</c:v>
                </c:pt>
                <c:pt idx="16">
                  <c:v>0.59528166055679321</c:v>
                </c:pt>
                <c:pt idx="17">
                  <c:v>0.51130771636962891</c:v>
                </c:pt>
                <c:pt idx="18">
                  <c:v>0.43291002511978149</c:v>
                </c:pt>
                <c:pt idx="19">
                  <c:v>0.3659379780292511</c:v>
                </c:pt>
                <c:pt idx="20">
                  <c:v>0.30624464154243469</c:v>
                </c:pt>
                <c:pt idx="21">
                  <c:v>0.26012265682220459</c:v>
                </c:pt>
                <c:pt idx="22">
                  <c:v>0.21868327260017395</c:v>
                </c:pt>
                <c:pt idx="23">
                  <c:v>0.18581046164035797</c:v>
                </c:pt>
                <c:pt idx="24">
                  <c:v>0.15700419247150421</c:v>
                </c:pt>
                <c:pt idx="25">
                  <c:v>0.12379831820726395</c:v>
                </c:pt>
                <c:pt idx="26">
                  <c:v>0.10914628952741623</c:v>
                </c:pt>
                <c:pt idx="27">
                  <c:v>8.0394618213176727E-2</c:v>
                </c:pt>
                <c:pt idx="28">
                  <c:v>6.4926750957965851E-2</c:v>
                </c:pt>
                <c:pt idx="29">
                  <c:v>5.5822379887104034E-2</c:v>
                </c:pt>
                <c:pt idx="30">
                  <c:v>4.3468575924634933E-2</c:v>
                </c:pt>
                <c:pt idx="31">
                  <c:v>3.3885922282934189E-2</c:v>
                </c:pt>
                <c:pt idx="32">
                  <c:v>3.4682102501392365E-2</c:v>
                </c:pt>
                <c:pt idx="33">
                  <c:v>3.0700245872139931E-2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63-4932-BB7D-B2FA29387183}"/>
            </c:ext>
          </c:extLst>
        </c:ser>
        <c:ser>
          <c:idx val="2"/>
          <c:order val="2"/>
          <c:tx>
            <c:strRef>
              <c:f>Skymaps!$D$420</c:f>
              <c:strCache>
                <c:ptCount val="1"/>
                <c:pt idx="0">
                  <c:v>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Skymaps!$E$420:$BC$420</c:f>
              <c:numCache>
                <c:formatCode>General</c:formatCode>
                <c:ptCount val="51"/>
                <c:pt idx="14">
                  <c:v>0.90463453531265259</c:v>
                </c:pt>
                <c:pt idx="15">
                  <c:v>0.78200072050094604</c:v>
                </c:pt>
                <c:pt idx="16">
                  <c:v>0.61023855209350586</c:v>
                </c:pt>
                <c:pt idx="17">
                  <c:v>0.53087395429611206</c:v>
                </c:pt>
                <c:pt idx="18">
                  <c:v>0.46317872405052185</c:v>
                </c:pt>
                <c:pt idx="19">
                  <c:v>0.39061543345451355</c:v>
                </c:pt>
                <c:pt idx="20">
                  <c:v>0.32501676678657532</c:v>
                </c:pt>
                <c:pt idx="21">
                  <c:v>0.27495628595352173</c:v>
                </c:pt>
                <c:pt idx="22">
                  <c:v>0.23729832470417023</c:v>
                </c:pt>
                <c:pt idx="23">
                  <c:v>0.20903871953487396</c:v>
                </c:pt>
                <c:pt idx="24">
                  <c:v>0.16398289799690247</c:v>
                </c:pt>
                <c:pt idx="25">
                  <c:v>0.139552041888237</c:v>
                </c:pt>
                <c:pt idx="26">
                  <c:v>0.11267809569835663</c:v>
                </c:pt>
                <c:pt idx="27">
                  <c:v>9.4118751585483551E-2</c:v>
                </c:pt>
                <c:pt idx="28">
                  <c:v>7.0702709257602692E-2</c:v>
                </c:pt>
                <c:pt idx="29">
                  <c:v>6.2795892357826233E-2</c:v>
                </c:pt>
                <c:pt idx="30">
                  <c:v>4.9341749399900436E-2</c:v>
                </c:pt>
                <c:pt idx="31">
                  <c:v>3.6841746419668198E-2</c:v>
                </c:pt>
                <c:pt idx="32">
                  <c:v>2.9515523463487625E-2</c:v>
                </c:pt>
                <c:pt idx="33">
                  <c:v>3.2867535948753357E-2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63-4932-BB7D-B2FA29387183}"/>
            </c:ext>
          </c:extLst>
        </c:ser>
        <c:ser>
          <c:idx val="3"/>
          <c:order val="3"/>
          <c:tx>
            <c:strRef>
              <c:f>Skymaps!$D$421</c:f>
              <c:strCache>
                <c:ptCount val="1"/>
                <c:pt idx="0">
                  <c:v>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Skymaps!$E$421:$BC$421</c:f>
              <c:numCache>
                <c:formatCode>General</c:formatCode>
                <c:ptCount val="51"/>
                <c:pt idx="14">
                  <c:v>0.92263680696487427</c:v>
                </c:pt>
                <c:pt idx="15">
                  <c:v>0.82619971036911011</c:v>
                </c:pt>
                <c:pt idx="16">
                  <c:v>0.64872610569000244</c:v>
                </c:pt>
                <c:pt idx="17">
                  <c:v>0.55554282665252686</c:v>
                </c:pt>
                <c:pt idx="18">
                  <c:v>0.47953382134437561</c:v>
                </c:pt>
                <c:pt idx="19">
                  <c:v>0.41471457481384277</c:v>
                </c:pt>
                <c:pt idx="20">
                  <c:v>0.3604978621006012</c:v>
                </c:pt>
                <c:pt idx="21">
                  <c:v>0.30149021744728088</c:v>
                </c:pt>
                <c:pt idx="22">
                  <c:v>0.25717201828956604</c:v>
                </c:pt>
                <c:pt idx="23">
                  <c:v>0.21386876702308655</c:v>
                </c:pt>
                <c:pt idx="24">
                  <c:v>0.17974445223808289</c:v>
                </c:pt>
                <c:pt idx="25">
                  <c:v>0.15756362676620483</c:v>
                </c:pt>
                <c:pt idx="26">
                  <c:v>0.12185588479042053</c:v>
                </c:pt>
                <c:pt idx="27">
                  <c:v>0.10895854234695435</c:v>
                </c:pt>
                <c:pt idx="28">
                  <c:v>8.047022670507431E-2</c:v>
                </c:pt>
                <c:pt idx="29">
                  <c:v>6.5201453864574432E-2</c:v>
                </c:pt>
                <c:pt idx="30">
                  <c:v>5.7052720338106155E-2</c:v>
                </c:pt>
                <c:pt idx="31">
                  <c:v>4.1414950042963028E-2</c:v>
                </c:pt>
                <c:pt idx="32">
                  <c:v>3.1406186521053314E-2</c:v>
                </c:pt>
                <c:pt idx="33">
                  <c:v>2.5925295427441597E-2</c:v>
                </c:pt>
                <c:pt idx="34">
                  <c:v>3.1272105872631073E-2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63-4932-BB7D-B2FA29387183}"/>
            </c:ext>
          </c:extLst>
        </c:ser>
        <c:ser>
          <c:idx val="4"/>
          <c:order val="4"/>
          <c:tx>
            <c:strRef>
              <c:f>Skymaps!$D$422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Skymaps!$E$422:$BC$422</c:f>
              <c:numCache>
                <c:formatCode>General</c:formatCode>
                <c:ptCount val="51"/>
                <c:pt idx="14">
                  <c:v>0.93676555156707764</c:v>
                </c:pt>
                <c:pt idx="15">
                  <c:v>0.86192852258682251</c:v>
                </c:pt>
                <c:pt idx="16">
                  <c:v>0.70187723636627197</c:v>
                </c:pt>
                <c:pt idx="17">
                  <c:v>0.58213251829147339</c:v>
                </c:pt>
                <c:pt idx="18">
                  <c:v>0.51068657636642456</c:v>
                </c:pt>
                <c:pt idx="19">
                  <c:v>0.43475830554962158</c:v>
                </c:pt>
                <c:pt idx="20">
                  <c:v>0.37001851201057434</c:v>
                </c:pt>
                <c:pt idx="21">
                  <c:v>0.31090313196182251</c:v>
                </c:pt>
                <c:pt idx="22">
                  <c:v>0.26582431793212891</c:v>
                </c:pt>
                <c:pt idx="23">
                  <c:v>0.22862595319747925</c:v>
                </c:pt>
                <c:pt idx="24">
                  <c:v>0.20435279607772827</c:v>
                </c:pt>
                <c:pt idx="25">
                  <c:v>0.16242262721061707</c:v>
                </c:pt>
                <c:pt idx="26">
                  <c:v>0.13701973855495453</c:v>
                </c:pt>
                <c:pt idx="27">
                  <c:v>0.11224794387817383</c:v>
                </c:pt>
                <c:pt idx="28">
                  <c:v>9.4463236629962921E-2</c:v>
                </c:pt>
                <c:pt idx="29">
                  <c:v>7.1408547461032867E-2</c:v>
                </c:pt>
                <c:pt idx="30">
                  <c:v>6.2915109097957611E-2</c:v>
                </c:pt>
                <c:pt idx="31">
                  <c:v>4.7756880521774292E-2</c:v>
                </c:pt>
                <c:pt idx="32">
                  <c:v>3.4837022423744202E-2</c:v>
                </c:pt>
                <c:pt idx="33">
                  <c:v>2.6888582855463028E-2</c:v>
                </c:pt>
                <c:pt idx="34">
                  <c:v>3.3511869609355927E-2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63-4932-BB7D-B2FA29387183}"/>
            </c:ext>
          </c:extLst>
        </c:ser>
        <c:ser>
          <c:idx val="5"/>
          <c:order val="5"/>
          <c:tx>
            <c:strRef>
              <c:f>Skymaps!$D$423</c:f>
              <c:strCache>
                <c:ptCount val="1"/>
                <c:pt idx="0">
                  <c:v>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Skymaps!$E$423:$BC$423</c:f>
              <c:numCache>
                <c:formatCode>General</c:formatCode>
                <c:ptCount val="51"/>
                <c:pt idx="15">
                  <c:v>0.89000964164733887</c:v>
                </c:pt>
                <c:pt idx="16">
                  <c:v>0.75712692737579346</c:v>
                </c:pt>
                <c:pt idx="17">
                  <c:v>0.6038241982460022</c:v>
                </c:pt>
                <c:pt idx="18">
                  <c:v>0.52832263708114624</c:v>
                </c:pt>
                <c:pt idx="19">
                  <c:v>0.46395799517631531</c:v>
                </c:pt>
                <c:pt idx="20">
                  <c:v>0.39945977926254272</c:v>
                </c:pt>
                <c:pt idx="21">
                  <c:v>0.3363804817199707</c:v>
                </c:pt>
                <c:pt idx="22">
                  <c:v>0.28678977489471436</c:v>
                </c:pt>
                <c:pt idx="23">
                  <c:v>0.25345277786254883</c:v>
                </c:pt>
                <c:pt idx="24">
                  <c:v>0.21175996959209442</c:v>
                </c:pt>
                <c:pt idx="25">
                  <c:v>0.1757415384054184</c:v>
                </c:pt>
                <c:pt idx="26">
                  <c:v>0.15660201013088226</c:v>
                </c:pt>
                <c:pt idx="27">
                  <c:v>0.1213395968079567</c:v>
                </c:pt>
                <c:pt idx="28">
                  <c:v>0.10889925807714462</c:v>
                </c:pt>
                <c:pt idx="29">
                  <c:v>8.1768766045570374E-2</c:v>
                </c:pt>
                <c:pt idx="30">
                  <c:v>6.5985351800918579E-2</c:v>
                </c:pt>
                <c:pt idx="31">
                  <c:v>5.6018032133579254E-2</c:v>
                </c:pt>
                <c:pt idx="32">
                  <c:v>3.9974700659513474E-2</c:v>
                </c:pt>
                <c:pt idx="33">
                  <c:v>2.9327541589736938E-2</c:v>
                </c:pt>
                <c:pt idx="34">
                  <c:v>2.3078039288520813E-2</c:v>
                </c:pt>
                <c:pt idx="35">
                  <c:v>1.8564732745289803E-2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063-4932-BB7D-B2FA29387183}"/>
            </c:ext>
          </c:extLst>
        </c:ser>
        <c:ser>
          <c:idx val="6"/>
          <c:order val="6"/>
          <c:tx>
            <c:strRef>
              <c:f>Skymaps!$D$424</c:f>
              <c:strCache>
                <c:ptCount val="1"/>
                <c:pt idx="0">
                  <c:v>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Skymaps!$E$424:$BC$424</c:f>
              <c:numCache>
                <c:formatCode>General</c:formatCode>
                <c:ptCount val="51"/>
                <c:pt idx="15">
                  <c:v>0.91183251142501831</c:v>
                </c:pt>
                <c:pt idx="16">
                  <c:v>0.80640751123428345</c:v>
                </c:pt>
                <c:pt idx="17">
                  <c:v>0.63693487644195557</c:v>
                </c:pt>
                <c:pt idx="18">
                  <c:v>0.55481874942779541</c:v>
                </c:pt>
                <c:pt idx="19">
                  <c:v>0.48288896679878235</c:v>
                </c:pt>
                <c:pt idx="20">
                  <c:v>0.41819620132446289</c:v>
                </c:pt>
                <c:pt idx="21">
                  <c:v>0.36189815402030945</c:v>
                </c:pt>
                <c:pt idx="22">
                  <c:v>0.30522680282592773</c:v>
                </c:pt>
                <c:pt idx="23">
                  <c:v>0.26134264469146729</c:v>
                </c:pt>
                <c:pt idx="24">
                  <c:v>0.223796546459198</c:v>
                </c:pt>
                <c:pt idx="25">
                  <c:v>0.19772130250930786</c:v>
                </c:pt>
                <c:pt idx="26">
                  <c:v>0.16064903140068054</c:v>
                </c:pt>
                <c:pt idx="27">
                  <c:v>0.13653236627578735</c:v>
                </c:pt>
                <c:pt idx="28">
                  <c:v>0.11249122768640518</c:v>
                </c:pt>
                <c:pt idx="29">
                  <c:v>9.6441276371479034E-2</c:v>
                </c:pt>
                <c:pt idx="30">
                  <c:v>7.3011159896850586E-2</c:v>
                </c:pt>
                <c:pt idx="31">
                  <c:v>6.019245833158493E-2</c:v>
                </c:pt>
                <c:pt idx="32">
                  <c:v>4.6956080943346024E-2</c:v>
                </c:pt>
                <c:pt idx="33">
                  <c:v>3.3386949449777603E-2</c:v>
                </c:pt>
                <c:pt idx="34">
                  <c:v>2.4632243439555168E-2</c:v>
                </c:pt>
                <c:pt idx="35">
                  <c:v>1.9780594855546951E-2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063-4932-BB7D-B2FA29387183}"/>
            </c:ext>
          </c:extLst>
        </c:ser>
        <c:ser>
          <c:idx val="7"/>
          <c:order val="7"/>
          <c:tx>
            <c:strRef>
              <c:f>Skymaps!$D$425</c:f>
              <c:strCache>
                <c:ptCount val="1"/>
                <c:pt idx="0">
                  <c:v>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Skymaps!$E$425:$BC$425</c:f>
              <c:numCache>
                <c:formatCode>General</c:formatCode>
                <c:ptCount val="51"/>
                <c:pt idx="16">
                  <c:v>0.84696304798126221</c:v>
                </c:pt>
                <c:pt idx="17">
                  <c:v>0.68890160322189331</c:v>
                </c:pt>
                <c:pt idx="18">
                  <c:v>0.58032584190368652</c:v>
                </c:pt>
                <c:pt idx="19">
                  <c:v>0.51173508167266846</c:v>
                </c:pt>
                <c:pt idx="20">
                  <c:v>0.44445884227752686</c:v>
                </c:pt>
                <c:pt idx="21">
                  <c:v>0.37965145707130432</c:v>
                </c:pt>
                <c:pt idx="22">
                  <c:v>0.32221078872680664</c:v>
                </c:pt>
                <c:pt idx="23">
                  <c:v>0.27794605493545532</c:v>
                </c:pt>
                <c:pt idx="24">
                  <c:v>0.24623045325279236</c:v>
                </c:pt>
                <c:pt idx="25">
                  <c:v>0.21102562546730042</c:v>
                </c:pt>
                <c:pt idx="26">
                  <c:v>0.17335914075374603</c:v>
                </c:pt>
                <c:pt idx="27">
                  <c:v>0.15567032992839813</c:v>
                </c:pt>
                <c:pt idx="28">
                  <c:v>0.12204346060752869</c:v>
                </c:pt>
                <c:pt idx="29">
                  <c:v>0.10893941670656204</c:v>
                </c:pt>
                <c:pt idx="30">
                  <c:v>8.4317825734615326E-2</c:v>
                </c:pt>
                <c:pt idx="31">
                  <c:v>6.4287953078746796E-2</c:v>
                </c:pt>
                <c:pt idx="32">
                  <c:v>5.5938649922609329E-2</c:v>
                </c:pt>
                <c:pt idx="33">
                  <c:v>3.9241112768650055E-2</c:v>
                </c:pt>
                <c:pt idx="34">
                  <c:v>2.7753753587603569E-2</c:v>
                </c:pt>
                <c:pt idx="35">
                  <c:v>2.0574683323502541E-2</c:v>
                </c:pt>
                <c:pt idx="36">
                  <c:v>1.8829237669706345E-2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063-4932-BB7D-B2FA29387183}"/>
            </c:ext>
          </c:extLst>
        </c:ser>
        <c:ser>
          <c:idx val="8"/>
          <c:order val="8"/>
          <c:tx>
            <c:strRef>
              <c:f>Skymaps!$D$426</c:f>
              <c:strCache>
                <c:ptCount val="1"/>
                <c:pt idx="0">
                  <c:v>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Skymaps!$E$426:$BC$426</c:f>
              <c:numCache>
                <c:formatCode>General</c:formatCode>
                <c:ptCount val="51"/>
                <c:pt idx="16">
                  <c:v>0.87897557020187378</c:v>
                </c:pt>
                <c:pt idx="17">
                  <c:v>0.74579387903213501</c:v>
                </c:pt>
                <c:pt idx="18">
                  <c:v>0.60339099168777466</c:v>
                </c:pt>
                <c:pt idx="19">
                  <c:v>0.53300625085830688</c:v>
                </c:pt>
                <c:pt idx="20">
                  <c:v>0.46711573004722595</c:v>
                </c:pt>
                <c:pt idx="21">
                  <c:v>0.4136272668838501</c:v>
                </c:pt>
                <c:pt idx="22">
                  <c:v>0.35736873745918274</c:v>
                </c:pt>
                <c:pt idx="23">
                  <c:v>0.30391335487365723</c:v>
                </c:pt>
                <c:pt idx="24">
                  <c:v>0.25941553711891174</c:v>
                </c:pt>
                <c:pt idx="25">
                  <c:v>0.22161039710044861</c:v>
                </c:pt>
                <c:pt idx="26">
                  <c:v>0.19502292573451996</c:v>
                </c:pt>
                <c:pt idx="27">
                  <c:v>0.15981541574001312</c:v>
                </c:pt>
                <c:pt idx="28">
                  <c:v>0.13791850209236145</c:v>
                </c:pt>
                <c:pt idx="29">
                  <c:v>0.11342086642980576</c:v>
                </c:pt>
                <c:pt idx="30">
                  <c:v>0.10012710839509964</c:v>
                </c:pt>
                <c:pt idx="31">
                  <c:v>7.2534419596195221E-2</c:v>
                </c:pt>
                <c:pt idx="32">
                  <c:v>5.8001138269901276E-2</c:v>
                </c:pt>
                <c:pt idx="33">
                  <c:v>4.7048687934875488E-2</c:v>
                </c:pt>
                <c:pt idx="34">
                  <c:v>3.2612618058919907E-2</c:v>
                </c:pt>
                <c:pt idx="35">
                  <c:v>2.2877722978591919E-2</c:v>
                </c:pt>
                <c:pt idx="36">
                  <c:v>1.1948481202125549E-2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063-4932-BB7D-B2FA29387183}"/>
            </c:ext>
          </c:extLst>
        </c:ser>
        <c:ser>
          <c:idx val="9"/>
          <c:order val="9"/>
          <c:tx>
            <c:strRef>
              <c:f>Skymaps!$D$427</c:f>
              <c:strCache>
                <c:ptCount val="1"/>
                <c:pt idx="0">
                  <c:v>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Skymaps!$E$427:$BC$427</c:f>
              <c:numCache>
                <c:formatCode>General</c:formatCode>
                <c:ptCount val="51"/>
                <c:pt idx="17">
                  <c:v>0.79778861999511719</c:v>
                </c:pt>
                <c:pt idx="18">
                  <c:v>0.63686871528625488</c:v>
                </c:pt>
                <c:pt idx="19">
                  <c:v>0.55681627988815308</c:v>
                </c:pt>
                <c:pt idx="20">
                  <c:v>0.49407342076301575</c:v>
                </c:pt>
                <c:pt idx="21">
                  <c:v>0.42702782154083252</c:v>
                </c:pt>
                <c:pt idx="22">
                  <c:v>0.36937680840492249</c:v>
                </c:pt>
                <c:pt idx="23">
                  <c:v>0.31469470262527466</c:v>
                </c:pt>
                <c:pt idx="24">
                  <c:v>0.27322757244110107</c:v>
                </c:pt>
                <c:pt idx="25">
                  <c:v>0.24293340742588043</c:v>
                </c:pt>
                <c:pt idx="26">
                  <c:v>0.20984505116939545</c:v>
                </c:pt>
                <c:pt idx="27">
                  <c:v>0.17288345098495483</c:v>
                </c:pt>
                <c:pt idx="28">
                  <c:v>0.15480749309062958</c:v>
                </c:pt>
                <c:pt idx="29">
                  <c:v>0.12408725917339325</c:v>
                </c:pt>
                <c:pt idx="30">
                  <c:v>0.10935737192630768</c:v>
                </c:pt>
                <c:pt idx="31">
                  <c:v>8.5240110754966736E-2</c:v>
                </c:pt>
                <c:pt idx="32">
                  <c:v>6.3516631722450256E-2</c:v>
                </c:pt>
                <c:pt idx="33">
                  <c:v>5.3552679717540741E-2</c:v>
                </c:pt>
                <c:pt idx="34">
                  <c:v>3.9376787841320038E-2</c:v>
                </c:pt>
                <c:pt idx="35">
                  <c:v>2.6865292340517044E-2</c:v>
                </c:pt>
                <c:pt idx="36">
                  <c:v>1.3538206927478313E-2</c:v>
                </c:pt>
                <c:pt idx="37">
                  <c:v>3.8696043193340302E-3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063-4932-BB7D-B2FA29387183}"/>
            </c:ext>
          </c:extLst>
        </c:ser>
        <c:ser>
          <c:idx val="10"/>
          <c:order val="10"/>
          <c:tx>
            <c:strRef>
              <c:f>Skymaps!$D$428</c:f>
              <c:strCache>
                <c:ptCount val="1"/>
                <c:pt idx="0">
                  <c:v>10000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Skymaps!$E$428:$BC$428</c:f>
              <c:numCache>
                <c:formatCode>General</c:formatCode>
                <c:ptCount val="51"/>
                <c:pt idx="17">
                  <c:v>0.84092831611633301</c:v>
                </c:pt>
                <c:pt idx="18">
                  <c:v>0.69010579586029053</c:v>
                </c:pt>
                <c:pt idx="19">
                  <c:v>0.58812052011489868</c:v>
                </c:pt>
                <c:pt idx="20">
                  <c:v>0.51596540212631226</c:v>
                </c:pt>
                <c:pt idx="21">
                  <c:v>0.46366864442825317</c:v>
                </c:pt>
                <c:pt idx="22">
                  <c:v>0.39944994449615479</c:v>
                </c:pt>
                <c:pt idx="23">
                  <c:v>0.34490293264389038</c:v>
                </c:pt>
                <c:pt idx="24">
                  <c:v>0.30020749568939209</c:v>
                </c:pt>
                <c:pt idx="25">
                  <c:v>0.25908750295639038</c:v>
                </c:pt>
                <c:pt idx="26">
                  <c:v>0.22014293074607849</c:v>
                </c:pt>
                <c:pt idx="27">
                  <c:v>0.19523094594478607</c:v>
                </c:pt>
                <c:pt idx="28">
                  <c:v>0.16001348197460175</c:v>
                </c:pt>
                <c:pt idx="29">
                  <c:v>0.1413751095533371</c:v>
                </c:pt>
                <c:pt idx="30">
                  <c:v>0.11486323177814484</c:v>
                </c:pt>
                <c:pt idx="31">
                  <c:v>0.10261248797178268</c:v>
                </c:pt>
                <c:pt idx="32">
                  <c:v>7.3413260281085968E-2</c:v>
                </c:pt>
                <c:pt idx="33">
                  <c:v>5.6674778461456299E-2</c:v>
                </c:pt>
                <c:pt idx="34">
                  <c:v>4.8225123435258865E-2</c:v>
                </c:pt>
                <c:pt idx="35">
                  <c:v>3.2713346183300018E-2</c:v>
                </c:pt>
                <c:pt idx="36">
                  <c:v>1.6751229763031006E-2</c:v>
                </c:pt>
                <c:pt idx="37">
                  <c:v>4.8430124297738075E-3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063-4932-BB7D-B2FA29387183}"/>
            </c:ext>
          </c:extLst>
        </c:ser>
        <c:ser>
          <c:idx val="11"/>
          <c:order val="11"/>
          <c:tx>
            <c:strRef>
              <c:f>Skymaps!$D$429</c:f>
              <c:strCache>
                <c:ptCount val="1"/>
                <c:pt idx="0">
                  <c:v>11000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Skymaps!$E$429:$BC$429</c:f>
              <c:numCache>
                <c:formatCode>General</c:formatCode>
                <c:ptCount val="51"/>
                <c:pt idx="17">
                  <c:v>0.87491399049758911</c:v>
                </c:pt>
                <c:pt idx="18">
                  <c:v>0.7481236457824707</c:v>
                </c:pt>
                <c:pt idx="19">
                  <c:v>0.6081276535987854</c:v>
                </c:pt>
                <c:pt idx="20">
                  <c:v>0.54601311683654785</c:v>
                </c:pt>
                <c:pt idx="21">
                  <c:v>0.47686779499053955</c:v>
                </c:pt>
                <c:pt idx="22">
                  <c:v>0.41886332631111145</c:v>
                </c:pt>
                <c:pt idx="23">
                  <c:v>0.36488473415374756</c:v>
                </c:pt>
                <c:pt idx="24">
                  <c:v>0.31139355897903442</c:v>
                </c:pt>
                <c:pt idx="25">
                  <c:v>0.27160713076591492</c:v>
                </c:pt>
                <c:pt idx="26">
                  <c:v>0.24143493175506592</c:v>
                </c:pt>
                <c:pt idx="27">
                  <c:v>0.20928892493247986</c:v>
                </c:pt>
                <c:pt idx="28">
                  <c:v>0.17435440421104431</c:v>
                </c:pt>
                <c:pt idx="29">
                  <c:v>0.15432363748550415</c:v>
                </c:pt>
                <c:pt idx="30">
                  <c:v>0.1263166069984436</c:v>
                </c:pt>
                <c:pt idx="31">
                  <c:v>0.10732214152812958</c:v>
                </c:pt>
                <c:pt idx="32">
                  <c:v>8.7926663458347321E-2</c:v>
                </c:pt>
                <c:pt idx="33">
                  <c:v>6.4010873436927795E-2</c:v>
                </c:pt>
                <c:pt idx="34">
                  <c:v>5.1456015557050705E-2</c:v>
                </c:pt>
                <c:pt idx="35">
                  <c:v>4.0581628680229187E-2</c:v>
                </c:pt>
                <c:pt idx="36">
                  <c:v>2.1768517792224884E-2</c:v>
                </c:pt>
                <c:pt idx="37">
                  <c:v>7.3892152868211269E-3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063-4932-BB7D-B2FA29387183}"/>
            </c:ext>
          </c:extLst>
        </c:ser>
        <c:ser>
          <c:idx val="12"/>
          <c:order val="12"/>
          <c:tx>
            <c:strRef>
              <c:f>Skymaps!$D$430</c:f>
              <c:strCache>
                <c:ptCount val="1"/>
                <c:pt idx="0">
                  <c:v>12000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Skymaps!$E$430:$BC$430</c:f>
              <c:numCache>
                <c:formatCode>General</c:formatCode>
                <c:ptCount val="51"/>
                <c:pt idx="18">
                  <c:v>0.80078178644180298</c:v>
                </c:pt>
                <c:pt idx="19">
                  <c:v>0.64771217107772827</c:v>
                </c:pt>
                <c:pt idx="20">
                  <c:v>0.56514275074005127</c:v>
                </c:pt>
                <c:pt idx="21">
                  <c:v>0.51125890016555786</c:v>
                </c:pt>
                <c:pt idx="22">
                  <c:v>0.44717395305633545</c:v>
                </c:pt>
                <c:pt idx="23">
                  <c:v>0.38922181725502014</c:v>
                </c:pt>
                <c:pt idx="24">
                  <c:v>0.33833304047584534</c:v>
                </c:pt>
                <c:pt idx="25">
                  <c:v>0.29759520292282104</c:v>
                </c:pt>
                <c:pt idx="26">
                  <c:v>0.25869068503379822</c:v>
                </c:pt>
                <c:pt idx="27">
                  <c:v>0.22035679221153259</c:v>
                </c:pt>
                <c:pt idx="28">
                  <c:v>0.19816598296165466</c:v>
                </c:pt>
                <c:pt idx="29">
                  <c:v>0.16130828857421875</c:v>
                </c:pt>
                <c:pt idx="30">
                  <c:v>0.14405031502246857</c:v>
                </c:pt>
                <c:pt idx="31">
                  <c:v>0.11474330723285675</c:v>
                </c:pt>
                <c:pt idx="32">
                  <c:v>0.10254533588886261</c:v>
                </c:pt>
                <c:pt idx="33">
                  <c:v>7.5945176184177399E-2</c:v>
                </c:pt>
                <c:pt idx="34">
                  <c:v>5.6548982858657837E-2</c:v>
                </c:pt>
                <c:pt idx="35">
                  <c:v>4.7478444874286652E-2</c:v>
                </c:pt>
                <c:pt idx="36">
                  <c:v>2.8769617900252342E-2</c:v>
                </c:pt>
                <c:pt idx="37">
                  <c:v>1.169254444539547E-2</c:v>
                </c:pt>
                <c:pt idx="38">
                  <c:v>-9.9507113918662071E-3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063-4932-BB7D-B2FA29387183}"/>
            </c:ext>
          </c:extLst>
        </c:ser>
        <c:ser>
          <c:idx val="13"/>
          <c:order val="13"/>
          <c:tx>
            <c:strRef>
              <c:f>Skymaps!$D$431</c:f>
              <c:strCache>
                <c:ptCount val="1"/>
                <c:pt idx="0">
                  <c:v>13000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Skymaps!$E$431:$BC$431</c:f>
              <c:numCache>
                <c:formatCode>General</c:formatCode>
                <c:ptCount val="51"/>
                <c:pt idx="18">
                  <c:v>0.84409576654434204</c:v>
                </c:pt>
                <c:pt idx="19">
                  <c:v>0.70434111356735229</c:v>
                </c:pt>
                <c:pt idx="20">
                  <c:v>0.59865230321884155</c:v>
                </c:pt>
                <c:pt idx="21">
                  <c:v>0.52821415662765503</c:v>
                </c:pt>
                <c:pt idx="22">
                  <c:v>0.46885836124420166</c:v>
                </c:pt>
                <c:pt idx="23">
                  <c:v>0.41571599245071411</c:v>
                </c:pt>
                <c:pt idx="24">
                  <c:v>0.36327138543128967</c:v>
                </c:pt>
                <c:pt idx="25">
                  <c:v>0.31057512760162354</c:v>
                </c:pt>
                <c:pt idx="26">
                  <c:v>0.27137777209281921</c:v>
                </c:pt>
                <c:pt idx="27">
                  <c:v>0.24281205236911774</c:v>
                </c:pt>
                <c:pt idx="28">
                  <c:v>0.20940430462360382</c:v>
                </c:pt>
                <c:pt idx="29">
                  <c:v>0.17788787186145782</c:v>
                </c:pt>
                <c:pt idx="30">
                  <c:v>0.15453131496906281</c:v>
                </c:pt>
                <c:pt idx="31">
                  <c:v>0.12841536104679108</c:v>
                </c:pt>
                <c:pt idx="32">
                  <c:v>0.10638430714607239</c:v>
                </c:pt>
                <c:pt idx="33">
                  <c:v>9.2719994485378265E-2</c:v>
                </c:pt>
                <c:pt idx="34">
                  <c:v>6.6163890063762665E-2</c:v>
                </c:pt>
                <c:pt idx="35">
                  <c:v>5.0606228411197662E-2</c:v>
                </c:pt>
                <c:pt idx="36">
                  <c:v>3.7925016134977341E-2</c:v>
                </c:pt>
                <c:pt idx="37">
                  <c:v>1.7938079312443733E-2</c:v>
                </c:pt>
                <c:pt idx="38">
                  <c:v>-6.2759630382061005E-3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063-4932-BB7D-B2FA29387183}"/>
            </c:ext>
          </c:extLst>
        </c:ser>
        <c:ser>
          <c:idx val="14"/>
          <c:order val="14"/>
          <c:tx>
            <c:strRef>
              <c:f>Skymaps!$D$432</c:f>
              <c:strCache>
                <c:ptCount val="1"/>
                <c:pt idx="0">
                  <c:v>14000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Skymaps!$E$432:$BC$432</c:f>
              <c:numCache>
                <c:formatCode>General</c:formatCode>
                <c:ptCount val="51"/>
                <c:pt idx="19">
                  <c:v>0.76286834478378296</c:v>
                </c:pt>
                <c:pt idx="20">
                  <c:v>0.62105429172515869</c:v>
                </c:pt>
                <c:pt idx="21">
                  <c:v>0.55579584836959839</c:v>
                </c:pt>
                <c:pt idx="22">
                  <c:v>0.49991694092750549</c:v>
                </c:pt>
                <c:pt idx="23">
                  <c:v>0.43824142217636108</c:v>
                </c:pt>
                <c:pt idx="24">
                  <c:v>0.38447511196136475</c:v>
                </c:pt>
                <c:pt idx="25">
                  <c:v>0.33663943409919739</c:v>
                </c:pt>
                <c:pt idx="26">
                  <c:v>0.29792076349258423</c:v>
                </c:pt>
                <c:pt idx="27">
                  <c:v>0.2590203583240509</c:v>
                </c:pt>
                <c:pt idx="28">
                  <c:v>0.22247228026390076</c:v>
                </c:pt>
                <c:pt idx="29">
                  <c:v>0.20416179299354553</c:v>
                </c:pt>
                <c:pt idx="30">
                  <c:v>0.16435615718364716</c:v>
                </c:pt>
                <c:pt idx="31">
                  <c:v>0.14857107400894165</c:v>
                </c:pt>
                <c:pt idx="32">
                  <c:v>0.11635273694992065</c:v>
                </c:pt>
                <c:pt idx="33">
                  <c:v>0.10048261284828186</c:v>
                </c:pt>
                <c:pt idx="34">
                  <c:v>8.0616980791091919E-2</c:v>
                </c:pt>
                <c:pt idx="35">
                  <c:v>5.8166850358247757E-2</c:v>
                </c:pt>
                <c:pt idx="36">
                  <c:v>4.0672507137060165E-2</c:v>
                </c:pt>
                <c:pt idx="37">
                  <c:v>2.6305872946977615E-2</c:v>
                </c:pt>
                <c:pt idx="38">
                  <c:v>-7.1282847784459591E-4</c:v>
                </c:pt>
                <c:pt idx="39">
                  <c:v>-3.1399540603160858E-2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063-4932-BB7D-B2FA29387183}"/>
            </c:ext>
          </c:extLst>
        </c:ser>
        <c:ser>
          <c:idx val="15"/>
          <c:order val="15"/>
          <c:tx>
            <c:strRef>
              <c:f>Skymaps!$D$433</c:f>
              <c:strCache>
                <c:ptCount val="1"/>
                <c:pt idx="0">
                  <c:v>15000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Skymaps!$E$433:$BC$433</c:f>
              <c:numCache>
                <c:formatCode>General</c:formatCode>
                <c:ptCount val="51"/>
                <c:pt idx="19">
                  <c:v>0.81428086757659912</c:v>
                </c:pt>
                <c:pt idx="20">
                  <c:v>0.66997408866882324</c:v>
                </c:pt>
                <c:pt idx="21">
                  <c:v>0.58593523502349854</c:v>
                </c:pt>
                <c:pt idx="22">
                  <c:v>0.51955032348632813</c:v>
                </c:pt>
                <c:pt idx="23">
                  <c:v>0.46603429317474365</c:v>
                </c:pt>
                <c:pt idx="24">
                  <c:v>0.41514664888381958</c:v>
                </c:pt>
                <c:pt idx="25">
                  <c:v>0.36342039704322815</c:v>
                </c:pt>
                <c:pt idx="26">
                  <c:v>0.31081691384315491</c:v>
                </c:pt>
                <c:pt idx="27">
                  <c:v>0.27338966727256775</c:v>
                </c:pt>
                <c:pt idx="28">
                  <c:v>0.24729365110397339</c:v>
                </c:pt>
                <c:pt idx="29">
                  <c:v>0.2107871025800705</c:v>
                </c:pt>
                <c:pt idx="30">
                  <c:v>0.18413937091827393</c:v>
                </c:pt>
                <c:pt idx="31">
                  <c:v>0.15455393493175507</c:v>
                </c:pt>
                <c:pt idx="32">
                  <c:v>0.13287374377250671</c:v>
                </c:pt>
                <c:pt idx="33">
                  <c:v>0.10716496407985687</c:v>
                </c:pt>
                <c:pt idx="34">
                  <c:v>9.6435979008674622E-2</c:v>
                </c:pt>
                <c:pt idx="35">
                  <c:v>7.0540450513362885E-2</c:v>
                </c:pt>
                <c:pt idx="36">
                  <c:v>4.6412810683250427E-2</c:v>
                </c:pt>
                <c:pt idx="37">
                  <c:v>3.1795535236597061E-2</c:v>
                </c:pt>
                <c:pt idx="38">
                  <c:v>6.9269021041691303E-3</c:v>
                </c:pt>
                <c:pt idx="39">
                  <c:v>-2.7252849191427231E-2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063-4932-BB7D-B2FA29387183}"/>
            </c:ext>
          </c:extLst>
        </c:ser>
        <c:ser>
          <c:idx val="16"/>
          <c:order val="16"/>
          <c:tx>
            <c:strRef>
              <c:f>Skymaps!$D$434</c:f>
              <c:strCache>
                <c:ptCount val="1"/>
                <c:pt idx="0">
                  <c:v>16000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Skymaps!$E$434:$BC$434</c:f>
              <c:numCache>
                <c:formatCode>General</c:formatCode>
                <c:ptCount val="51"/>
                <c:pt idx="19">
                  <c:v>0.85550934076309204</c:v>
                </c:pt>
                <c:pt idx="20">
                  <c:v>0.72960937023162842</c:v>
                </c:pt>
                <c:pt idx="21">
                  <c:v>0.60754823684692383</c:v>
                </c:pt>
                <c:pt idx="22">
                  <c:v>0.5541045069694519</c:v>
                </c:pt>
                <c:pt idx="23">
                  <c:v>0.49151256680488586</c:v>
                </c:pt>
                <c:pt idx="24">
                  <c:v>0.43476992845535278</c:v>
                </c:pt>
                <c:pt idx="25">
                  <c:v>0.38409775495529175</c:v>
                </c:pt>
                <c:pt idx="26">
                  <c:v>0.33810761570930481</c:v>
                </c:pt>
                <c:pt idx="27">
                  <c:v>0.30186468362808228</c:v>
                </c:pt>
                <c:pt idx="28">
                  <c:v>0.26045963168144226</c:v>
                </c:pt>
                <c:pt idx="29">
                  <c:v>0.22699986398220062</c:v>
                </c:pt>
                <c:pt idx="30">
                  <c:v>0.20580004155635834</c:v>
                </c:pt>
                <c:pt idx="31">
                  <c:v>0.16811960935592651</c:v>
                </c:pt>
                <c:pt idx="32">
                  <c:v>0.14889252185821533</c:v>
                </c:pt>
                <c:pt idx="33">
                  <c:v>0.12029261142015457</c:v>
                </c:pt>
                <c:pt idx="34">
                  <c:v>0.10014944523572922</c:v>
                </c:pt>
                <c:pt idx="35">
                  <c:v>8.7977960705757141E-2</c:v>
                </c:pt>
                <c:pt idx="36">
                  <c:v>5.6889396160840988E-2</c:v>
                </c:pt>
                <c:pt idx="37">
                  <c:v>3.5943754017353058E-2</c:v>
                </c:pt>
                <c:pt idx="38">
                  <c:v>1.3482445850968361E-2</c:v>
                </c:pt>
                <c:pt idx="39">
                  <c:v>-2.1409645676612854E-2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063-4932-BB7D-B2FA29387183}"/>
            </c:ext>
          </c:extLst>
        </c:ser>
        <c:ser>
          <c:idx val="17"/>
          <c:order val="17"/>
          <c:tx>
            <c:strRef>
              <c:f>Skymaps!$D$435</c:f>
              <c:strCache>
                <c:ptCount val="1"/>
                <c:pt idx="0">
                  <c:v>17000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Skymaps!$E$435:$BC$435</c:f>
              <c:numCache>
                <c:formatCode>General</c:formatCode>
                <c:ptCount val="51"/>
                <c:pt idx="20">
                  <c:v>0.78639131784439087</c:v>
                </c:pt>
                <c:pt idx="21">
                  <c:v>0.64767402410507202</c:v>
                </c:pt>
                <c:pt idx="22">
                  <c:v>0.57383638620376587</c:v>
                </c:pt>
                <c:pt idx="23">
                  <c:v>0.5160062313079834</c:v>
                </c:pt>
                <c:pt idx="24">
                  <c:v>0.46541115641593933</c:v>
                </c:pt>
                <c:pt idx="25">
                  <c:v>0.41547584533691406</c:v>
                </c:pt>
                <c:pt idx="26">
                  <c:v>0.36361020803451538</c:v>
                </c:pt>
                <c:pt idx="27">
                  <c:v>0.31299680471420288</c:v>
                </c:pt>
                <c:pt idx="28">
                  <c:v>0.2778652012348175</c:v>
                </c:pt>
                <c:pt idx="29">
                  <c:v>0.25675085186958313</c:v>
                </c:pt>
                <c:pt idx="30">
                  <c:v>0.21457026898860931</c:v>
                </c:pt>
                <c:pt idx="31">
                  <c:v>0.19192120432853699</c:v>
                </c:pt>
                <c:pt idx="32">
                  <c:v>0.15683533251285553</c:v>
                </c:pt>
                <c:pt idx="33">
                  <c:v>0.14020001888275146</c:v>
                </c:pt>
                <c:pt idx="34">
                  <c:v>0.11026093363761902</c:v>
                </c:pt>
                <c:pt idx="35">
                  <c:v>9.497639536857605E-2</c:v>
                </c:pt>
                <c:pt idx="36">
                  <c:v>7.2438135743141174E-2</c:v>
                </c:pt>
                <c:pt idx="37">
                  <c:v>4.4768121093511581E-2</c:v>
                </c:pt>
                <c:pt idx="38">
                  <c:v>1.6547931358218193E-2</c:v>
                </c:pt>
                <c:pt idx="39">
                  <c:v>-1.3706634752452374E-2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063-4932-BB7D-B2FA29387183}"/>
            </c:ext>
          </c:extLst>
        </c:ser>
        <c:ser>
          <c:idx val="18"/>
          <c:order val="18"/>
          <c:tx>
            <c:strRef>
              <c:f>Skymaps!$D$436</c:f>
              <c:strCache>
                <c:ptCount val="1"/>
                <c:pt idx="0">
                  <c:v>18000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Skymaps!$E$436:$BC$436</c:f>
              <c:numCache>
                <c:formatCode>General</c:formatCode>
                <c:ptCount val="51"/>
                <c:pt idx="20">
                  <c:v>0.83392906188964844</c:v>
                </c:pt>
                <c:pt idx="21">
                  <c:v>0.7060120701789856</c:v>
                </c:pt>
                <c:pt idx="22">
                  <c:v>0.60191547870635986</c:v>
                </c:pt>
                <c:pt idx="23">
                  <c:v>0.54768675565719604</c:v>
                </c:pt>
                <c:pt idx="24">
                  <c:v>0.48859360814094543</c:v>
                </c:pt>
                <c:pt idx="25">
                  <c:v>0.43526771664619446</c:v>
                </c:pt>
                <c:pt idx="26">
                  <c:v>0.38635525107383728</c:v>
                </c:pt>
                <c:pt idx="27">
                  <c:v>0.34372976422309875</c:v>
                </c:pt>
                <c:pt idx="28">
                  <c:v>0.30388408899307251</c:v>
                </c:pt>
                <c:pt idx="29">
                  <c:v>0.26366794109344482</c:v>
                </c:pt>
                <c:pt idx="30">
                  <c:v>0.23632249236106873</c:v>
                </c:pt>
                <c:pt idx="31">
                  <c:v>0.20528295636177063</c:v>
                </c:pt>
                <c:pt idx="32">
                  <c:v>0.17512759566307068</c:v>
                </c:pt>
                <c:pt idx="33">
                  <c:v>0.14923954010009766</c:v>
                </c:pt>
                <c:pt idx="34">
                  <c:v>0.12720328569412231</c:v>
                </c:pt>
                <c:pt idx="35">
                  <c:v>0.10306853055953979</c:v>
                </c:pt>
                <c:pt idx="36">
                  <c:v>8.7116755545139313E-2</c:v>
                </c:pt>
                <c:pt idx="37">
                  <c:v>5.8649454265832901E-2</c:v>
                </c:pt>
                <c:pt idx="38">
                  <c:v>2.4601416662335396E-2</c:v>
                </c:pt>
                <c:pt idx="39">
                  <c:v>-1.0666770860552788E-2</c:v>
                </c:pt>
                <c:pt idx="40">
                  <c:v>-7.217852771282196E-2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063-4932-BB7D-B2FA29387183}"/>
            </c:ext>
          </c:extLst>
        </c:ser>
        <c:ser>
          <c:idx val="19"/>
          <c:order val="19"/>
          <c:tx>
            <c:strRef>
              <c:f>Skymaps!$D$437</c:f>
              <c:strCache>
                <c:ptCount val="1"/>
                <c:pt idx="0">
                  <c:v>19000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Skymaps!$E$437:$BC$437</c:f>
              <c:numCache>
                <c:formatCode>General</c:formatCode>
                <c:ptCount val="51"/>
                <c:pt idx="21">
                  <c:v>0.76611799001693726</c:v>
                </c:pt>
                <c:pt idx="22">
                  <c:v>0.63481742143630981</c:v>
                </c:pt>
                <c:pt idx="23">
                  <c:v>0.56861025094985962</c:v>
                </c:pt>
                <c:pt idx="24">
                  <c:v>0.51526904106140137</c:v>
                </c:pt>
                <c:pt idx="25">
                  <c:v>0.46604046225547791</c:v>
                </c:pt>
                <c:pt idx="26">
                  <c:v>0.41540822386741638</c:v>
                </c:pt>
                <c:pt idx="27">
                  <c:v>0.36534538865089417</c:v>
                </c:pt>
                <c:pt idx="28">
                  <c:v>0.31800621747970581</c:v>
                </c:pt>
                <c:pt idx="29">
                  <c:v>0.28563138842582703</c:v>
                </c:pt>
                <c:pt idx="30">
                  <c:v>0.2574145495891571</c:v>
                </c:pt>
                <c:pt idx="31">
                  <c:v>0.21942541003227234</c:v>
                </c:pt>
                <c:pt idx="32">
                  <c:v>0.20066721737384796</c:v>
                </c:pt>
                <c:pt idx="33">
                  <c:v>0.1624685525894165</c:v>
                </c:pt>
                <c:pt idx="34">
                  <c:v>0.14440508186817169</c:v>
                </c:pt>
                <c:pt idx="35">
                  <c:v>0.11852692812681198</c:v>
                </c:pt>
                <c:pt idx="36">
                  <c:v>9.2649795114994049E-2</c:v>
                </c:pt>
                <c:pt idx="37">
                  <c:v>8.0362327396869659E-2</c:v>
                </c:pt>
                <c:pt idx="38">
                  <c:v>3.8090236485004425E-2</c:v>
                </c:pt>
                <c:pt idx="39">
                  <c:v>-2.8641768731176853E-3</c:v>
                </c:pt>
                <c:pt idx="40">
                  <c:v>-6.9503426551818848E-2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063-4932-BB7D-B2FA29387183}"/>
            </c:ext>
          </c:extLst>
        </c:ser>
        <c:ser>
          <c:idx val="20"/>
          <c:order val="20"/>
          <c:tx>
            <c:strRef>
              <c:f>Skymaps!$D$438</c:f>
              <c:strCache>
                <c:ptCount val="1"/>
                <c:pt idx="0">
                  <c:v>20000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Skymaps!$E$438:$BC$438</c:f>
              <c:numCache>
                <c:formatCode>General</c:formatCode>
                <c:ptCount val="51"/>
                <c:pt idx="21">
                  <c:v>0.81830912828445435</c:v>
                </c:pt>
                <c:pt idx="22">
                  <c:v>0.69121712446212769</c:v>
                </c:pt>
                <c:pt idx="23">
                  <c:v>0.60030257701873779</c:v>
                </c:pt>
                <c:pt idx="24">
                  <c:v>0.54578918218612671</c:v>
                </c:pt>
                <c:pt idx="25">
                  <c:v>0.49036049842834473</c:v>
                </c:pt>
                <c:pt idx="26">
                  <c:v>0.43840023875236511</c:v>
                </c:pt>
                <c:pt idx="27">
                  <c:v>0.39275223016738892</c:v>
                </c:pt>
                <c:pt idx="28">
                  <c:v>0.35427197813987732</c:v>
                </c:pt>
                <c:pt idx="29">
                  <c:v>0.30568772554397583</c:v>
                </c:pt>
                <c:pt idx="30">
                  <c:v>0.26991361379623413</c:v>
                </c:pt>
                <c:pt idx="31">
                  <c:v>0.24688588082790375</c:v>
                </c:pt>
                <c:pt idx="32">
                  <c:v>0.20794682204723358</c:v>
                </c:pt>
                <c:pt idx="33">
                  <c:v>0.18648767471313477</c:v>
                </c:pt>
                <c:pt idx="34">
                  <c:v>0.15320056676864624</c:v>
                </c:pt>
                <c:pt idx="35">
                  <c:v>0.14159396290779114</c:v>
                </c:pt>
                <c:pt idx="36">
                  <c:v>0.10549621284008026</c:v>
                </c:pt>
                <c:pt idx="37">
                  <c:v>8.3737999200820923E-2</c:v>
                </c:pt>
                <c:pt idx="38">
                  <c:v>5.7303488254547119E-2</c:v>
                </c:pt>
                <c:pt idx="39">
                  <c:v>1.112755760550499E-2</c:v>
                </c:pt>
                <c:pt idx="40">
                  <c:v>-6.1623029410839081E-2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063-4932-BB7D-B2FA29387183}"/>
            </c:ext>
          </c:extLst>
        </c:ser>
        <c:ser>
          <c:idx val="21"/>
          <c:order val="21"/>
          <c:tx>
            <c:strRef>
              <c:f>Skymaps!$D$439</c:f>
              <c:strCache>
                <c:ptCount val="1"/>
                <c:pt idx="0">
                  <c:v>21000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Skymaps!$E$439:$BC$439</c:f>
              <c:numCache>
                <c:formatCode>General</c:formatCode>
                <c:ptCount val="51"/>
                <c:pt idx="22">
                  <c:v>0.75305932760238647</c:v>
                </c:pt>
                <c:pt idx="23">
                  <c:v>0.62919747829437256</c:v>
                </c:pt>
                <c:pt idx="24">
                  <c:v>0.56797325611114502</c:v>
                </c:pt>
                <c:pt idx="25">
                  <c:v>0.51660937070846558</c:v>
                </c:pt>
                <c:pt idx="26">
                  <c:v>0.46690130233764648</c:v>
                </c:pt>
                <c:pt idx="27">
                  <c:v>0.4169691801071167</c:v>
                </c:pt>
                <c:pt idx="28">
                  <c:v>0.36981585621833801</c:v>
                </c:pt>
                <c:pt idx="29">
                  <c:v>0.32720974087715149</c:v>
                </c:pt>
                <c:pt idx="30">
                  <c:v>0.29779431223869324</c:v>
                </c:pt>
                <c:pt idx="31">
                  <c:v>0.2579425573348999</c:v>
                </c:pt>
                <c:pt idx="32">
                  <c:v>0.22870513796806335</c:v>
                </c:pt>
                <c:pt idx="33">
                  <c:v>0.20056048035621643</c:v>
                </c:pt>
                <c:pt idx="34">
                  <c:v>0.17272177338600159</c:v>
                </c:pt>
                <c:pt idx="35">
                  <c:v>0.14637352526187897</c:v>
                </c:pt>
                <c:pt idx="36">
                  <c:v>0.12598238885402679</c:v>
                </c:pt>
                <c:pt idx="37">
                  <c:v>9.4265542924404144E-2</c:v>
                </c:pt>
                <c:pt idx="38">
                  <c:v>6.7507728934288025E-2</c:v>
                </c:pt>
                <c:pt idx="39">
                  <c:v>3.1649358570575714E-2</c:v>
                </c:pt>
                <c:pt idx="40">
                  <c:v>-4.642292857170105E-2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063-4932-BB7D-B2FA29387183}"/>
            </c:ext>
          </c:extLst>
        </c:ser>
        <c:ser>
          <c:idx val="22"/>
          <c:order val="22"/>
          <c:tx>
            <c:strRef>
              <c:f>Skymaps!$D$440</c:f>
              <c:strCache>
                <c:ptCount val="1"/>
                <c:pt idx="0">
                  <c:v>22000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Skymaps!$E$440:$BC$440</c:f>
              <c:numCache>
                <c:formatCode>General</c:formatCode>
                <c:ptCount val="51"/>
                <c:pt idx="22">
                  <c:v>0.80827838182449341</c:v>
                </c:pt>
                <c:pt idx="23">
                  <c:v>0.68452537059783936</c:v>
                </c:pt>
                <c:pt idx="24">
                  <c:v>0.60028165578842163</c:v>
                </c:pt>
                <c:pt idx="25">
                  <c:v>0.54985606670379639</c:v>
                </c:pt>
                <c:pt idx="26">
                  <c:v>0.49561259150505066</c:v>
                </c:pt>
                <c:pt idx="27">
                  <c:v>0.44594892859458923</c:v>
                </c:pt>
                <c:pt idx="28">
                  <c:v>0.40407171845436096</c:v>
                </c:pt>
                <c:pt idx="29">
                  <c:v>0.360882967710495</c:v>
                </c:pt>
                <c:pt idx="30">
                  <c:v>0.31125271320343018</c:v>
                </c:pt>
                <c:pt idx="31">
                  <c:v>0.27752995491027832</c:v>
                </c:pt>
                <c:pt idx="32">
                  <c:v>0.25113025307655334</c:v>
                </c:pt>
                <c:pt idx="33">
                  <c:v>0.215157151222229</c:v>
                </c:pt>
                <c:pt idx="34">
                  <c:v>0.19622626900672913</c:v>
                </c:pt>
                <c:pt idx="35">
                  <c:v>0.161918044090271</c:v>
                </c:pt>
                <c:pt idx="36">
                  <c:v>0.13818114995956421</c:v>
                </c:pt>
                <c:pt idx="37">
                  <c:v>0.11250452697277069</c:v>
                </c:pt>
                <c:pt idx="38">
                  <c:v>7.6719328761100769E-2</c:v>
                </c:pt>
                <c:pt idx="39">
                  <c:v>4.4970769435167313E-2</c:v>
                </c:pt>
                <c:pt idx="40">
                  <c:v>-2.3517627269029617E-2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063-4932-BB7D-B2FA29387183}"/>
            </c:ext>
          </c:extLst>
        </c:ser>
        <c:ser>
          <c:idx val="23"/>
          <c:order val="23"/>
          <c:tx>
            <c:strRef>
              <c:f>Skymaps!$D$441</c:f>
              <c:strCache>
                <c:ptCount val="1"/>
                <c:pt idx="0">
                  <c:v>23000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Skymaps!$E$441:$BC$441</c:f>
              <c:numCache>
                <c:formatCode>General</c:formatCode>
                <c:ptCount val="51"/>
                <c:pt idx="23">
                  <c:v>0.74752885103225708</c:v>
                </c:pt>
                <c:pt idx="24">
                  <c:v>0.62922435998916626</c:v>
                </c:pt>
                <c:pt idx="25">
                  <c:v>0.57090693712234497</c:v>
                </c:pt>
                <c:pt idx="26">
                  <c:v>0.51893067359924316</c:v>
                </c:pt>
                <c:pt idx="27">
                  <c:v>0.47015145421028137</c:v>
                </c:pt>
                <c:pt idx="28">
                  <c:v>0.42172637581825256</c:v>
                </c:pt>
                <c:pt idx="29">
                  <c:v>0.37870028614997864</c:v>
                </c:pt>
                <c:pt idx="30">
                  <c:v>0.34234446287155151</c:v>
                </c:pt>
                <c:pt idx="31">
                  <c:v>0.30182108283042908</c:v>
                </c:pt>
                <c:pt idx="32">
                  <c:v>0.26297089457511902</c:v>
                </c:pt>
                <c:pt idx="33">
                  <c:v>0.24364857375621796</c:v>
                </c:pt>
                <c:pt idx="34">
                  <c:v>0.20529685914516449</c:v>
                </c:pt>
                <c:pt idx="35">
                  <c:v>0.18862138688564301</c:v>
                </c:pt>
                <c:pt idx="36">
                  <c:v>0.15013687312602997</c:v>
                </c:pt>
                <c:pt idx="37">
                  <c:v>0.13150122761726379</c:v>
                </c:pt>
                <c:pt idx="38">
                  <c:v>9.4139829277992249E-2</c:v>
                </c:pt>
                <c:pt idx="39">
                  <c:v>5.3440038114786148E-2</c:v>
                </c:pt>
                <c:pt idx="40">
                  <c:v>-3.1145466491580009E-3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063-4932-BB7D-B2FA29387183}"/>
            </c:ext>
          </c:extLst>
        </c:ser>
        <c:ser>
          <c:idx val="24"/>
          <c:order val="24"/>
          <c:tx>
            <c:strRef>
              <c:f>Skymaps!$D$442</c:f>
              <c:strCache>
                <c:ptCount val="1"/>
                <c:pt idx="0">
                  <c:v>24000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Skymaps!$E$442:$BC$442</c:f>
              <c:numCache>
                <c:formatCode>General</c:formatCode>
                <c:ptCount val="51"/>
                <c:pt idx="23">
                  <c:v>0.80450153350830078</c:v>
                </c:pt>
                <c:pt idx="24">
                  <c:v>0.68548870086669922</c:v>
                </c:pt>
                <c:pt idx="25">
                  <c:v>0.60194200277328491</c:v>
                </c:pt>
                <c:pt idx="26">
                  <c:v>0.55504411458969116</c:v>
                </c:pt>
                <c:pt idx="27">
                  <c:v>0.50639104843139648</c:v>
                </c:pt>
                <c:pt idx="28">
                  <c:v>0.45935744047164917</c:v>
                </c:pt>
                <c:pt idx="29">
                  <c:v>0.41233307123184204</c:v>
                </c:pt>
                <c:pt idx="30">
                  <c:v>0.36492118239402771</c:v>
                </c:pt>
                <c:pt idx="31">
                  <c:v>0.32060813903808594</c:v>
                </c:pt>
                <c:pt idx="32">
                  <c:v>0.29102998971939087</c:v>
                </c:pt>
                <c:pt idx="33">
                  <c:v>0.25294202566146851</c:v>
                </c:pt>
                <c:pt idx="34">
                  <c:v>0.22858224809169769</c:v>
                </c:pt>
                <c:pt idx="35">
                  <c:v>0.19798824191093445</c:v>
                </c:pt>
                <c:pt idx="36">
                  <c:v>0.17339695990085602</c:v>
                </c:pt>
                <c:pt idx="37">
                  <c:v>0.14039058983325958</c:v>
                </c:pt>
                <c:pt idx="38">
                  <c:v>0.11867973208427429</c:v>
                </c:pt>
                <c:pt idx="39">
                  <c:v>7.107970118522644E-2</c:v>
                </c:pt>
                <c:pt idx="40">
                  <c:v>5.7606110349297523E-3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063-4932-BB7D-B2FA29387183}"/>
            </c:ext>
          </c:extLst>
        </c:ser>
        <c:ser>
          <c:idx val="25"/>
          <c:order val="25"/>
          <c:tx>
            <c:strRef>
              <c:f>Skymaps!$D$443</c:f>
              <c:strCache>
                <c:ptCount val="1"/>
                <c:pt idx="0">
                  <c:v>25000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Skymaps!$E$443:$BC$443</c:f>
              <c:numCache>
                <c:formatCode>General</c:formatCode>
                <c:ptCount val="51"/>
                <c:pt idx="24">
                  <c:v>0.74959808588027954</c:v>
                </c:pt>
                <c:pt idx="25">
                  <c:v>0.63550692796707153</c:v>
                </c:pt>
                <c:pt idx="26">
                  <c:v>0.57739067077636719</c:v>
                </c:pt>
                <c:pt idx="27">
                  <c:v>0.52529650926589966</c:v>
                </c:pt>
                <c:pt idx="28">
                  <c:v>0.47815898060798645</c:v>
                </c:pt>
                <c:pt idx="29">
                  <c:v>0.43233698606491089</c:v>
                </c:pt>
                <c:pt idx="30">
                  <c:v>0.39349180459976196</c:v>
                </c:pt>
                <c:pt idx="31">
                  <c:v>0.35733851790428162</c:v>
                </c:pt>
                <c:pt idx="32">
                  <c:v>0.3063805103302002</c:v>
                </c:pt>
                <c:pt idx="33">
                  <c:v>0.27439206838607788</c:v>
                </c:pt>
                <c:pt idx="34">
                  <c:v>0.24632748961448669</c:v>
                </c:pt>
                <c:pt idx="35">
                  <c:v>0.2155277281999588</c:v>
                </c:pt>
                <c:pt idx="36">
                  <c:v>0.18839056789875031</c:v>
                </c:pt>
                <c:pt idx="37">
                  <c:v>0.16068896651268005</c:v>
                </c:pt>
                <c:pt idx="38">
                  <c:v>0.12458503246307373</c:v>
                </c:pt>
                <c:pt idx="39">
                  <c:v>9.8175272345542908E-2</c:v>
                </c:pt>
                <c:pt idx="40">
                  <c:v>2.6182465255260468E-2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063-4932-BB7D-B2FA29387183}"/>
            </c:ext>
          </c:extLst>
        </c:ser>
        <c:ser>
          <c:idx val="26"/>
          <c:order val="26"/>
          <c:tx>
            <c:strRef>
              <c:f>Skymaps!$D$444</c:f>
              <c:strCache>
                <c:ptCount val="1"/>
                <c:pt idx="0">
                  <c:v>26000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Skymaps!$E$444:$BC$444</c:f>
              <c:numCache>
                <c:formatCode>General</c:formatCode>
                <c:ptCount val="51"/>
                <c:pt idx="24">
                  <c:v>0.80704104900360107</c:v>
                </c:pt>
                <c:pt idx="25">
                  <c:v>0.69525492191314697</c:v>
                </c:pt>
                <c:pt idx="26">
                  <c:v>0.6052398681640625</c:v>
                </c:pt>
                <c:pt idx="27">
                  <c:v>0.55643343925476074</c:v>
                </c:pt>
                <c:pt idx="28">
                  <c:v>0.51146918535232544</c:v>
                </c:pt>
                <c:pt idx="29">
                  <c:v>0.46513146162033081</c:v>
                </c:pt>
                <c:pt idx="30">
                  <c:v>0.41718488931655884</c:v>
                </c:pt>
                <c:pt idx="31">
                  <c:v>0.37262898683547974</c:v>
                </c:pt>
                <c:pt idx="32">
                  <c:v>0.33842694759368896</c:v>
                </c:pt>
                <c:pt idx="33">
                  <c:v>0.29794010519981384</c:v>
                </c:pt>
                <c:pt idx="34">
                  <c:v>0.26165491342544556</c:v>
                </c:pt>
                <c:pt idx="35">
                  <c:v>0.24211972951889038</c:v>
                </c:pt>
                <c:pt idx="36">
                  <c:v>0.20192565023899078</c:v>
                </c:pt>
                <c:pt idx="37">
                  <c:v>0.18029291927814484</c:v>
                </c:pt>
                <c:pt idx="38">
                  <c:v>0.14103846251964569</c:v>
                </c:pt>
                <c:pt idx="39">
                  <c:v>0.10534495115280151</c:v>
                </c:pt>
                <c:pt idx="40">
                  <c:v>5.8392800390720367E-2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063-4932-BB7D-B2FA29387183}"/>
            </c:ext>
          </c:extLst>
        </c:ser>
        <c:ser>
          <c:idx val="27"/>
          <c:order val="27"/>
          <c:tx>
            <c:strRef>
              <c:f>Skymaps!$D$445</c:f>
              <c:strCache>
                <c:ptCount val="1"/>
                <c:pt idx="0">
                  <c:v>27000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Skymaps!$E$445:$BC$445</c:f>
              <c:numCache>
                <c:formatCode>General</c:formatCode>
                <c:ptCount val="51"/>
                <c:pt idx="25">
                  <c:v>0.76029932498931885</c:v>
                </c:pt>
                <c:pt idx="26">
                  <c:v>0.64640611410140991</c:v>
                </c:pt>
                <c:pt idx="27">
                  <c:v>0.59005522727966309</c:v>
                </c:pt>
                <c:pt idx="28">
                  <c:v>0.53768283128738403</c:v>
                </c:pt>
                <c:pt idx="29">
                  <c:v>0.49307367205619812</c:v>
                </c:pt>
                <c:pt idx="30">
                  <c:v>0.45189276337623596</c:v>
                </c:pt>
                <c:pt idx="31">
                  <c:v>0.40911009907722473</c:v>
                </c:pt>
                <c:pt idx="32">
                  <c:v>0.35919645428657532</c:v>
                </c:pt>
                <c:pt idx="33">
                  <c:v>0.32033395767211914</c:v>
                </c:pt>
                <c:pt idx="34">
                  <c:v>0.29375433921813965</c:v>
                </c:pt>
                <c:pt idx="35">
                  <c:v>0.25267744064331055</c:v>
                </c:pt>
                <c:pt idx="36">
                  <c:v>0.22952951490879059</c:v>
                </c:pt>
                <c:pt idx="37">
                  <c:v>0.19044007360935211</c:v>
                </c:pt>
                <c:pt idx="38">
                  <c:v>0.16931925714015961</c:v>
                </c:pt>
                <c:pt idx="39">
                  <c:v>0.12241855263710022</c:v>
                </c:pt>
                <c:pt idx="40">
                  <c:v>7.2298713028430939E-2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063-4932-BB7D-B2FA29387183}"/>
            </c:ext>
          </c:extLst>
        </c:ser>
        <c:ser>
          <c:idx val="28"/>
          <c:order val="28"/>
          <c:tx>
            <c:strRef>
              <c:f>Skymaps!$D$446</c:f>
              <c:strCache>
                <c:ptCount val="1"/>
                <c:pt idx="0">
                  <c:v>28000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Skymaps!$E$446:$BC$446</c:f>
              <c:numCache>
                <c:formatCode>General</c:formatCode>
                <c:ptCount val="51"/>
                <c:pt idx="25">
                  <c:v>0.81707388162612915</c:v>
                </c:pt>
                <c:pt idx="26">
                  <c:v>0.70998686552047729</c:v>
                </c:pt>
                <c:pt idx="27">
                  <c:v>0.61344021558761597</c:v>
                </c:pt>
                <c:pt idx="28">
                  <c:v>0.5633537769317627</c:v>
                </c:pt>
                <c:pt idx="29">
                  <c:v>0.51746231317520142</c:v>
                </c:pt>
                <c:pt idx="30">
                  <c:v>0.47356405854225159</c:v>
                </c:pt>
                <c:pt idx="31">
                  <c:v>0.42869684100151062</c:v>
                </c:pt>
                <c:pt idx="32">
                  <c:v>0.39015769958496094</c:v>
                </c:pt>
                <c:pt idx="33">
                  <c:v>0.35148650407791138</c:v>
                </c:pt>
                <c:pt idx="34">
                  <c:v>0.3073233962059021</c:v>
                </c:pt>
                <c:pt idx="35">
                  <c:v>0.28148502111434937</c:v>
                </c:pt>
                <c:pt idx="36">
                  <c:v>0.24197275936603546</c:v>
                </c:pt>
                <c:pt idx="37">
                  <c:v>0.21489180624485016</c:v>
                </c:pt>
                <c:pt idx="38">
                  <c:v>0.17699752748012543</c:v>
                </c:pt>
                <c:pt idx="39">
                  <c:v>0.15223675966262817</c:v>
                </c:pt>
                <c:pt idx="40">
                  <c:v>9.3982964754104614E-2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063-4932-BB7D-B2FA29387183}"/>
            </c:ext>
          </c:extLst>
        </c:ser>
        <c:ser>
          <c:idx val="29"/>
          <c:order val="29"/>
          <c:tx>
            <c:strRef>
              <c:f>Skymaps!$D$447</c:f>
              <c:strCache>
                <c:ptCount val="1"/>
                <c:pt idx="0">
                  <c:v>29000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Skymaps!$E$447:$BC$447</c:f>
              <c:numCache>
                <c:formatCode>General</c:formatCode>
                <c:ptCount val="51"/>
                <c:pt idx="26">
                  <c:v>0.77489286661148071</c:v>
                </c:pt>
                <c:pt idx="27">
                  <c:v>0.66451728343963623</c:v>
                </c:pt>
                <c:pt idx="28">
                  <c:v>0.5991860032081604</c:v>
                </c:pt>
                <c:pt idx="29">
                  <c:v>0.55370110273361206</c:v>
                </c:pt>
                <c:pt idx="30">
                  <c:v>0.5100024938583374</c:v>
                </c:pt>
                <c:pt idx="31">
                  <c:v>0.46224552392959595</c:v>
                </c:pt>
                <c:pt idx="32">
                  <c:v>0.41365519165992737</c:v>
                </c:pt>
                <c:pt idx="33">
                  <c:v>0.37223762273788452</c:v>
                </c:pt>
                <c:pt idx="34">
                  <c:v>0.34645727276802063</c:v>
                </c:pt>
                <c:pt idx="35">
                  <c:v>0.29786276817321777</c:v>
                </c:pt>
                <c:pt idx="36">
                  <c:v>0.26617023348808289</c:v>
                </c:pt>
                <c:pt idx="37">
                  <c:v>0.2332444041967392</c:v>
                </c:pt>
                <c:pt idx="38">
                  <c:v>0.19969666004180908</c:v>
                </c:pt>
                <c:pt idx="39">
                  <c:v>0.16224725544452667</c:v>
                </c:pt>
                <c:pt idx="40">
                  <c:v>0.13314199447631836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063-4932-BB7D-B2FA29387183}"/>
            </c:ext>
          </c:extLst>
        </c:ser>
        <c:ser>
          <c:idx val="30"/>
          <c:order val="30"/>
          <c:tx>
            <c:strRef>
              <c:f>Skymaps!$D$448</c:f>
              <c:strCache>
                <c:ptCount val="1"/>
                <c:pt idx="0">
                  <c:v>30000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Skymaps!$E$448:$BC$448</c:f>
              <c:numCache>
                <c:formatCode>General</c:formatCode>
                <c:ptCount val="51"/>
                <c:pt idx="27">
                  <c:v>0.73148435354232788</c:v>
                </c:pt>
                <c:pt idx="28">
                  <c:v>0.62952345609664917</c:v>
                </c:pt>
                <c:pt idx="29">
                  <c:v>0.57984143495559692</c:v>
                </c:pt>
                <c:pt idx="30">
                  <c:v>0.53350871801376343</c:v>
                </c:pt>
                <c:pt idx="31">
                  <c:v>0.49072155356407166</c:v>
                </c:pt>
                <c:pt idx="32">
                  <c:v>0.45286056399345398</c:v>
                </c:pt>
                <c:pt idx="33">
                  <c:v>0.40516147017478943</c:v>
                </c:pt>
                <c:pt idx="34">
                  <c:v>0.35944855213165283</c:v>
                </c:pt>
                <c:pt idx="35">
                  <c:v>0.32797029614448547</c:v>
                </c:pt>
                <c:pt idx="36">
                  <c:v>0.28895685076713562</c:v>
                </c:pt>
                <c:pt idx="37">
                  <c:v>0.25349682569503784</c:v>
                </c:pt>
                <c:pt idx="38">
                  <c:v>0.22344528138637543</c:v>
                </c:pt>
                <c:pt idx="39">
                  <c:v>0.18537417054176331</c:v>
                </c:pt>
                <c:pt idx="40">
                  <c:v>0.15077972412109375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063-4932-BB7D-B2FA29387183}"/>
            </c:ext>
          </c:extLst>
        </c:ser>
        <c:ser>
          <c:idx val="31"/>
          <c:order val="31"/>
          <c:tx>
            <c:strRef>
              <c:f>Skymaps!$D$449</c:f>
              <c:strCache>
                <c:ptCount val="1"/>
                <c:pt idx="0">
                  <c:v>31000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Skymaps!$E$449:$BC$449</c:f>
              <c:numCache>
                <c:formatCode>General</c:formatCode>
                <c:ptCount val="51"/>
                <c:pt idx="27">
                  <c:v>0.79460108280181885</c:v>
                </c:pt>
                <c:pt idx="28">
                  <c:v>0.6904643177986145</c:v>
                </c:pt>
                <c:pt idx="29">
                  <c:v>0.6076817512512207</c:v>
                </c:pt>
                <c:pt idx="30">
                  <c:v>0.56129717826843262</c:v>
                </c:pt>
                <c:pt idx="31">
                  <c:v>0.51611077785491943</c:v>
                </c:pt>
                <c:pt idx="32">
                  <c:v>0.47274401783943176</c:v>
                </c:pt>
                <c:pt idx="33">
                  <c:v>0.4329369068145752</c:v>
                </c:pt>
                <c:pt idx="34">
                  <c:v>0.39965319633483887</c:v>
                </c:pt>
                <c:pt idx="35">
                  <c:v>0.35053002834320068</c:v>
                </c:pt>
                <c:pt idx="36">
                  <c:v>0.31321871280670166</c:v>
                </c:pt>
                <c:pt idx="37">
                  <c:v>0.28198567032814026</c:v>
                </c:pt>
                <c:pt idx="38">
                  <c:v>0.24097451567649841</c:v>
                </c:pt>
                <c:pt idx="39">
                  <c:v>0.21305207908153534</c:v>
                </c:pt>
                <c:pt idx="40">
                  <c:v>0.17891488969326019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063-4932-BB7D-B2FA29387183}"/>
            </c:ext>
          </c:extLst>
        </c:ser>
        <c:ser>
          <c:idx val="32"/>
          <c:order val="32"/>
          <c:tx>
            <c:strRef>
              <c:f>Skymaps!$D$450</c:f>
              <c:strCache>
                <c:ptCount val="1"/>
                <c:pt idx="0">
                  <c:v>32000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Skymaps!$E$450:$BC$450</c:f>
              <c:numCache>
                <c:formatCode>General</c:formatCode>
                <c:ptCount val="51"/>
                <c:pt idx="28">
                  <c:v>0.75851935148239136</c:v>
                </c:pt>
                <c:pt idx="29">
                  <c:v>0.6554948091506958</c:v>
                </c:pt>
                <c:pt idx="30">
                  <c:v>0.59860086441040039</c:v>
                </c:pt>
                <c:pt idx="31">
                  <c:v>0.55164879560470581</c:v>
                </c:pt>
                <c:pt idx="32">
                  <c:v>0.50676751136779785</c:v>
                </c:pt>
                <c:pt idx="33">
                  <c:v>0.46116241812705994</c:v>
                </c:pt>
                <c:pt idx="34">
                  <c:v>0.41838696599006653</c:v>
                </c:pt>
                <c:pt idx="35">
                  <c:v>0.38496360182762146</c:v>
                </c:pt>
                <c:pt idx="36">
                  <c:v>0.34464672207832336</c:v>
                </c:pt>
                <c:pt idx="37">
                  <c:v>0.30135354399681091</c:v>
                </c:pt>
                <c:pt idx="38">
                  <c:v>0.28004652261734009</c:v>
                </c:pt>
                <c:pt idx="39">
                  <c:v>0.2343260645866394</c:v>
                </c:pt>
                <c:pt idx="40">
                  <c:v>0.21838870644569397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063-4932-BB7D-B2FA29387183}"/>
            </c:ext>
          </c:extLst>
        </c:ser>
        <c:ser>
          <c:idx val="33"/>
          <c:order val="33"/>
          <c:tx>
            <c:strRef>
              <c:f>Skymaps!$D$451</c:f>
              <c:strCache>
                <c:ptCount val="1"/>
                <c:pt idx="0">
                  <c:v>33000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Skymaps!$E$451:$BC$451</c:f>
              <c:numCache>
                <c:formatCode>General</c:formatCode>
                <c:ptCount val="51"/>
                <c:pt idx="29">
                  <c:v>0.72349977493286133</c:v>
                </c:pt>
                <c:pt idx="30">
                  <c:v>0.62852281332015991</c:v>
                </c:pt>
                <c:pt idx="31">
                  <c:v>0.58287417888641357</c:v>
                </c:pt>
                <c:pt idx="32">
                  <c:v>0.53802621364593506</c:v>
                </c:pt>
                <c:pt idx="33">
                  <c:v>0.49989491701126099</c:v>
                </c:pt>
                <c:pt idx="34">
                  <c:v>0.45436477661132813</c:v>
                </c:pt>
                <c:pt idx="35">
                  <c:v>0.40819588303565979</c:v>
                </c:pt>
                <c:pt idx="36">
                  <c:v>0.37231847643852234</c:v>
                </c:pt>
                <c:pt idx="37">
                  <c:v>0.34077161550521851</c:v>
                </c:pt>
                <c:pt idx="38">
                  <c:v>0.29738670587539673</c:v>
                </c:pt>
                <c:pt idx="39">
                  <c:v>0.28209185600280762</c:v>
                </c:pt>
                <c:pt idx="40">
                  <c:v>0.24240823090076447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063-4932-BB7D-B2FA29387183}"/>
            </c:ext>
          </c:extLst>
        </c:ser>
        <c:ser>
          <c:idx val="34"/>
          <c:order val="34"/>
          <c:tx>
            <c:strRef>
              <c:f>Skymaps!$D$452</c:f>
              <c:strCache>
                <c:ptCount val="1"/>
                <c:pt idx="0">
                  <c:v>34000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Skymaps!$E$452:$BC$452</c:f>
              <c:numCache>
                <c:formatCode>General</c:formatCode>
                <c:ptCount val="51"/>
                <c:pt idx="30">
                  <c:v>0.69054543972015381</c:v>
                </c:pt>
                <c:pt idx="31">
                  <c:v>0.60935598611831665</c:v>
                </c:pt>
                <c:pt idx="32">
                  <c:v>0.56431680917739868</c:v>
                </c:pt>
                <c:pt idx="33">
                  <c:v>0.52178323268890381</c:v>
                </c:pt>
                <c:pt idx="34">
                  <c:v>0.48333173990249634</c:v>
                </c:pt>
                <c:pt idx="35">
                  <c:v>0.45098793506622314</c:v>
                </c:pt>
                <c:pt idx="36">
                  <c:v>0.40306773781776428</c:v>
                </c:pt>
                <c:pt idx="37">
                  <c:v>0.36284840106964111</c:v>
                </c:pt>
                <c:pt idx="38">
                  <c:v>0.34395202994346619</c:v>
                </c:pt>
                <c:pt idx="39">
                  <c:v>0.29935988783836365</c:v>
                </c:pt>
                <c:pt idx="40">
                  <c:v>0.30000901222229004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063-4932-BB7D-B2FA29387183}"/>
            </c:ext>
          </c:extLst>
        </c:ser>
        <c:ser>
          <c:idx val="35"/>
          <c:order val="35"/>
          <c:tx>
            <c:strRef>
              <c:f>Skymaps!$D$453</c:f>
              <c:strCache>
                <c:ptCount val="1"/>
                <c:pt idx="0">
                  <c:v>35000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Skymaps!$E$453:$BC$453</c:f>
              <c:numCache>
                <c:formatCode>General</c:formatCode>
                <c:ptCount val="51"/>
                <c:pt idx="31">
                  <c:v>0.66227835416793823</c:v>
                </c:pt>
                <c:pt idx="32">
                  <c:v>0.59800243377685547</c:v>
                </c:pt>
                <c:pt idx="33">
                  <c:v>0.55279463529586792</c:v>
                </c:pt>
                <c:pt idx="34">
                  <c:v>0.51083159446716309</c:v>
                </c:pt>
                <c:pt idx="35">
                  <c:v>0.47175583243370056</c:v>
                </c:pt>
                <c:pt idx="36">
                  <c:v>0.44017156958580017</c:v>
                </c:pt>
                <c:pt idx="37">
                  <c:v>0.40027165412902832</c:v>
                </c:pt>
                <c:pt idx="38">
                  <c:v>0.3631998598575592</c:v>
                </c:pt>
                <c:pt idx="39">
                  <c:v>0.35057243704795837</c:v>
                </c:pt>
                <c:pt idx="40">
                  <c:v>0.3207356333732605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063-4932-BB7D-B2FA29387183}"/>
            </c:ext>
          </c:extLst>
        </c:ser>
        <c:ser>
          <c:idx val="36"/>
          <c:order val="36"/>
          <c:tx>
            <c:strRef>
              <c:f>Skymaps!$D$454</c:f>
              <c:strCache>
                <c:ptCount val="1"/>
                <c:pt idx="0">
                  <c:v>36000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Skymaps!$E$454:$BC$454</c:f>
              <c:numCache>
                <c:formatCode>General</c:formatCode>
                <c:ptCount val="51"/>
                <c:pt idx="33">
                  <c:v>0.59218305349349976</c:v>
                </c:pt>
                <c:pt idx="34">
                  <c:v>0.54602479934692383</c:v>
                </c:pt>
                <c:pt idx="35">
                  <c:v>0.50327527523040771</c:v>
                </c:pt>
                <c:pt idx="36">
                  <c:v>0.46627095341682434</c:v>
                </c:pt>
                <c:pt idx="37">
                  <c:v>0.43123620748519897</c:v>
                </c:pt>
                <c:pt idx="38">
                  <c:v>0.40537318587303162</c:v>
                </c:pt>
                <c:pt idx="39">
                  <c:v>0.37059634923934937</c:v>
                </c:pt>
                <c:pt idx="40">
                  <c:v>0.37059980630874634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B063-4932-BB7D-B2FA29387183}"/>
            </c:ext>
          </c:extLst>
        </c:ser>
        <c:ser>
          <c:idx val="37"/>
          <c:order val="37"/>
          <c:tx>
            <c:strRef>
              <c:f>Skymaps!$D$455</c:f>
              <c:strCache>
                <c:ptCount val="1"/>
                <c:pt idx="0">
                  <c:v>37000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Skymaps!$E$455:$BC$455</c:f>
              <c:numCache>
                <c:formatCode>General</c:formatCode>
                <c:ptCount val="51"/>
                <c:pt idx="35">
                  <c:v>0.54275393486022949</c:v>
                </c:pt>
                <c:pt idx="36">
                  <c:v>0.50414186716079712</c:v>
                </c:pt>
                <c:pt idx="37">
                  <c:v>0.46337321400642395</c:v>
                </c:pt>
                <c:pt idx="38">
                  <c:v>0.43483102321624756</c:v>
                </c:pt>
                <c:pt idx="39">
                  <c:v>0.41614323854446411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B063-4932-BB7D-B2FA29387183}"/>
            </c:ext>
          </c:extLst>
        </c:ser>
        <c:ser>
          <c:idx val="38"/>
          <c:order val="38"/>
          <c:tx>
            <c:strRef>
              <c:f>Skymaps!$D$456</c:f>
              <c:strCache>
                <c:ptCount val="1"/>
                <c:pt idx="0">
                  <c:v>38000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Skymaps!$E$456:$BC$456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6-B063-4932-BB7D-B2FA29387183}"/>
            </c:ext>
          </c:extLst>
        </c:ser>
        <c:ser>
          <c:idx val="39"/>
          <c:order val="39"/>
          <c:tx>
            <c:strRef>
              <c:f>Skymaps!$D$457</c:f>
              <c:strCache>
                <c:ptCount val="1"/>
                <c:pt idx="0">
                  <c:v>39000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Skymaps!$E$457:$BC$457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B063-4932-BB7D-B2FA29387183}"/>
            </c:ext>
          </c:extLst>
        </c:ser>
        <c:ser>
          <c:idx val="40"/>
          <c:order val="40"/>
          <c:tx>
            <c:strRef>
              <c:f>Skymaps!$D$458</c:f>
              <c:strCache>
                <c:ptCount val="1"/>
                <c:pt idx="0">
                  <c:v>40000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Skymaps!$E$458:$BC$458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B063-4932-BB7D-B2FA29387183}"/>
            </c:ext>
          </c:extLst>
        </c:ser>
        <c:ser>
          <c:idx val="41"/>
          <c:order val="41"/>
          <c:tx>
            <c:strRef>
              <c:f>Skymaps!$D$459</c:f>
              <c:strCache>
                <c:ptCount val="1"/>
                <c:pt idx="0">
                  <c:v>41000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Skymaps!$E$459:$BC$459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B063-4932-BB7D-B2FA29387183}"/>
            </c:ext>
          </c:extLst>
        </c:ser>
        <c:ser>
          <c:idx val="42"/>
          <c:order val="42"/>
          <c:tx>
            <c:strRef>
              <c:f>Skymaps!$D$460</c:f>
              <c:strCache>
                <c:ptCount val="1"/>
                <c:pt idx="0">
                  <c:v>42000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Skymaps!$E$460:$BC$460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B063-4932-BB7D-B2FA29387183}"/>
            </c:ext>
          </c:extLst>
        </c:ser>
        <c:ser>
          <c:idx val="43"/>
          <c:order val="43"/>
          <c:tx>
            <c:strRef>
              <c:f>Skymaps!$D$461</c:f>
              <c:strCache>
                <c:ptCount val="1"/>
                <c:pt idx="0">
                  <c:v>43000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Skymaps!$E$461:$BC$461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B063-4932-BB7D-B2FA29387183}"/>
            </c:ext>
          </c:extLst>
        </c:ser>
        <c:ser>
          <c:idx val="44"/>
          <c:order val="44"/>
          <c:tx>
            <c:strRef>
              <c:f>Skymaps!$D$462</c:f>
              <c:strCache>
                <c:ptCount val="1"/>
                <c:pt idx="0">
                  <c:v>44000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Skymaps!$E$462:$BC$462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B063-4932-BB7D-B2FA29387183}"/>
            </c:ext>
          </c:extLst>
        </c:ser>
        <c:ser>
          <c:idx val="45"/>
          <c:order val="45"/>
          <c:tx>
            <c:strRef>
              <c:f>Skymaps!$D$463</c:f>
              <c:strCache>
                <c:ptCount val="1"/>
                <c:pt idx="0">
                  <c:v>45000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Skymaps!$E$463:$BC$463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B063-4932-BB7D-B2FA29387183}"/>
            </c:ext>
          </c:extLst>
        </c:ser>
        <c:ser>
          <c:idx val="46"/>
          <c:order val="46"/>
          <c:tx>
            <c:strRef>
              <c:f>Skymaps!$D$464</c:f>
              <c:strCache>
                <c:ptCount val="1"/>
                <c:pt idx="0">
                  <c:v>46000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Skymaps!$E$464:$BC$464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B063-4932-BB7D-B2FA29387183}"/>
            </c:ext>
          </c:extLst>
        </c:ser>
        <c:ser>
          <c:idx val="47"/>
          <c:order val="47"/>
          <c:tx>
            <c:strRef>
              <c:f>Skymaps!$D$465</c:f>
              <c:strCache>
                <c:ptCount val="1"/>
                <c:pt idx="0">
                  <c:v>47000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Skymaps!$E$465:$BC$465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B063-4932-BB7D-B2FA29387183}"/>
            </c:ext>
          </c:extLst>
        </c:ser>
        <c:ser>
          <c:idx val="48"/>
          <c:order val="48"/>
          <c:tx>
            <c:strRef>
              <c:f>Skymaps!$D$466</c:f>
              <c:strCache>
                <c:ptCount val="1"/>
                <c:pt idx="0">
                  <c:v>48000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Skymaps!$E$466:$BC$466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B063-4932-BB7D-B2FA29387183}"/>
            </c:ext>
          </c:extLst>
        </c:ser>
        <c:ser>
          <c:idx val="49"/>
          <c:order val="49"/>
          <c:tx>
            <c:strRef>
              <c:f>Skymaps!$D$467</c:f>
              <c:strCache>
                <c:ptCount val="1"/>
                <c:pt idx="0">
                  <c:v>49000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Skymaps!$E$467:$BC$467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B063-4932-BB7D-B2FA29387183}"/>
            </c:ext>
          </c:extLst>
        </c:ser>
        <c:ser>
          <c:idx val="50"/>
          <c:order val="50"/>
          <c:tx>
            <c:strRef>
              <c:f>Skymaps!$D$468</c:f>
              <c:strCache>
                <c:ptCount val="1"/>
                <c:pt idx="0">
                  <c:v>50000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Skymaps!$E$468:$BC$468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B063-4932-BB7D-B2FA29387183}"/>
            </c:ext>
          </c:extLst>
        </c:ser>
        <c:bandFmts>
          <c:bandFmt>
            <c:idx val="51"/>
            <c:spPr>
              <a:ln w="9525" cap="rnd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bandFmt>
        </c:bandFmts>
        <c:axId val="586228728"/>
        <c:axId val="586232336"/>
        <c:axId val="302067968"/>
      </c:surfaceChart>
      <c:catAx>
        <c:axId val="586228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32336"/>
        <c:crosses val="autoZero"/>
        <c:auto val="1"/>
        <c:lblAlgn val="ctr"/>
        <c:lblOffset val="100"/>
        <c:noMultiLvlLbl val="0"/>
      </c:catAx>
      <c:valAx>
        <c:axId val="58623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28728"/>
        <c:crosses val="autoZero"/>
        <c:crossBetween val="midCat"/>
        <c:majorUnit val="5.000000000000001E-2"/>
      </c:valAx>
      <c:serAx>
        <c:axId val="3020679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32336"/>
        <c:crosses val="autoZero"/>
      </c:ser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Skymaps!$D$522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Skymaps!$E$522:$BC$522</c:f>
              <c:numCache>
                <c:formatCode>General</c:formatCode>
                <c:ptCount val="51"/>
                <c:pt idx="13">
                  <c:v>18095.376953125</c:v>
                </c:pt>
                <c:pt idx="14">
                  <c:v>18142.138671875</c:v>
                </c:pt>
                <c:pt idx="15">
                  <c:v>18188.900390625</c:v>
                </c:pt>
                <c:pt idx="16">
                  <c:v>18267.98828125</c:v>
                </c:pt>
                <c:pt idx="17">
                  <c:v>18347.076171875</c:v>
                </c:pt>
                <c:pt idx="18">
                  <c:v>18426.1640625</c:v>
                </c:pt>
                <c:pt idx="19">
                  <c:v>18505.25390625</c:v>
                </c:pt>
                <c:pt idx="20">
                  <c:v>18584.341796875</c:v>
                </c:pt>
                <c:pt idx="21">
                  <c:v>16716.255859375</c:v>
                </c:pt>
                <c:pt idx="22">
                  <c:v>14848.169921875</c:v>
                </c:pt>
                <c:pt idx="23">
                  <c:v>12980.0849609375</c:v>
                </c:pt>
                <c:pt idx="24">
                  <c:v>11111.998046875</c:v>
                </c:pt>
                <c:pt idx="25">
                  <c:v>9243.9130859375</c:v>
                </c:pt>
                <c:pt idx="26">
                  <c:v>9181.6318359375</c:v>
                </c:pt>
                <c:pt idx="27">
                  <c:v>9119.3515625</c:v>
                </c:pt>
                <c:pt idx="28">
                  <c:v>9057.0703125</c:v>
                </c:pt>
                <c:pt idx="29">
                  <c:v>8994.7900390625</c:v>
                </c:pt>
                <c:pt idx="30">
                  <c:v>8932.5087890625</c:v>
                </c:pt>
                <c:pt idx="31">
                  <c:v>8859.345703125</c:v>
                </c:pt>
                <c:pt idx="32">
                  <c:v>8786.18359375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91-442B-8C70-2AEC2D6D5894}"/>
            </c:ext>
          </c:extLst>
        </c:ser>
        <c:ser>
          <c:idx val="1"/>
          <c:order val="1"/>
          <c:tx>
            <c:strRef>
              <c:f>Skymaps!$D$523</c:f>
              <c:strCache>
                <c:ptCount val="1"/>
                <c:pt idx="0">
                  <c:v>1000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Skymaps!$E$523:$BC$523</c:f>
              <c:numCache>
                <c:formatCode>General</c:formatCode>
                <c:ptCount val="51"/>
                <c:pt idx="14">
                  <c:v>17750.685546875</c:v>
                </c:pt>
                <c:pt idx="15">
                  <c:v>17798.529296875</c:v>
                </c:pt>
                <c:pt idx="16">
                  <c:v>17876.1875</c:v>
                </c:pt>
                <c:pt idx="17">
                  <c:v>17953.845703125</c:v>
                </c:pt>
                <c:pt idx="18">
                  <c:v>18031.50390625</c:v>
                </c:pt>
                <c:pt idx="19">
                  <c:v>18109.162109375</c:v>
                </c:pt>
                <c:pt idx="20">
                  <c:v>18186.822265625</c:v>
                </c:pt>
                <c:pt idx="21">
                  <c:v>16391.794921875</c:v>
                </c:pt>
                <c:pt idx="22">
                  <c:v>14596.7705078125</c:v>
                </c:pt>
                <c:pt idx="23">
                  <c:v>12801.7431640625</c:v>
                </c:pt>
                <c:pt idx="24">
                  <c:v>11006.7177734375</c:v>
                </c:pt>
                <c:pt idx="25">
                  <c:v>9211.6923828125</c:v>
                </c:pt>
                <c:pt idx="26">
                  <c:v>9150.1337890625</c:v>
                </c:pt>
                <c:pt idx="27">
                  <c:v>9088.576171875</c:v>
                </c:pt>
                <c:pt idx="28">
                  <c:v>9027.017578125</c:v>
                </c:pt>
                <c:pt idx="29">
                  <c:v>8965.458984375</c:v>
                </c:pt>
                <c:pt idx="30">
                  <c:v>8903.9013671875</c:v>
                </c:pt>
                <c:pt idx="31">
                  <c:v>8832.234375</c:v>
                </c:pt>
                <c:pt idx="32">
                  <c:v>8760.5673828125</c:v>
                </c:pt>
                <c:pt idx="33">
                  <c:v>8688.900390625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91-442B-8C70-2AEC2D6D5894}"/>
            </c:ext>
          </c:extLst>
        </c:ser>
        <c:ser>
          <c:idx val="2"/>
          <c:order val="2"/>
          <c:tx>
            <c:strRef>
              <c:f>Skymaps!$D$524</c:f>
              <c:strCache>
                <c:ptCount val="1"/>
                <c:pt idx="0">
                  <c:v>2000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Skymaps!$E$524:$BC$524</c:f>
              <c:numCache>
                <c:formatCode>General</c:formatCode>
                <c:ptCount val="51"/>
                <c:pt idx="14">
                  <c:v>17359.232421875</c:v>
                </c:pt>
                <c:pt idx="15">
                  <c:v>17408.158203125</c:v>
                </c:pt>
                <c:pt idx="16">
                  <c:v>17484.38671875</c:v>
                </c:pt>
                <c:pt idx="17">
                  <c:v>17560.615234375</c:v>
                </c:pt>
                <c:pt idx="18">
                  <c:v>17636.84375</c:v>
                </c:pt>
                <c:pt idx="19">
                  <c:v>17713.072265625</c:v>
                </c:pt>
                <c:pt idx="20">
                  <c:v>17789.30078125</c:v>
                </c:pt>
                <c:pt idx="21">
                  <c:v>16067.3349609375</c:v>
                </c:pt>
                <c:pt idx="22">
                  <c:v>14345.369140625</c:v>
                </c:pt>
                <c:pt idx="23">
                  <c:v>12623.4033203125</c:v>
                </c:pt>
                <c:pt idx="24">
                  <c:v>10901.4375</c:v>
                </c:pt>
                <c:pt idx="25">
                  <c:v>9179.4716796875</c:v>
                </c:pt>
                <c:pt idx="26">
                  <c:v>9118.6357421875</c:v>
                </c:pt>
                <c:pt idx="27">
                  <c:v>9057.80078125</c:v>
                </c:pt>
                <c:pt idx="28">
                  <c:v>8996.9638671875</c:v>
                </c:pt>
                <c:pt idx="29">
                  <c:v>8936.12890625</c:v>
                </c:pt>
                <c:pt idx="30">
                  <c:v>8875.29296875</c:v>
                </c:pt>
                <c:pt idx="31">
                  <c:v>8805.12109375</c:v>
                </c:pt>
                <c:pt idx="32">
                  <c:v>8734.9501953125</c:v>
                </c:pt>
                <c:pt idx="33">
                  <c:v>8664.7783203125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91-442B-8C70-2AEC2D6D5894}"/>
            </c:ext>
          </c:extLst>
        </c:ser>
        <c:ser>
          <c:idx val="3"/>
          <c:order val="3"/>
          <c:tx>
            <c:strRef>
              <c:f>Skymaps!$D$525</c:f>
              <c:strCache>
                <c:ptCount val="1"/>
                <c:pt idx="0">
                  <c:v>3000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Skymaps!$E$525:$BC$525</c:f>
              <c:numCache>
                <c:formatCode>General</c:formatCode>
                <c:ptCount val="51"/>
                <c:pt idx="14">
                  <c:v>16967.77734375</c:v>
                </c:pt>
                <c:pt idx="15">
                  <c:v>17017.787109375</c:v>
                </c:pt>
                <c:pt idx="16">
                  <c:v>17092.5859375</c:v>
                </c:pt>
                <c:pt idx="17">
                  <c:v>17167.384765625</c:v>
                </c:pt>
                <c:pt idx="18">
                  <c:v>17242.18359375</c:v>
                </c:pt>
                <c:pt idx="19">
                  <c:v>17316.982421875</c:v>
                </c:pt>
                <c:pt idx="20">
                  <c:v>17391.78125</c:v>
                </c:pt>
                <c:pt idx="21">
                  <c:v>15742.875</c:v>
                </c:pt>
                <c:pt idx="22">
                  <c:v>14093.96875</c:v>
                </c:pt>
                <c:pt idx="23">
                  <c:v>12445.0625</c:v>
                </c:pt>
                <c:pt idx="24">
                  <c:v>10796.1572265625</c:v>
                </c:pt>
                <c:pt idx="25">
                  <c:v>9147.2509765625</c:v>
                </c:pt>
                <c:pt idx="26">
                  <c:v>9087.138671875</c:v>
                </c:pt>
                <c:pt idx="27">
                  <c:v>9027.025390625</c:v>
                </c:pt>
                <c:pt idx="28">
                  <c:v>8966.912109375</c:v>
                </c:pt>
                <c:pt idx="29">
                  <c:v>8906.798828125</c:v>
                </c:pt>
                <c:pt idx="30">
                  <c:v>8846.685546875</c:v>
                </c:pt>
                <c:pt idx="31">
                  <c:v>8778.0087890625</c:v>
                </c:pt>
                <c:pt idx="32">
                  <c:v>8709.3330078125</c:v>
                </c:pt>
                <c:pt idx="33">
                  <c:v>8640.658203125</c:v>
                </c:pt>
                <c:pt idx="34">
                  <c:v>8571.9814453125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91-442B-8C70-2AEC2D6D5894}"/>
            </c:ext>
          </c:extLst>
        </c:ser>
        <c:ser>
          <c:idx val="4"/>
          <c:order val="4"/>
          <c:tx>
            <c:strRef>
              <c:f>Skymaps!$D$526</c:f>
              <c:strCache>
                <c:ptCount val="1"/>
                <c:pt idx="0">
                  <c:v>4000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Skymaps!$E$526:$BC$526</c:f>
              <c:numCache>
                <c:formatCode>General</c:formatCode>
                <c:ptCount val="51"/>
                <c:pt idx="14">
                  <c:v>16576.32421875</c:v>
                </c:pt>
                <c:pt idx="15">
                  <c:v>16627.416015625</c:v>
                </c:pt>
                <c:pt idx="16">
                  <c:v>16700.78515625</c:v>
                </c:pt>
                <c:pt idx="17">
                  <c:v>16774.154296875</c:v>
                </c:pt>
                <c:pt idx="18">
                  <c:v>16847.5234375</c:v>
                </c:pt>
                <c:pt idx="19">
                  <c:v>16920.890625</c:v>
                </c:pt>
                <c:pt idx="20">
                  <c:v>16994.259765625</c:v>
                </c:pt>
                <c:pt idx="21">
                  <c:v>15418.4150390625</c:v>
                </c:pt>
                <c:pt idx="22">
                  <c:v>13842.568359375</c:v>
                </c:pt>
                <c:pt idx="23">
                  <c:v>12266.72265625</c:v>
                </c:pt>
                <c:pt idx="24">
                  <c:v>10690.876953125</c:v>
                </c:pt>
                <c:pt idx="25">
                  <c:v>9115.0302734375</c:v>
                </c:pt>
                <c:pt idx="26">
                  <c:v>9055.6396484375</c:v>
                </c:pt>
                <c:pt idx="27">
                  <c:v>8996.25</c:v>
                </c:pt>
                <c:pt idx="28">
                  <c:v>8936.8583984375</c:v>
                </c:pt>
                <c:pt idx="29">
                  <c:v>8877.4677734375</c:v>
                </c:pt>
                <c:pt idx="30">
                  <c:v>8818.0771484375</c:v>
                </c:pt>
                <c:pt idx="31">
                  <c:v>8750.896484375</c:v>
                </c:pt>
                <c:pt idx="32">
                  <c:v>8683.716796875</c:v>
                </c:pt>
                <c:pt idx="33">
                  <c:v>8616.5361328125</c:v>
                </c:pt>
                <c:pt idx="34">
                  <c:v>8549.3564453125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91-442B-8C70-2AEC2D6D5894}"/>
            </c:ext>
          </c:extLst>
        </c:ser>
        <c:ser>
          <c:idx val="5"/>
          <c:order val="5"/>
          <c:tx>
            <c:strRef>
              <c:f>Skymaps!$D$527</c:f>
              <c:strCache>
                <c:ptCount val="1"/>
                <c:pt idx="0">
                  <c:v>5000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Skymaps!$E$527:$BC$527</c:f>
              <c:numCache>
                <c:formatCode>General</c:formatCode>
                <c:ptCount val="51"/>
                <c:pt idx="15">
                  <c:v>16237.0458984375</c:v>
                </c:pt>
                <c:pt idx="16">
                  <c:v>16308.9853515625</c:v>
                </c:pt>
                <c:pt idx="17">
                  <c:v>16380.923828125</c:v>
                </c:pt>
                <c:pt idx="18">
                  <c:v>16452.861328125</c:v>
                </c:pt>
                <c:pt idx="19">
                  <c:v>16524.80078125</c:v>
                </c:pt>
                <c:pt idx="20">
                  <c:v>16596.740234375</c:v>
                </c:pt>
                <c:pt idx="21">
                  <c:v>15093.953125</c:v>
                </c:pt>
                <c:pt idx="22">
                  <c:v>13591.1689453125</c:v>
                </c:pt>
                <c:pt idx="23">
                  <c:v>12088.3828125</c:v>
                </c:pt>
                <c:pt idx="24">
                  <c:v>10585.5966796875</c:v>
                </c:pt>
                <c:pt idx="25">
                  <c:v>9082.810546875</c:v>
                </c:pt>
                <c:pt idx="26">
                  <c:v>9024.1416015625</c:v>
                </c:pt>
                <c:pt idx="27">
                  <c:v>8965.4736328125</c:v>
                </c:pt>
                <c:pt idx="28">
                  <c:v>8906.8056640625</c:v>
                </c:pt>
                <c:pt idx="29">
                  <c:v>8848.1376953125</c:v>
                </c:pt>
                <c:pt idx="30">
                  <c:v>8789.4697265625</c:v>
                </c:pt>
                <c:pt idx="31">
                  <c:v>8723.78515625</c:v>
                </c:pt>
                <c:pt idx="32">
                  <c:v>8658.1005859375</c:v>
                </c:pt>
                <c:pt idx="33">
                  <c:v>8592.416015625</c:v>
                </c:pt>
                <c:pt idx="34">
                  <c:v>8526.73046875</c:v>
                </c:pt>
                <c:pt idx="35">
                  <c:v>8461.046875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91-442B-8C70-2AEC2D6D5894}"/>
            </c:ext>
          </c:extLst>
        </c:ser>
        <c:ser>
          <c:idx val="6"/>
          <c:order val="6"/>
          <c:tx>
            <c:strRef>
              <c:f>Skymaps!$D$528</c:f>
              <c:strCache>
                <c:ptCount val="1"/>
                <c:pt idx="0">
                  <c:v>6000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Skymaps!$E$528:$BC$528</c:f>
              <c:numCache>
                <c:formatCode>General</c:formatCode>
                <c:ptCount val="51"/>
                <c:pt idx="15">
                  <c:v>14839.310546875</c:v>
                </c:pt>
                <c:pt idx="16">
                  <c:v>14889.431640625</c:v>
                </c:pt>
                <c:pt idx="17">
                  <c:v>14939.552734375</c:v>
                </c:pt>
                <c:pt idx="18">
                  <c:v>14989.6748046875</c:v>
                </c:pt>
                <c:pt idx="19">
                  <c:v>15039.796875</c:v>
                </c:pt>
                <c:pt idx="20">
                  <c:v>15089.9189453125</c:v>
                </c:pt>
                <c:pt idx="21">
                  <c:v>13879.197265625</c:v>
                </c:pt>
                <c:pt idx="22">
                  <c:v>12668.474609375</c:v>
                </c:pt>
                <c:pt idx="23">
                  <c:v>11457.751953125</c:v>
                </c:pt>
                <c:pt idx="24">
                  <c:v>10247.03125</c:v>
                </c:pt>
                <c:pt idx="25">
                  <c:v>9036.30859375</c:v>
                </c:pt>
                <c:pt idx="26">
                  <c:v>8980.9521484375</c:v>
                </c:pt>
                <c:pt idx="27">
                  <c:v>8925.59765625</c:v>
                </c:pt>
                <c:pt idx="28">
                  <c:v>8870.2412109375</c:v>
                </c:pt>
                <c:pt idx="29">
                  <c:v>8814.884765625</c:v>
                </c:pt>
                <c:pt idx="30">
                  <c:v>8759.5302734375</c:v>
                </c:pt>
                <c:pt idx="31">
                  <c:v>8696.1201171875</c:v>
                </c:pt>
                <c:pt idx="32">
                  <c:v>8632.7099609375</c:v>
                </c:pt>
                <c:pt idx="33">
                  <c:v>8569.2998046875</c:v>
                </c:pt>
                <c:pt idx="34">
                  <c:v>8505.890625</c:v>
                </c:pt>
                <c:pt idx="35">
                  <c:v>8442.48046875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91-442B-8C70-2AEC2D6D5894}"/>
            </c:ext>
          </c:extLst>
        </c:ser>
        <c:ser>
          <c:idx val="7"/>
          <c:order val="7"/>
          <c:tx>
            <c:strRef>
              <c:f>Skymaps!$D$529</c:f>
              <c:strCache>
                <c:ptCount val="1"/>
                <c:pt idx="0">
                  <c:v>7000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Skymaps!$E$529:$BC$529</c:f>
              <c:numCache>
                <c:formatCode>General</c:formatCode>
                <c:ptCount val="51"/>
                <c:pt idx="16">
                  <c:v>13469.8779296875</c:v>
                </c:pt>
                <c:pt idx="17">
                  <c:v>13498.1826171875</c:v>
                </c:pt>
                <c:pt idx="18">
                  <c:v>13526.48828125</c:v>
                </c:pt>
                <c:pt idx="19">
                  <c:v>13554.79296875</c:v>
                </c:pt>
                <c:pt idx="20">
                  <c:v>13583.0986328125</c:v>
                </c:pt>
                <c:pt idx="21">
                  <c:v>12664.4404296875</c:v>
                </c:pt>
                <c:pt idx="22">
                  <c:v>11745.7822265625</c:v>
                </c:pt>
                <c:pt idx="23">
                  <c:v>10827.1240234375</c:v>
                </c:pt>
                <c:pt idx="24">
                  <c:v>9908.4658203125</c:v>
                </c:pt>
                <c:pt idx="25">
                  <c:v>8989.806640625</c:v>
                </c:pt>
                <c:pt idx="26">
                  <c:v>8937.763671875</c:v>
                </c:pt>
                <c:pt idx="27">
                  <c:v>8885.7197265625</c:v>
                </c:pt>
                <c:pt idx="28">
                  <c:v>8833.6767578125</c:v>
                </c:pt>
                <c:pt idx="29">
                  <c:v>8781.6337890625</c:v>
                </c:pt>
                <c:pt idx="30">
                  <c:v>8729.58984375</c:v>
                </c:pt>
                <c:pt idx="31">
                  <c:v>8668.455078125</c:v>
                </c:pt>
                <c:pt idx="32">
                  <c:v>8607.3203125</c:v>
                </c:pt>
                <c:pt idx="33">
                  <c:v>8546.1845703125</c:v>
                </c:pt>
                <c:pt idx="34">
                  <c:v>8485.0498046875</c:v>
                </c:pt>
                <c:pt idx="35">
                  <c:v>8423.9150390625</c:v>
                </c:pt>
                <c:pt idx="36">
                  <c:v>8351.0830078125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91-442B-8C70-2AEC2D6D5894}"/>
            </c:ext>
          </c:extLst>
        </c:ser>
        <c:ser>
          <c:idx val="8"/>
          <c:order val="8"/>
          <c:tx>
            <c:strRef>
              <c:f>Skymaps!$D$530</c:f>
              <c:strCache>
                <c:ptCount val="1"/>
                <c:pt idx="0">
                  <c:v>8000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Skymaps!$E$530:$BC$530</c:f>
              <c:numCache>
                <c:formatCode>General</c:formatCode>
                <c:ptCount val="51"/>
                <c:pt idx="16">
                  <c:v>12050.32421875</c:v>
                </c:pt>
                <c:pt idx="17">
                  <c:v>12056.8125</c:v>
                </c:pt>
                <c:pt idx="18">
                  <c:v>12063.30078125</c:v>
                </c:pt>
                <c:pt idx="19">
                  <c:v>12069.7890625</c:v>
                </c:pt>
                <c:pt idx="20">
                  <c:v>12076.2763671875</c:v>
                </c:pt>
                <c:pt idx="21">
                  <c:v>11449.6826171875</c:v>
                </c:pt>
                <c:pt idx="22">
                  <c:v>10823.087890625</c:v>
                </c:pt>
                <c:pt idx="23">
                  <c:v>10196.4931640625</c:v>
                </c:pt>
                <c:pt idx="24">
                  <c:v>9569.8994140625</c:v>
                </c:pt>
                <c:pt idx="25">
                  <c:v>8943.3046875</c:v>
                </c:pt>
                <c:pt idx="26">
                  <c:v>8894.57421875</c:v>
                </c:pt>
                <c:pt idx="27">
                  <c:v>8845.8427734375</c:v>
                </c:pt>
                <c:pt idx="28">
                  <c:v>8797.111328125</c:v>
                </c:pt>
                <c:pt idx="29">
                  <c:v>8748.380859375</c:v>
                </c:pt>
                <c:pt idx="30">
                  <c:v>8699.650390625</c:v>
                </c:pt>
                <c:pt idx="31">
                  <c:v>8640.7900390625</c:v>
                </c:pt>
                <c:pt idx="32">
                  <c:v>8581.9296875</c:v>
                </c:pt>
                <c:pt idx="33">
                  <c:v>8523.0693359375</c:v>
                </c:pt>
                <c:pt idx="34">
                  <c:v>8464.208984375</c:v>
                </c:pt>
                <c:pt idx="35">
                  <c:v>8405.349609375</c:v>
                </c:pt>
                <c:pt idx="36">
                  <c:v>8333.0888671875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91-442B-8C70-2AEC2D6D5894}"/>
            </c:ext>
          </c:extLst>
        </c:ser>
        <c:ser>
          <c:idx val="9"/>
          <c:order val="9"/>
          <c:tx>
            <c:strRef>
              <c:f>Skymaps!$D$531</c:f>
              <c:strCache>
                <c:ptCount val="1"/>
                <c:pt idx="0">
                  <c:v>9000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Skymaps!$E$531:$BC$531</c:f>
              <c:numCache>
                <c:formatCode>General</c:formatCode>
                <c:ptCount val="51"/>
                <c:pt idx="17">
                  <c:v>10615.4423828125</c:v>
                </c:pt>
                <c:pt idx="18">
                  <c:v>10600.1142578125</c:v>
                </c:pt>
                <c:pt idx="19">
                  <c:v>10584.7841796875</c:v>
                </c:pt>
                <c:pt idx="20">
                  <c:v>10569.4560546875</c:v>
                </c:pt>
                <c:pt idx="21">
                  <c:v>10234.92578125</c:v>
                </c:pt>
                <c:pt idx="22">
                  <c:v>9900.3955078125</c:v>
                </c:pt>
                <c:pt idx="23">
                  <c:v>9565.8642578125</c:v>
                </c:pt>
                <c:pt idx="24">
                  <c:v>9231.333984375</c:v>
                </c:pt>
                <c:pt idx="25">
                  <c:v>8896.8037109375</c:v>
                </c:pt>
                <c:pt idx="26">
                  <c:v>8851.384765625</c:v>
                </c:pt>
                <c:pt idx="27">
                  <c:v>8805.9658203125</c:v>
                </c:pt>
                <c:pt idx="28">
                  <c:v>8760.5478515625</c:v>
                </c:pt>
                <c:pt idx="29">
                  <c:v>8715.12890625</c:v>
                </c:pt>
                <c:pt idx="30">
                  <c:v>8669.7099609375</c:v>
                </c:pt>
                <c:pt idx="31">
                  <c:v>8613.1240234375</c:v>
                </c:pt>
                <c:pt idx="32">
                  <c:v>8556.5390625</c:v>
                </c:pt>
                <c:pt idx="33">
                  <c:v>8499.9541015625</c:v>
                </c:pt>
                <c:pt idx="34">
                  <c:v>8443.369140625</c:v>
                </c:pt>
                <c:pt idx="35">
                  <c:v>8386.7841796875</c:v>
                </c:pt>
                <c:pt idx="36">
                  <c:v>8315.095703125</c:v>
                </c:pt>
                <c:pt idx="37">
                  <c:v>8243.408203125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91-442B-8C70-2AEC2D6D5894}"/>
            </c:ext>
          </c:extLst>
        </c:ser>
        <c:ser>
          <c:idx val="10"/>
          <c:order val="10"/>
          <c:tx>
            <c:strRef>
              <c:f>Skymaps!$D$532</c:f>
              <c:strCache>
                <c:ptCount val="1"/>
                <c:pt idx="0">
                  <c:v>10000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Skymaps!$E$532:$BC$532</c:f>
              <c:numCache>
                <c:formatCode>General</c:formatCode>
                <c:ptCount val="51"/>
                <c:pt idx="17">
                  <c:v>9174.072265625</c:v>
                </c:pt>
                <c:pt idx="18">
                  <c:v>9136.9267578125</c:v>
                </c:pt>
                <c:pt idx="19">
                  <c:v>9099.7802734375</c:v>
                </c:pt>
                <c:pt idx="20">
                  <c:v>9062.634765625</c:v>
                </c:pt>
                <c:pt idx="21">
                  <c:v>9020.16796875</c:v>
                </c:pt>
                <c:pt idx="22">
                  <c:v>8977.7021484375</c:v>
                </c:pt>
                <c:pt idx="23">
                  <c:v>8935.234375</c:v>
                </c:pt>
                <c:pt idx="24">
                  <c:v>8892.7685546875</c:v>
                </c:pt>
                <c:pt idx="25">
                  <c:v>8850.3017578125</c:v>
                </c:pt>
                <c:pt idx="26">
                  <c:v>8808.1953125</c:v>
                </c:pt>
                <c:pt idx="27">
                  <c:v>8766.0888671875</c:v>
                </c:pt>
                <c:pt idx="28">
                  <c:v>8723.982421875</c:v>
                </c:pt>
                <c:pt idx="29">
                  <c:v>8681.8759765625</c:v>
                </c:pt>
                <c:pt idx="30">
                  <c:v>8639.7705078125</c:v>
                </c:pt>
                <c:pt idx="31">
                  <c:v>8585.458984375</c:v>
                </c:pt>
                <c:pt idx="32">
                  <c:v>8531.1494140625</c:v>
                </c:pt>
                <c:pt idx="33">
                  <c:v>8476.8388671875</c:v>
                </c:pt>
                <c:pt idx="34">
                  <c:v>8422.5283203125</c:v>
                </c:pt>
                <c:pt idx="35">
                  <c:v>8368.2177734375</c:v>
                </c:pt>
                <c:pt idx="36">
                  <c:v>8297.1015625</c:v>
                </c:pt>
                <c:pt idx="37">
                  <c:v>8225.986328125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191-442B-8C70-2AEC2D6D5894}"/>
            </c:ext>
          </c:extLst>
        </c:ser>
        <c:ser>
          <c:idx val="11"/>
          <c:order val="11"/>
          <c:tx>
            <c:strRef>
              <c:f>Skymaps!$D$533</c:f>
              <c:strCache>
                <c:ptCount val="1"/>
                <c:pt idx="0">
                  <c:v>11000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Skymaps!$E$533:$BC$533</c:f>
              <c:numCache>
                <c:formatCode>General</c:formatCode>
                <c:ptCount val="51"/>
                <c:pt idx="17">
                  <c:v>9163.6259765625</c:v>
                </c:pt>
                <c:pt idx="18">
                  <c:v>9124.79296875</c:v>
                </c:pt>
                <c:pt idx="19">
                  <c:v>9085.9609375</c:v>
                </c:pt>
                <c:pt idx="20">
                  <c:v>9047.1279296875</c:v>
                </c:pt>
                <c:pt idx="21">
                  <c:v>9001.94140625</c:v>
                </c:pt>
                <c:pt idx="22">
                  <c:v>8956.75390625</c:v>
                </c:pt>
                <c:pt idx="23">
                  <c:v>8911.5673828125</c:v>
                </c:pt>
                <c:pt idx="24">
                  <c:v>8866.37890625</c:v>
                </c:pt>
                <c:pt idx="25">
                  <c:v>8821.1923828125</c:v>
                </c:pt>
                <c:pt idx="26">
                  <c:v>8777.4072265625</c:v>
                </c:pt>
                <c:pt idx="27">
                  <c:v>8733.62109375</c:v>
                </c:pt>
                <c:pt idx="28">
                  <c:v>8689.8359375</c:v>
                </c:pt>
                <c:pt idx="29">
                  <c:v>8646.0498046875</c:v>
                </c:pt>
                <c:pt idx="30">
                  <c:v>8602.263671875</c:v>
                </c:pt>
                <c:pt idx="31">
                  <c:v>8549.3017578125</c:v>
                </c:pt>
                <c:pt idx="32">
                  <c:v>8496.33984375</c:v>
                </c:pt>
                <c:pt idx="33">
                  <c:v>8443.3779296875</c:v>
                </c:pt>
                <c:pt idx="34">
                  <c:v>8390.416015625</c:v>
                </c:pt>
                <c:pt idx="35">
                  <c:v>8337.4541015625</c:v>
                </c:pt>
                <c:pt idx="36">
                  <c:v>8270.1328125</c:v>
                </c:pt>
                <c:pt idx="37">
                  <c:v>8202.8115234375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191-442B-8C70-2AEC2D6D5894}"/>
            </c:ext>
          </c:extLst>
        </c:ser>
        <c:ser>
          <c:idx val="12"/>
          <c:order val="12"/>
          <c:tx>
            <c:strRef>
              <c:f>Skymaps!$D$534</c:f>
              <c:strCache>
                <c:ptCount val="1"/>
                <c:pt idx="0">
                  <c:v>12000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Skymaps!$E$534:$BC$534</c:f>
              <c:numCache>
                <c:formatCode>General</c:formatCode>
                <c:ptCount val="51"/>
                <c:pt idx="18">
                  <c:v>9112.66015625</c:v>
                </c:pt>
                <c:pt idx="19">
                  <c:v>9072.140625</c:v>
                </c:pt>
                <c:pt idx="20">
                  <c:v>9031.6220703125</c:v>
                </c:pt>
                <c:pt idx="21">
                  <c:v>8983.7138671875</c:v>
                </c:pt>
                <c:pt idx="22">
                  <c:v>8935.806640625</c:v>
                </c:pt>
                <c:pt idx="23">
                  <c:v>8887.8984375</c:v>
                </c:pt>
                <c:pt idx="24">
                  <c:v>8839.9912109375</c:v>
                </c:pt>
                <c:pt idx="25">
                  <c:v>8792.0830078125</c:v>
                </c:pt>
                <c:pt idx="26">
                  <c:v>8746.6181640625</c:v>
                </c:pt>
                <c:pt idx="27">
                  <c:v>8701.15234375</c:v>
                </c:pt>
                <c:pt idx="28">
                  <c:v>8655.6875</c:v>
                </c:pt>
                <c:pt idx="29">
                  <c:v>8610.22265625</c:v>
                </c:pt>
                <c:pt idx="30">
                  <c:v>8564.7578125</c:v>
                </c:pt>
                <c:pt idx="31">
                  <c:v>8513.14453125</c:v>
                </c:pt>
                <c:pt idx="32">
                  <c:v>8461.5302734375</c:v>
                </c:pt>
                <c:pt idx="33">
                  <c:v>8409.9169921875</c:v>
                </c:pt>
                <c:pt idx="34">
                  <c:v>8358.3037109375</c:v>
                </c:pt>
                <c:pt idx="35">
                  <c:v>8306.689453125</c:v>
                </c:pt>
                <c:pt idx="36">
                  <c:v>8243.1640625</c:v>
                </c:pt>
                <c:pt idx="37">
                  <c:v>8179.6376953125</c:v>
                </c:pt>
                <c:pt idx="38">
                  <c:v>8116.11181640625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191-442B-8C70-2AEC2D6D5894}"/>
            </c:ext>
          </c:extLst>
        </c:ser>
        <c:ser>
          <c:idx val="13"/>
          <c:order val="13"/>
          <c:tx>
            <c:strRef>
              <c:f>Skymaps!$D$535</c:f>
              <c:strCache>
                <c:ptCount val="1"/>
                <c:pt idx="0">
                  <c:v>13000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Skymaps!$E$535:$BC$535</c:f>
              <c:numCache>
                <c:formatCode>General</c:formatCode>
                <c:ptCount val="51"/>
                <c:pt idx="18">
                  <c:v>9100.5263671875</c:v>
                </c:pt>
                <c:pt idx="19">
                  <c:v>9058.3212890625</c:v>
                </c:pt>
                <c:pt idx="20">
                  <c:v>9016.115234375</c:v>
                </c:pt>
                <c:pt idx="21">
                  <c:v>8965.486328125</c:v>
                </c:pt>
                <c:pt idx="22">
                  <c:v>8914.8583984375</c:v>
                </c:pt>
                <c:pt idx="23">
                  <c:v>8864.23046875</c:v>
                </c:pt>
                <c:pt idx="24">
                  <c:v>8813.6025390625</c:v>
                </c:pt>
                <c:pt idx="25">
                  <c:v>8762.9736328125</c:v>
                </c:pt>
                <c:pt idx="26">
                  <c:v>8715.8291015625</c:v>
                </c:pt>
                <c:pt idx="27">
                  <c:v>8668.6845703125</c:v>
                </c:pt>
                <c:pt idx="28">
                  <c:v>8621.5400390625</c:v>
                </c:pt>
                <c:pt idx="29">
                  <c:v>8574.3955078125</c:v>
                </c:pt>
                <c:pt idx="30">
                  <c:v>8527.2509765625</c:v>
                </c:pt>
                <c:pt idx="31">
                  <c:v>8476.986328125</c:v>
                </c:pt>
                <c:pt idx="32">
                  <c:v>8426.720703125</c:v>
                </c:pt>
                <c:pt idx="33">
                  <c:v>8376.4560546875</c:v>
                </c:pt>
                <c:pt idx="34">
                  <c:v>8326.19140625</c:v>
                </c:pt>
                <c:pt idx="35">
                  <c:v>8275.92578125</c:v>
                </c:pt>
                <c:pt idx="36">
                  <c:v>8216.1943359375</c:v>
                </c:pt>
                <c:pt idx="37">
                  <c:v>8156.46337890625</c:v>
                </c:pt>
                <c:pt idx="38">
                  <c:v>8096.73193359375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191-442B-8C70-2AEC2D6D5894}"/>
            </c:ext>
          </c:extLst>
        </c:ser>
        <c:ser>
          <c:idx val="14"/>
          <c:order val="14"/>
          <c:tx>
            <c:strRef>
              <c:f>Skymaps!$D$536</c:f>
              <c:strCache>
                <c:ptCount val="1"/>
                <c:pt idx="0">
                  <c:v>14000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Skymaps!$E$536:$BC$536</c:f>
              <c:numCache>
                <c:formatCode>General</c:formatCode>
                <c:ptCount val="51"/>
                <c:pt idx="19">
                  <c:v>9044.5009765625</c:v>
                </c:pt>
                <c:pt idx="20">
                  <c:v>9000.6083984375</c:v>
                </c:pt>
                <c:pt idx="21">
                  <c:v>8947.259765625</c:v>
                </c:pt>
                <c:pt idx="22">
                  <c:v>8893.9111328125</c:v>
                </c:pt>
                <c:pt idx="23">
                  <c:v>8840.5615234375</c:v>
                </c:pt>
                <c:pt idx="24">
                  <c:v>8787.212890625</c:v>
                </c:pt>
                <c:pt idx="25">
                  <c:v>8733.8642578125</c:v>
                </c:pt>
                <c:pt idx="26">
                  <c:v>8685.041015625</c:v>
                </c:pt>
                <c:pt idx="27">
                  <c:v>8636.2158203125</c:v>
                </c:pt>
                <c:pt idx="28">
                  <c:v>8587.392578125</c:v>
                </c:pt>
                <c:pt idx="29">
                  <c:v>8538.568359375</c:v>
                </c:pt>
                <c:pt idx="30">
                  <c:v>8489.7451171875</c:v>
                </c:pt>
                <c:pt idx="31">
                  <c:v>8440.828125</c:v>
                </c:pt>
                <c:pt idx="32">
                  <c:v>8391.912109375</c:v>
                </c:pt>
                <c:pt idx="33">
                  <c:v>8342.9951171875</c:v>
                </c:pt>
                <c:pt idx="34">
                  <c:v>8294.0791015625</c:v>
                </c:pt>
                <c:pt idx="35">
                  <c:v>8245.162109375</c:v>
                </c:pt>
                <c:pt idx="36">
                  <c:v>8189.2255859375</c:v>
                </c:pt>
                <c:pt idx="37">
                  <c:v>8133.28955078125</c:v>
                </c:pt>
                <c:pt idx="38">
                  <c:v>8077.35302734375</c:v>
                </c:pt>
                <c:pt idx="39">
                  <c:v>8021.41650390625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191-442B-8C70-2AEC2D6D5894}"/>
            </c:ext>
          </c:extLst>
        </c:ser>
        <c:ser>
          <c:idx val="15"/>
          <c:order val="15"/>
          <c:tx>
            <c:strRef>
              <c:f>Skymaps!$D$537</c:f>
              <c:strCache>
                <c:ptCount val="1"/>
                <c:pt idx="0">
                  <c:v>15000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Skymaps!$E$537:$BC$537</c:f>
              <c:numCache>
                <c:formatCode>General</c:formatCode>
                <c:ptCount val="51"/>
                <c:pt idx="19">
                  <c:v>9030.6806640625</c:v>
                </c:pt>
                <c:pt idx="20">
                  <c:v>8985.1015625</c:v>
                </c:pt>
                <c:pt idx="21">
                  <c:v>8929.0322265625</c:v>
                </c:pt>
                <c:pt idx="22">
                  <c:v>8872.962890625</c:v>
                </c:pt>
                <c:pt idx="23">
                  <c:v>8816.8935546875</c:v>
                </c:pt>
                <c:pt idx="24">
                  <c:v>8760.82421875</c:v>
                </c:pt>
                <c:pt idx="25">
                  <c:v>8704.7548828125</c:v>
                </c:pt>
                <c:pt idx="26">
                  <c:v>8654.2509765625</c:v>
                </c:pt>
                <c:pt idx="27">
                  <c:v>8603.748046875</c:v>
                </c:pt>
                <c:pt idx="28">
                  <c:v>8553.2451171875</c:v>
                </c:pt>
                <c:pt idx="29">
                  <c:v>8502.7421875</c:v>
                </c:pt>
                <c:pt idx="30">
                  <c:v>8452.23828125</c:v>
                </c:pt>
                <c:pt idx="31">
                  <c:v>8404.669921875</c:v>
                </c:pt>
                <c:pt idx="32">
                  <c:v>8357.1025390625</c:v>
                </c:pt>
                <c:pt idx="33">
                  <c:v>8309.5341796875</c:v>
                </c:pt>
                <c:pt idx="34">
                  <c:v>8261.9658203125</c:v>
                </c:pt>
                <c:pt idx="35">
                  <c:v>8214.3984375</c:v>
                </c:pt>
                <c:pt idx="36">
                  <c:v>8162.25634765625</c:v>
                </c:pt>
                <c:pt idx="37">
                  <c:v>8110.11474609375</c:v>
                </c:pt>
                <c:pt idx="38">
                  <c:v>8057.9736328125</c:v>
                </c:pt>
                <c:pt idx="39">
                  <c:v>8005.83203125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191-442B-8C70-2AEC2D6D5894}"/>
            </c:ext>
          </c:extLst>
        </c:ser>
        <c:ser>
          <c:idx val="16"/>
          <c:order val="16"/>
          <c:tx>
            <c:strRef>
              <c:f>Skymaps!$D$538</c:f>
              <c:strCache>
                <c:ptCount val="1"/>
                <c:pt idx="0">
                  <c:v>16000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Skymaps!$E$538:$BC$538</c:f>
              <c:numCache>
                <c:formatCode>General</c:formatCode>
                <c:ptCount val="51"/>
                <c:pt idx="19">
                  <c:v>8980.1533203125</c:v>
                </c:pt>
                <c:pt idx="20">
                  <c:v>8943.7626953125</c:v>
                </c:pt>
                <c:pt idx="21">
                  <c:v>8894.8125</c:v>
                </c:pt>
                <c:pt idx="22">
                  <c:v>8845.8623046875</c:v>
                </c:pt>
                <c:pt idx="23">
                  <c:v>8796.912109375</c:v>
                </c:pt>
                <c:pt idx="24">
                  <c:v>8747.9619140625</c:v>
                </c:pt>
                <c:pt idx="25">
                  <c:v>8699.01171875</c:v>
                </c:pt>
                <c:pt idx="26">
                  <c:v>8647.3876953125</c:v>
                </c:pt>
                <c:pt idx="27">
                  <c:v>8595.763671875</c:v>
                </c:pt>
                <c:pt idx="28">
                  <c:v>8544.138671875</c:v>
                </c:pt>
                <c:pt idx="29">
                  <c:v>8492.5146484375</c:v>
                </c:pt>
                <c:pt idx="30">
                  <c:v>8440.8896484375</c:v>
                </c:pt>
                <c:pt idx="31">
                  <c:v>8389.140625</c:v>
                </c:pt>
                <c:pt idx="32">
                  <c:v>8337.390625</c:v>
                </c:pt>
                <c:pt idx="33">
                  <c:v>8285.6416015625</c:v>
                </c:pt>
                <c:pt idx="34">
                  <c:v>8233.8916015625</c:v>
                </c:pt>
                <c:pt idx="35">
                  <c:v>8182.142578125</c:v>
                </c:pt>
                <c:pt idx="36">
                  <c:v>8129.1533203125</c:v>
                </c:pt>
                <c:pt idx="37">
                  <c:v>8076.1640625</c:v>
                </c:pt>
                <c:pt idx="38">
                  <c:v>8023.1748046875</c:v>
                </c:pt>
                <c:pt idx="39">
                  <c:v>7970.185546875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191-442B-8C70-2AEC2D6D5894}"/>
            </c:ext>
          </c:extLst>
        </c:ser>
        <c:ser>
          <c:idx val="17"/>
          <c:order val="17"/>
          <c:tx>
            <c:strRef>
              <c:f>Skymaps!$D$539</c:f>
              <c:strCache>
                <c:ptCount val="1"/>
                <c:pt idx="0">
                  <c:v>17000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Skymaps!$E$539:$BC$539</c:f>
              <c:numCache>
                <c:formatCode>General</c:formatCode>
                <c:ptCount val="51"/>
                <c:pt idx="20">
                  <c:v>8902.4228515625</c:v>
                </c:pt>
                <c:pt idx="21">
                  <c:v>8860.5927734375</c:v>
                </c:pt>
                <c:pt idx="22">
                  <c:v>8818.76171875</c:v>
                </c:pt>
                <c:pt idx="23">
                  <c:v>8776.931640625</c:v>
                </c:pt>
                <c:pt idx="24">
                  <c:v>8735.1005859375</c:v>
                </c:pt>
                <c:pt idx="25">
                  <c:v>8693.26953125</c:v>
                </c:pt>
                <c:pt idx="26">
                  <c:v>8640.5234375</c:v>
                </c:pt>
                <c:pt idx="27">
                  <c:v>8587.7783203125</c:v>
                </c:pt>
                <c:pt idx="28">
                  <c:v>8535.0322265625</c:v>
                </c:pt>
                <c:pt idx="29">
                  <c:v>8482.287109375</c:v>
                </c:pt>
                <c:pt idx="30">
                  <c:v>8429.541015625</c:v>
                </c:pt>
                <c:pt idx="31">
                  <c:v>8373.6103515625</c:v>
                </c:pt>
                <c:pt idx="32">
                  <c:v>8317.6796875</c:v>
                </c:pt>
                <c:pt idx="33">
                  <c:v>8261.7490234375</c:v>
                </c:pt>
                <c:pt idx="34">
                  <c:v>8205.818359375</c:v>
                </c:pt>
                <c:pt idx="35">
                  <c:v>8149.8876953125</c:v>
                </c:pt>
                <c:pt idx="36">
                  <c:v>8096.05029296875</c:v>
                </c:pt>
                <c:pt idx="37">
                  <c:v>8042.212890625</c:v>
                </c:pt>
                <c:pt idx="38">
                  <c:v>7988.37548828125</c:v>
                </c:pt>
                <c:pt idx="39">
                  <c:v>7934.53857421875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191-442B-8C70-2AEC2D6D5894}"/>
            </c:ext>
          </c:extLst>
        </c:ser>
        <c:ser>
          <c:idx val="18"/>
          <c:order val="18"/>
          <c:tx>
            <c:strRef>
              <c:f>Skymaps!$D$540</c:f>
              <c:strCache>
                <c:ptCount val="1"/>
                <c:pt idx="0">
                  <c:v>18000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Skymaps!$E$540:$BC$540</c:f>
              <c:numCache>
                <c:formatCode>General</c:formatCode>
                <c:ptCount val="51"/>
                <c:pt idx="20">
                  <c:v>8861.083984375</c:v>
                </c:pt>
                <c:pt idx="21">
                  <c:v>8826.3720703125</c:v>
                </c:pt>
                <c:pt idx="22">
                  <c:v>8791.6611328125</c:v>
                </c:pt>
                <c:pt idx="23">
                  <c:v>8756.9501953125</c:v>
                </c:pt>
                <c:pt idx="24">
                  <c:v>8722.23828125</c:v>
                </c:pt>
                <c:pt idx="25">
                  <c:v>8687.5263671875</c:v>
                </c:pt>
                <c:pt idx="26">
                  <c:v>8633.66015625</c:v>
                </c:pt>
                <c:pt idx="27">
                  <c:v>8579.79296875</c:v>
                </c:pt>
                <c:pt idx="28">
                  <c:v>8525.9267578125</c:v>
                </c:pt>
                <c:pt idx="29">
                  <c:v>8472.0595703125</c:v>
                </c:pt>
                <c:pt idx="30">
                  <c:v>8418.193359375</c:v>
                </c:pt>
                <c:pt idx="31">
                  <c:v>8358.0810546875</c:v>
                </c:pt>
                <c:pt idx="32">
                  <c:v>8297.96875</c:v>
                </c:pt>
                <c:pt idx="33">
                  <c:v>8237.8564453125</c:v>
                </c:pt>
                <c:pt idx="34">
                  <c:v>8177.744140625</c:v>
                </c:pt>
                <c:pt idx="35">
                  <c:v>8117.63232421875</c:v>
                </c:pt>
                <c:pt idx="36">
                  <c:v>8062.94677734375</c:v>
                </c:pt>
                <c:pt idx="37">
                  <c:v>8008.26220703125</c:v>
                </c:pt>
                <c:pt idx="38">
                  <c:v>7953.5771484375</c:v>
                </c:pt>
                <c:pt idx="39">
                  <c:v>7898.8916015625</c:v>
                </c:pt>
                <c:pt idx="40">
                  <c:v>7844.20654296875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191-442B-8C70-2AEC2D6D5894}"/>
            </c:ext>
          </c:extLst>
        </c:ser>
        <c:ser>
          <c:idx val="19"/>
          <c:order val="19"/>
          <c:tx>
            <c:strRef>
              <c:f>Skymaps!$D$541</c:f>
              <c:strCache>
                <c:ptCount val="1"/>
                <c:pt idx="0">
                  <c:v>19000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Skymaps!$E$541:$BC$541</c:f>
              <c:numCache>
                <c:formatCode>General</c:formatCode>
                <c:ptCount val="51"/>
                <c:pt idx="21">
                  <c:v>8792.1533203125</c:v>
                </c:pt>
                <c:pt idx="22">
                  <c:v>8764.560546875</c:v>
                </c:pt>
                <c:pt idx="23">
                  <c:v>8736.9677734375</c:v>
                </c:pt>
                <c:pt idx="24">
                  <c:v>8709.3759765625</c:v>
                </c:pt>
                <c:pt idx="25">
                  <c:v>8681.7841796875</c:v>
                </c:pt>
                <c:pt idx="26">
                  <c:v>8626.7958984375</c:v>
                </c:pt>
                <c:pt idx="27">
                  <c:v>8571.80859375</c:v>
                </c:pt>
                <c:pt idx="28">
                  <c:v>8516.8203125</c:v>
                </c:pt>
                <c:pt idx="29">
                  <c:v>8461.83203125</c:v>
                </c:pt>
                <c:pt idx="30">
                  <c:v>8406.8447265625</c:v>
                </c:pt>
                <c:pt idx="31">
                  <c:v>8342.55078125</c:v>
                </c:pt>
                <c:pt idx="32">
                  <c:v>8278.2568359375</c:v>
                </c:pt>
                <c:pt idx="33">
                  <c:v>8213.9638671875</c:v>
                </c:pt>
                <c:pt idx="34">
                  <c:v>8149.67041015625</c:v>
                </c:pt>
                <c:pt idx="35">
                  <c:v>8085.37744140625</c:v>
                </c:pt>
                <c:pt idx="36">
                  <c:v>8029.84375</c:v>
                </c:pt>
                <c:pt idx="37">
                  <c:v>7974.310546875</c:v>
                </c:pt>
                <c:pt idx="38">
                  <c:v>7918.77783203125</c:v>
                </c:pt>
                <c:pt idx="39">
                  <c:v>7863.24462890625</c:v>
                </c:pt>
                <c:pt idx="40">
                  <c:v>7807.7119140625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191-442B-8C70-2AEC2D6D5894}"/>
            </c:ext>
          </c:extLst>
        </c:ser>
        <c:ser>
          <c:idx val="20"/>
          <c:order val="20"/>
          <c:tx>
            <c:strRef>
              <c:f>Skymaps!$D$542</c:f>
              <c:strCache>
                <c:ptCount val="1"/>
                <c:pt idx="0">
                  <c:v>20000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Skymaps!$E$542:$BC$542</c:f>
              <c:numCache>
                <c:formatCode>General</c:formatCode>
                <c:ptCount val="51"/>
                <c:pt idx="21">
                  <c:v>8757.9326171875</c:v>
                </c:pt>
                <c:pt idx="22">
                  <c:v>8737.4599609375</c:v>
                </c:pt>
                <c:pt idx="23">
                  <c:v>8716.986328125</c:v>
                </c:pt>
                <c:pt idx="24">
                  <c:v>8696.513671875</c:v>
                </c:pt>
                <c:pt idx="25">
                  <c:v>8676.041015625</c:v>
                </c:pt>
                <c:pt idx="26">
                  <c:v>8619.9326171875</c:v>
                </c:pt>
                <c:pt idx="27">
                  <c:v>8563.8232421875</c:v>
                </c:pt>
                <c:pt idx="28">
                  <c:v>8507.7138671875</c:v>
                </c:pt>
                <c:pt idx="29">
                  <c:v>8451.6044921875</c:v>
                </c:pt>
                <c:pt idx="30">
                  <c:v>8395.49609375</c:v>
                </c:pt>
                <c:pt idx="31">
                  <c:v>8327.021484375</c:v>
                </c:pt>
                <c:pt idx="32">
                  <c:v>8258.5458984375</c:v>
                </c:pt>
                <c:pt idx="33">
                  <c:v>8190.0712890625</c:v>
                </c:pt>
                <c:pt idx="34">
                  <c:v>8121.59619140625</c:v>
                </c:pt>
                <c:pt idx="35">
                  <c:v>8053.12158203125</c:v>
                </c:pt>
                <c:pt idx="36">
                  <c:v>7996.7412109375</c:v>
                </c:pt>
                <c:pt idx="37">
                  <c:v>7940.35986328125</c:v>
                </c:pt>
                <c:pt idx="38">
                  <c:v>7883.9794921875</c:v>
                </c:pt>
                <c:pt idx="39">
                  <c:v>7827.59814453125</c:v>
                </c:pt>
                <c:pt idx="40">
                  <c:v>7771.21728515625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191-442B-8C70-2AEC2D6D5894}"/>
            </c:ext>
          </c:extLst>
        </c:ser>
        <c:ser>
          <c:idx val="21"/>
          <c:order val="21"/>
          <c:tx>
            <c:strRef>
              <c:f>Skymaps!$D$543</c:f>
              <c:strCache>
                <c:ptCount val="1"/>
                <c:pt idx="0">
                  <c:v>21000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Skymaps!$E$543:$BC$543</c:f>
              <c:numCache>
                <c:formatCode>General</c:formatCode>
                <c:ptCount val="51"/>
                <c:pt idx="22">
                  <c:v>8627.27734375</c:v>
                </c:pt>
                <c:pt idx="23">
                  <c:v>8611.8740234375</c:v>
                </c:pt>
                <c:pt idx="24">
                  <c:v>8596.470703125</c:v>
                </c:pt>
                <c:pt idx="25">
                  <c:v>8581.0673828125</c:v>
                </c:pt>
                <c:pt idx="26">
                  <c:v>8535.0302734375</c:v>
                </c:pt>
                <c:pt idx="27">
                  <c:v>8488.9931640625</c:v>
                </c:pt>
                <c:pt idx="28">
                  <c:v>8442.955078125</c:v>
                </c:pt>
                <c:pt idx="29">
                  <c:v>8396.91796875</c:v>
                </c:pt>
                <c:pt idx="30">
                  <c:v>8350.8798828125</c:v>
                </c:pt>
                <c:pt idx="31">
                  <c:v>8290.0048828125</c:v>
                </c:pt>
                <c:pt idx="32">
                  <c:v>8229.12890625</c:v>
                </c:pt>
                <c:pt idx="33">
                  <c:v>8168.25341796875</c:v>
                </c:pt>
                <c:pt idx="34">
                  <c:v>8107.3779296875</c:v>
                </c:pt>
                <c:pt idx="35">
                  <c:v>8046.50244140625</c:v>
                </c:pt>
                <c:pt idx="36">
                  <c:v>7986.68701171875</c:v>
                </c:pt>
                <c:pt idx="37">
                  <c:v>7926.87109375</c:v>
                </c:pt>
                <c:pt idx="38">
                  <c:v>7867.05615234375</c:v>
                </c:pt>
                <c:pt idx="39">
                  <c:v>7807.24072265625</c:v>
                </c:pt>
                <c:pt idx="40">
                  <c:v>7747.4248046875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191-442B-8C70-2AEC2D6D5894}"/>
            </c:ext>
          </c:extLst>
        </c:ser>
        <c:ser>
          <c:idx val="22"/>
          <c:order val="22"/>
          <c:tx>
            <c:strRef>
              <c:f>Skymaps!$D$544</c:f>
              <c:strCache>
                <c:ptCount val="1"/>
                <c:pt idx="0">
                  <c:v>22000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Skymaps!$E$544:$BC$544</c:f>
              <c:numCache>
                <c:formatCode>General</c:formatCode>
                <c:ptCount val="51"/>
                <c:pt idx="22">
                  <c:v>8517.09375</c:v>
                </c:pt>
                <c:pt idx="23">
                  <c:v>8506.7607421875</c:v>
                </c:pt>
                <c:pt idx="24">
                  <c:v>8496.427734375</c:v>
                </c:pt>
                <c:pt idx="25">
                  <c:v>8486.09375</c:v>
                </c:pt>
                <c:pt idx="26">
                  <c:v>8450.1279296875</c:v>
                </c:pt>
                <c:pt idx="27">
                  <c:v>8414.162109375</c:v>
                </c:pt>
                <c:pt idx="28">
                  <c:v>8378.1962890625</c:v>
                </c:pt>
                <c:pt idx="29">
                  <c:v>8342.2314453125</c:v>
                </c:pt>
                <c:pt idx="30">
                  <c:v>8306.265625</c:v>
                </c:pt>
                <c:pt idx="31">
                  <c:v>8252.9892578125</c:v>
                </c:pt>
                <c:pt idx="32">
                  <c:v>8199.7119140625</c:v>
                </c:pt>
                <c:pt idx="33">
                  <c:v>8146.435546875</c:v>
                </c:pt>
                <c:pt idx="34">
                  <c:v>8093.15966796875</c:v>
                </c:pt>
                <c:pt idx="35">
                  <c:v>8039.8828125</c:v>
                </c:pt>
                <c:pt idx="36">
                  <c:v>7976.6328125</c:v>
                </c:pt>
                <c:pt idx="37">
                  <c:v>7913.3828125</c:v>
                </c:pt>
                <c:pt idx="38">
                  <c:v>7850.13232421875</c:v>
                </c:pt>
                <c:pt idx="39">
                  <c:v>7786.8828125</c:v>
                </c:pt>
                <c:pt idx="40">
                  <c:v>7723.6328125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191-442B-8C70-2AEC2D6D5894}"/>
            </c:ext>
          </c:extLst>
        </c:ser>
        <c:ser>
          <c:idx val="23"/>
          <c:order val="23"/>
          <c:tx>
            <c:strRef>
              <c:f>Skymaps!$D$545</c:f>
              <c:strCache>
                <c:ptCount val="1"/>
                <c:pt idx="0">
                  <c:v>23000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Skymaps!$E$545:$BC$545</c:f>
              <c:numCache>
                <c:formatCode>General</c:formatCode>
                <c:ptCount val="51"/>
                <c:pt idx="23">
                  <c:v>8401.6474609375</c:v>
                </c:pt>
                <c:pt idx="24">
                  <c:v>8396.3837890625</c:v>
                </c:pt>
                <c:pt idx="25">
                  <c:v>8391.1201171875</c:v>
                </c:pt>
                <c:pt idx="26">
                  <c:v>8365.2255859375</c:v>
                </c:pt>
                <c:pt idx="27">
                  <c:v>8339.33203125</c:v>
                </c:pt>
                <c:pt idx="28">
                  <c:v>8313.4375</c:v>
                </c:pt>
                <c:pt idx="29">
                  <c:v>8287.5439453125</c:v>
                </c:pt>
                <c:pt idx="30">
                  <c:v>8261.650390625</c:v>
                </c:pt>
                <c:pt idx="31">
                  <c:v>8215.97265625</c:v>
                </c:pt>
                <c:pt idx="32">
                  <c:v>8170.29541015625</c:v>
                </c:pt>
                <c:pt idx="33">
                  <c:v>8124.6181640625</c:v>
                </c:pt>
                <c:pt idx="34">
                  <c:v>8078.9404296875</c:v>
                </c:pt>
                <c:pt idx="35">
                  <c:v>8033.26318359375</c:v>
                </c:pt>
                <c:pt idx="36">
                  <c:v>7966.57861328125</c:v>
                </c:pt>
                <c:pt idx="37">
                  <c:v>7899.89453125</c:v>
                </c:pt>
                <c:pt idx="38">
                  <c:v>7833.2099609375</c:v>
                </c:pt>
                <c:pt idx="39">
                  <c:v>7766.52490234375</c:v>
                </c:pt>
                <c:pt idx="40">
                  <c:v>7699.84033203125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191-442B-8C70-2AEC2D6D5894}"/>
            </c:ext>
          </c:extLst>
        </c:ser>
        <c:ser>
          <c:idx val="24"/>
          <c:order val="24"/>
          <c:tx>
            <c:strRef>
              <c:f>Skymaps!$D$546</c:f>
              <c:strCache>
                <c:ptCount val="1"/>
                <c:pt idx="0">
                  <c:v>24000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Skymaps!$E$546:$BC$546</c:f>
              <c:numCache>
                <c:formatCode>General</c:formatCode>
                <c:ptCount val="51"/>
                <c:pt idx="23">
                  <c:v>8296.5341796875</c:v>
                </c:pt>
                <c:pt idx="24">
                  <c:v>8296.33984375</c:v>
                </c:pt>
                <c:pt idx="25">
                  <c:v>8296.146484375</c:v>
                </c:pt>
                <c:pt idx="26">
                  <c:v>8280.32421875</c:v>
                </c:pt>
                <c:pt idx="27">
                  <c:v>8264.5009765625</c:v>
                </c:pt>
                <c:pt idx="28">
                  <c:v>8248.6787109375</c:v>
                </c:pt>
                <c:pt idx="29">
                  <c:v>8232.8564453125</c:v>
                </c:pt>
                <c:pt idx="30">
                  <c:v>8217.0341796875</c:v>
                </c:pt>
                <c:pt idx="31">
                  <c:v>8178.95654296875</c:v>
                </c:pt>
                <c:pt idx="32">
                  <c:v>8140.87841796875</c:v>
                </c:pt>
                <c:pt idx="33">
                  <c:v>8102.80029296875</c:v>
                </c:pt>
                <c:pt idx="34">
                  <c:v>8064.7216796875</c:v>
                </c:pt>
                <c:pt idx="35">
                  <c:v>8026.6435546875</c:v>
                </c:pt>
                <c:pt idx="36">
                  <c:v>7956.52490234375</c:v>
                </c:pt>
                <c:pt idx="37">
                  <c:v>7886.40576171875</c:v>
                </c:pt>
                <c:pt idx="38">
                  <c:v>7816.28662109375</c:v>
                </c:pt>
                <c:pt idx="39">
                  <c:v>7746.16748046875</c:v>
                </c:pt>
                <c:pt idx="40">
                  <c:v>7676.04833984375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191-442B-8C70-2AEC2D6D5894}"/>
            </c:ext>
          </c:extLst>
        </c:ser>
        <c:ser>
          <c:idx val="25"/>
          <c:order val="25"/>
          <c:tx>
            <c:strRef>
              <c:f>Skymaps!$D$547</c:f>
              <c:strCache>
                <c:ptCount val="1"/>
                <c:pt idx="0">
                  <c:v>25000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Skymaps!$E$547:$BC$547</c:f>
              <c:numCache>
                <c:formatCode>General</c:formatCode>
                <c:ptCount val="51"/>
                <c:pt idx="24">
                  <c:v>8196.2958984375</c:v>
                </c:pt>
                <c:pt idx="25">
                  <c:v>8201.171875</c:v>
                </c:pt>
                <c:pt idx="26">
                  <c:v>8195.421875</c:v>
                </c:pt>
                <c:pt idx="27">
                  <c:v>8189.67138671875</c:v>
                </c:pt>
                <c:pt idx="28">
                  <c:v>8183.919921875</c:v>
                </c:pt>
                <c:pt idx="29">
                  <c:v>8178.16943359375</c:v>
                </c:pt>
                <c:pt idx="30">
                  <c:v>8172.4189453125</c:v>
                </c:pt>
                <c:pt idx="31">
                  <c:v>8141.93994140625</c:v>
                </c:pt>
                <c:pt idx="32">
                  <c:v>8111.46142578125</c:v>
                </c:pt>
                <c:pt idx="33">
                  <c:v>8080.98193359375</c:v>
                </c:pt>
                <c:pt idx="34">
                  <c:v>8050.50341796875</c:v>
                </c:pt>
                <c:pt idx="35">
                  <c:v>8020.0244140625</c:v>
                </c:pt>
                <c:pt idx="36">
                  <c:v>7946.470703125</c:v>
                </c:pt>
                <c:pt idx="37">
                  <c:v>7872.9169921875</c:v>
                </c:pt>
                <c:pt idx="38">
                  <c:v>7799.36328125</c:v>
                </c:pt>
                <c:pt idx="39">
                  <c:v>7725.8095703125</c:v>
                </c:pt>
                <c:pt idx="40">
                  <c:v>7652.255859375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191-442B-8C70-2AEC2D6D5894}"/>
            </c:ext>
          </c:extLst>
        </c:ser>
        <c:ser>
          <c:idx val="26"/>
          <c:order val="26"/>
          <c:tx>
            <c:strRef>
              <c:f>Skymaps!$D$548</c:f>
              <c:strCache>
                <c:ptCount val="1"/>
                <c:pt idx="0">
                  <c:v>26000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Skymaps!$E$548:$BC$548</c:f>
              <c:numCache>
                <c:formatCode>General</c:formatCode>
                <c:ptCount val="51"/>
                <c:pt idx="24">
                  <c:v>8075.7734375</c:v>
                </c:pt>
                <c:pt idx="25">
                  <c:v>8080.05908203125</c:v>
                </c:pt>
                <c:pt idx="26">
                  <c:v>8075.5</c:v>
                </c:pt>
                <c:pt idx="27">
                  <c:v>8070.94189453125</c:v>
                </c:pt>
                <c:pt idx="28">
                  <c:v>8066.3828125</c:v>
                </c:pt>
                <c:pt idx="29">
                  <c:v>8061.82421875</c:v>
                </c:pt>
                <c:pt idx="30">
                  <c:v>8057.265625</c:v>
                </c:pt>
                <c:pt idx="31">
                  <c:v>8033.04638671875</c:v>
                </c:pt>
                <c:pt idx="32">
                  <c:v>8008.82763671875</c:v>
                </c:pt>
                <c:pt idx="33">
                  <c:v>7984.6083984375</c:v>
                </c:pt>
                <c:pt idx="34">
                  <c:v>7960.38916015625</c:v>
                </c:pt>
                <c:pt idx="35">
                  <c:v>7936.169921875</c:v>
                </c:pt>
                <c:pt idx="36">
                  <c:v>7875.53564453125</c:v>
                </c:pt>
                <c:pt idx="37">
                  <c:v>7814.90234375</c:v>
                </c:pt>
                <c:pt idx="38">
                  <c:v>7754.26806640625</c:v>
                </c:pt>
                <c:pt idx="39">
                  <c:v>7693.634765625</c:v>
                </c:pt>
                <c:pt idx="40">
                  <c:v>7633.0009765625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191-442B-8C70-2AEC2D6D5894}"/>
            </c:ext>
          </c:extLst>
        </c:ser>
        <c:ser>
          <c:idx val="27"/>
          <c:order val="27"/>
          <c:tx>
            <c:strRef>
              <c:f>Skymaps!$D$549</c:f>
              <c:strCache>
                <c:ptCount val="1"/>
                <c:pt idx="0">
                  <c:v>27000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Skymaps!$E$549:$BC$549</c:f>
              <c:numCache>
                <c:formatCode>General</c:formatCode>
                <c:ptCount val="51"/>
                <c:pt idx="25">
                  <c:v>7958.94580078125</c:v>
                </c:pt>
                <c:pt idx="26">
                  <c:v>7955.5791015625</c:v>
                </c:pt>
                <c:pt idx="27">
                  <c:v>7952.21240234375</c:v>
                </c:pt>
                <c:pt idx="28">
                  <c:v>7948.84521484375</c:v>
                </c:pt>
                <c:pt idx="29">
                  <c:v>7945.478515625</c:v>
                </c:pt>
                <c:pt idx="30">
                  <c:v>7942.11181640625</c:v>
                </c:pt>
                <c:pt idx="31">
                  <c:v>7924.15234375</c:v>
                </c:pt>
                <c:pt idx="32">
                  <c:v>7906.193359375</c:v>
                </c:pt>
                <c:pt idx="33">
                  <c:v>7888.23388671875</c:v>
                </c:pt>
                <c:pt idx="34">
                  <c:v>7870.27490234375</c:v>
                </c:pt>
                <c:pt idx="35">
                  <c:v>7852.3154296875</c:v>
                </c:pt>
                <c:pt idx="36">
                  <c:v>7804.6015625</c:v>
                </c:pt>
                <c:pt idx="37">
                  <c:v>7756.8876953125</c:v>
                </c:pt>
                <c:pt idx="38">
                  <c:v>7709.17333984375</c:v>
                </c:pt>
                <c:pt idx="39">
                  <c:v>7661.45947265625</c:v>
                </c:pt>
                <c:pt idx="40">
                  <c:v>7613.74609375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2191-442B-8C70-2AEC2D6D5894}"/>
            </c:ext>
          </c:extLst>
        </c:ser>
        <c:ser>
          <c:idx val="28"/>
          <c:order val="28"/>
          <c:tx>
            <c:strRef>
              <c:f>Skymaps!$D$550</c:f>
              <c:strCache>
                <c:ptCount val="1"/>
                <c:pt idx="0">
                  <c:v>28000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Skymaps!$E$550:$BC$550</c:f>
              <c:numCache>
                <c:formatCode>General</c:formatCode>
                <c:ptCount val="51"/>
                <c:pt idx="25">
                  <c:v>7837.83203125</c:v>
                </c:pt>
                <c:pt idx="26">
                  <c:v>7835.65771484375</c:v>
                </c:pt>
                <c:pt idx="27">
                  <c:v>7833.48291015625</c:v>
                </c:pt>
                <c:pt idx="28">
                  <c:v>7831.30810546875</c:v>
                </c:pt>
                <c:pt idx="29">
                  <c:v>7829.13330078125</c:v>
                </c:pt>
                <c:pt idx="30">
                  <c:v>7826.95849609375</c:v>
                </c:pt>
                <c:pt idx="31">
                  <c:v>7815.2587890625</c:v>
                </c:pt>
                <c:pt idx="32">
                  <c:v>7803.5595703125</c:v>
                </c:pt>
                <c:pt idx="33">
                  <c:v>7791.8603515625</c:v>
                </c:pt>
                <c:pt idx="34">
                  <c:v>7780.16015625</c:v>
                </c:pt>
                <c:pt idx="35">
                  <c:v>7768.4609375</c:v>
                </c:pt>
                <c:pt idx="36">
                  <c:v>7733.6669921875</c:v>
                </c:pt>
                <c:pt idx="37">
                  <c:v>7698.87255859375</c:v>
                </c:pt>
                <c:pt idx="38">
                  <c:v>7664.0791015625</c:v>
                </c:pt>
                <c:pt idx="39">
                  <c:v>7629.28515625</c:v>
                </c:pt>
                <c:pt idx="40">
                  <c:v>7594.4912109375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191-442B-8C70-2AEC2D6D5894}"/>
            </c:ext>
          </c:extLst>
        </c:ser>
        <c:ser>
          <c:idx val="29"/>
          <c:order val="29"/>
          <c:tx>
            <c:strRef>
              <c:f>Skymaps!$D$551</c:f>
              <c:strCache>
                <c:ptCount val="1"/>
                <c:pt idx="0">
                  <c:v>29000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Skymaps!$E$551:$BC$551</c:f>
              <c:numCache>
                <c:formatCode>General</c:formatCode>
                <c:ptCount val="51"/>
                <c:pt idx="26">
                  <c:v>7715.736328125</c:v>
                </c:pt>
                <c:pt idx="27">
                  <c:v>7714.75341796875</c:v>
                </c:pt>
                <c:pt idx="28">
                  <c:v>7713.7705078125</c:v>
                </c:pt>
                <c:pt idx="29">
                  <c:v>7712.78759765625</c:v>
                </c:pt>
                <c:pt idx="30">
                  <c:v>7711.80517578125</c:v>
                </c:pt>
                <c:pt idx="31">
                  <c:v>7706.365234375</c:v>
                </c:pt>
                <c:pt idx="32">
                  <c:v>7700.92578125</c:v>
                </c:pt>
                <c:pt idx="33">
                  <c:v>7695.48583984375</c:v>
                </c:pt>
                <c:pt idx="34">
                  <c:v>7690.04638671875</c:v>
                </c:pt>
                <c:pt idx="35">
                  <c:v>7684.6064453125</c:v>
                </c:pt>
                <c:pt idx="36">
                  <c:v>7662.73291015625</c:v>
                </c:pt>
                <c:pt idx="37">
                  <c:v>7640.8583984375</c:v>
                </c:pt>
                <c:pt idx="38">
                  <c:v>7618.984375</c:v>
                </c:pt>
                <c:pt idx="39">
                  <c:v>7597.10986328125</c:v>
                </c:pt>
                <c:pt idx="40">
                  <c:v>7575.23583984375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2191-442B-8C70-2AEC2D6D5894}"/>
            </c:ext>
          </c:extLst>
        </c:ser>
        <c:ser>
          <c:idx val="30"/>
          <c:order val="30"/>
          <c:tx>
            <c:strRef>
              <c:f>Skymaps!$D$552</c:f>
              <c:strCache>
                <c:ptCount val="1"/>
                <c:pt idx="0">
                  <c:v>30000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Skymaps!$E$552:$BC$552</c:f>
              <c:numCache>
                <c:formatCode>General</c:formatCode>
                <c:ptCount val="51"/>
                <c:pt idx="27">
                  <c:v>7596.02392578125</c:v>
                </c:pt>
                <c:pt idx="28">
                  <c:v>7596.2333984375</c:v>
                </c:pt>
                <c:pt idx="29">
                  <c:v>7596.4423828125</c:v>
                </c:pt>
                <c:pt idx="30">
                  <c:v>7596.6513671875</c:v>
                </c:pt>
                <c:pt idx="31">
                  <c:v>7597.47119140625</c:v>
                </c:pt>
                <c:pt idx="32">
                  <c:v>7598.29150390625</c:v>
                </c:pt>
                <c:pt idx="33">
                  <c:v>7599.1123046875</c:v>
                </c:pt>
                <c:pt idx="34">
                  <c:v>7599.93212890625</c:v>
                </c:pt>
                <c:pt idx="35">
                  <c:v>7600.75244140625</c:v>
                </c:pt>
                <c:pt idx="36">
                  <c:v>7591.7978515625</c:v>
                </c:pt>
                <c:pt idx="37">
                  <c:v>7582.84375</c:v>
                </c:pt>
                <c:pt idx="38">
                  <c:v>7573.8896484375</c:v>
                </c:pt>
                <c:pt idx="39">
                  <c:v>7564.935546875</c:v>
                </c:pt>
                <c:pt idx="40">
                  <c:v>7555.98095703125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2191-442B-8C70-2AEC2D6D5894}"/>
            </c:ext>
          </c:extLst>
        </c:ser>
        <c:ser>
          <c:idx val="31"/>
          <c:order val="31"/>
          <c:tx>
            <c:strRef>
              <c:f>Skymaps!$D$553</c:f>
              <c:strCache>
                <c:ptCount val="1"/>
                <c:pt idx="0">
                  <c:v>31000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Skymaps!$E$553:$BC$553</c:f>
              <c:numCache>
                <c:formatCode>General</c:formatCode>
                <c:ptCount val="51"/>
                <c:pt idx="27">
                  <c:v>7470.74560546875</c:v>
                </c:pt>
                <c:pt idx="28">
                  <c:v>7474.72607421875</c:v>
                </c:pt>
                <c:pt idx="29">
                  <c:v>7478.70751953125</c:v>
                </c:pt>
                <c:pt idx="30">
                  <c:v>7482.68798828125</c:v>
                </c:pt>
                <c:pt idx="31">
                  <c:v>7483.31005859375</c:v>
                </c:pt>
                <c:pt idx="32">
                  <c:v>7483.9326171875</c:v>
                </c:pt>
                <c:pt idx="33">
                  <c:v>7484.55517578125</c:v>
                </c:pt>
                <c:pt idx="34">
                  <c:v>7485.177734375</c:v>
                </c:pt>
                <c:pt idx="35">
                  <c:v>7485.7998046875</c:v>
                </c:pt>
                <c:pt idx="36">
                  <c:v>7478.65771484375</c:v>
                </c:pt>
                <c:pt idx="37">
                  <c:v>7471.515625</c:v>
                </c:pt>
                <c:pt idx="38">
                  <c:v>7464.37353515625</c:v>
                </c:pt>
                <c:pt idx="39">
                  <c:v>7457.2314453125</c:v>
                </c:pt>
                <c:pt idx="40">
                  <c:v>7450.0888671875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2191-442B-8C70-2AEC2D6D5894}"/>
            </c:ext>
          </c:extLst>
        </c:ser>
        <c:ser>
          <c:idx val="32"/>
          <c:order val="32"/>
          <c:tx>
            <c:strRef>
              <c:f>Skymaps!$D$554</c:f>
              <c:strCache>
                <c:ptCount val="1"/>
                <c:pt idx="0">
                  <c:v>32000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Skymaps!$E$554:$BC$554</c:f>
              <c:numCache>
                <c:formatCode>General</c:formatCode>
                <c:ptCount val="51"/>
                <c:pt idx="28">
                  <c:v>7353.2197265625</c:v>
                </c:pt>
                <c:pt idx="29">
                  <c:v>7360.9716796875</c:v>
                </c:pt>
                <c:pt idx="30">
                  <c:v>7368.724609375</c:v>
                </c:pt>
                <c:pt idx="31">
                  <c:v>7369.1484375</c:v>
                </c:pt>
                <c:pt idx="32">
                  <c:v>7369.5732421875</c:v>
                </c:pt>
                <c:pt idx="33">
                  <c:v>7369.998046875</c:v>
                </c:pt>
                <c:pt idx="34">
                  <c:v>7370.4228515625</c:v>
                </c:pt>
                <c:pt idx="35">
                  <c:v>7370.84765625</c:v>
                </c:pt>
                <c:pt idx="36">
                  <c:v>7365.517578125</c:v>
                </c:pt>
                <c:pt idx="37">
                  <c:v>7360.1875</c:v>
                </c:pt>
                <c:pt idx="38">
                  <c:v>7354.857421875</c:v>
                </c:pt>
                <c:pt idx="39">
                  <c:v>7349.5263671875</c:v>
                </c:pt>
                <c:pt idx="40">
                  <c:v>7344.1962890625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2191-442B-8C70-2AEC2D6D5894}"/>
            </c:ext>
          </c:extLst>
        </c:ser>
        <c:ser>
          <c:idx val="33"/>
          <c:order val="33"/>
          <c:tx>
            <c:strRef>
              <c:f>Skymaps!$D$555</c:f>
              <c:strCache>
                <c:ptCount val="1"/>
                <c:pt idx="0">
                  <c:v>33000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Skymaps!$E$555:$BC$555</c:f>
              <c:numCache>
                <c:formatCode>General</c:formatCode>
                <c:ptCount val="51"/>
                <c:pt idx="29">
                  <c:v>7243.23681640625</c:v>
                </c:pt>
                <c:pt idx="30">
                  <c:v>7254.76025390625</c:v>
                </c:pt>
                <c:pt idx="31">
                  <c:v>7254.9873046875</c:v>
                </c:pt>
                <c:pt idx="32">
                  <c:v>7255.21435546875</c:v>
                </c:pt>
                <c:pt idx="33">
                  <c:v>7255.44189453125</c:v>
                </c:pt>
                <c:pt idx="34">
                  <c:v>7255.66845703125</c:v>
                </c:pt>
                <c:pt idx="35">
                  <c:v>7255.8955078125</c:v>
                </c:pt>
                <c:pt idx="36">
                  <c:v>7252.37744140625</c:v>
                </c:pt>
                <c:pt idx="37">
                  <c:v>7248.859375</c:v>
                </c:pt>
                <c:pt idx="38">
                  <c:v>7245.34033203125</c:v>
                </c:pt>
                <c:pt idx="39">
                  <c:v>7241.822265625</c:v>
                </c:pt>
                <c:pt idx="40">
                  <c:v>7238.30419921875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2191-442B-8C70-2AEC2D6D5894}"/>
            </c:ext>
          </c:extLst>
        </c:ser>
        <c:ser>
          <c:idx val="34"/>
          <c:order val="34"/>
          <c:tx>
            <c:strRef>
              <c:f>Skymaps!$D$556</c:f>
              <c:strCache>
                <c:ptCount val="1"/>
                <c:pt idx="0">
                  <c:v>34000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Skymaps!$E$556:$BC$556</c:f>
              <c:numCache>
                <c:formatCode>General</c:formatCode>
                <c:ptCount val="51"/>
                <c:pt idx="30">
                  <c:v>7140.796875</c:v>
                </c:pt>
                <c:pt idx="31">
                  <c:v>7140.826171875</c:v>
                </c:pt>
                <c:pt idx="32">
                  <c:v>7140.85546875</c:v>
                </c:pt>
                <c:pt idx="33">
                  <c:v>7140.884765625</c:v>
                </c:pt>
                <c:pt idx="34">
                  <c:v>7140.91357421875</c:v>
                </c:pt>
                <c:pt idx="35">
                  <c:v>7140.94287109375</c:v>
                </c:pt>
                <c:pt idx="36">
                  <c:v>7139.2373046875</c:v>
                </c:pt>
                <c:pt idx="37">
                  <c:v>7137.5302734375</c:v>
                </c:pt>
                <c:pt idx="38">
                  <c:v>7135.82421875</c:v>
                </c:pt>
                <c:pt idx="39">
                  <c:v>7134.1181640625</c:v>
                </c:pt>
                <c:pt idx="40">
                  <c:v>7132.41162109375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191-442B-8C70-2AEC2D6D5894}"/>
            </c:ext>
          </c:extLst>
        </c:ser>
        <c:ser>
          <c:idx val="35"/>
          <c:order val="35"/>
          <c:tx>
            <c:strRef>
              <c:f>Skymaps!$D$557</c:f>
              <c:strCache>
                <c:ptCount val="1"/>
                <c:pt idx="0">
                  <c:v>35000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Skymaps!$E$557:$BC$557</c:f>
              <c:numCache>
                <c:formatCode>General</c:formatCode>
                <c:ptCount val="51"/>
                <c:pt idx="31">
                  <c:v>7026.66455078125</c:v>
                </c:pt>
                <c:pt idx="32">
                  <c:v>7026.49658203125</c:v>
                </c:pt>
                <c:pt idx="33">
                  <c:v>7026.32763671875</c:v>
                </c:pt>
                <c:pt idx="34">
                  <c:v>7026.15966796875</c:v>
                </c:pt>
                <c:pt idx="35">
                  <c:v>7025.99072265625</c:v>
                </c:pt>
                <c:pt idx="36">
                  <c:v>7026.0966796875</c:v>
                </c:pt>
                <c:pt idx="37">
                  <c:v>7026.2021484375</c:v>
                </c:pt>
                <c:pt idx="38">
                  <c:v>7026.30810546875</c:v>
                </c:pt>
                <c:pt idx="39">
                  <c:v>7026.41357421875</c:v>
                </c:pt>
                <c:pt idx="40">
                  <c:v>7026.51953125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2191-442B-8C70-2AEC2D6D5894}"/>
            </c:ext>
          </c:extLst>
        </c:ser>
        <c:ser>
          <c:idx val="36"/>
          <c:order val="36"/>
          <c:tx>
            <c:strRef>
              <c:f>Skymaps!$D$558</c:f>
              <c:strCache>
                <c:ptCount val="1"/>
                <c:pt idx="0">
                  <c:v>36000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Skymaps!$E$558:$BC$558</c:f>
              <c:numCache>
                <c:formatCode>General</c:formatCode>
                <c:ptCount val="51"/>
                <c:pt idx="33">
                  <c:v>6765.93310546875</c:v>
                </c:pt>
                <c:pt idx="34">
                  <c:v>6764.92138671875</c:v>
                </c:pt>
                <c:pt idx="35">
                  <c:v>6763.9091796875</c:v>
                </c:pt>
                <c:pt idx="36">
                  <c:v>6764.10498046875</c:v>
                </c:pt>
                <c:pt idx="37">
                  <c:v>6764.30126953125</c:v>
                </c:pt>
                <c:pt idx="38">
                  <c:v>6764.49755859375</c:v>
                </c:pt>
                <c:pt idx="39">
                  <c:v>6764.6943359375</c:v>
                </c:pt>
                <c:pt idx="40">
                  <c:v>6764.8896484375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2191-442B-8C70-2AEC2D6D5894}"/>
            </c:ext>
          </c:extLst>
        </c:ser>
        <c:ser>
          <c:idx val="37"/>
          <c:order val="37"/>
          <c:tx>
            <c:strRef>
              <c:f>Skymaps!$D$559</c:f>
              <c:strCache>
                <c:ptCount val="1"/>
                <c:pt idx="0">
                  <c:v>37000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Skymaps!$E$559:$BC$559</c:f>
              <c:numCache>
                <c:formatCode>General</c:formatCode>
                <c:ptCount val="51"/>
                <c:pt idx="35">
                  <c:v>6501.82763671875</c:v>
                </c:pt>
                <c:pt idx="36">
                  <c:v>6502.11376953125</c:v>
                </c:pt>
                <c:pt idx="37">
                  <c:v>6502.400390625</c:v>
                </c:pt>
                <c:pt idx="38">
                  <c:v>6502.68701171875</c:v>
                </c:pt>
                <c:pt idx="39">
                  <c:v>6502.9736328125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2191-442B-8C70-2AEC2D6D5894}"/>
            </c:ext>
          </c:extLst>
        </c:ser>
        <c:ser>
          <c:idx val="38"/>
          <c:order val="38"/>
          <c:tx>
            <c:strRef>
              <c:f>Skymaps!$D$560</c:f>
              <c:strCache>
                <c:ptCount val="1"/>
                <c:pt idx="0">
                  <c:v>38000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Skymaps!$E$560:$BC$560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6-2191-442B-8C70-2AEC2D6D5894}"/>
            </c:ext>
          </c:extLst>
        </c:ser>
        <c:ser>
          <c:idx val="39"/>
          <c:order val="39"/>
          <c:tx>
            <c:strRef>
              <c:f>Skymaps!$D$561</c:f>
              <c:strCache>
                <c:ptCount val="1"/>
                <c:pt idx="0">
                  <c:v>39000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Skymaps!$E$561:$BC$561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2191-442B-8C70-2AEC2D6D5894}"/>
            </c:ext>
          </c:extLst>
        </c:ser>
        <c:ser>
          <c:idx val="40"/>
          <c:order val="40"/>
          <c:tx>
            <c:strRef>
              <c:f>Skymaps!$D$562</c:f>
              <c:strCache>
                <c:ptCount val="1"/>
                <c:pt idx="0">
                  <c:v>40000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Skymaps!$E$562:$BC$562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2191-442B-8C70-2AEC2D6D5894}"/>
            </c:ext>
          </c:extLst>
        </c:ser>
        <c:ser>
          <c:idx val="41"/>
          <c:order val="41"/>
          <c:tx>
            <c:strRef>
              <c:f>Skymaps!$D$563</c:f>
              <c:strCache>
                <c:ptCount val="1"/>
                <c:pt idx="0">
                  <c:v>41000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Skymaps!$E$563:$BC$563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2191-442B-8C70-2AEC2D6D5894}"/>
            </c:ext>
          </c:extLst>
        </c:ser>
        <c:ser>
          <c:idx val="42"/>
          <c:order val="42"/>
          <c:tx>
            <c:strRef>
              <c:f>Skymaps!$D$564</c:f>
              <c:strCache>
                <c:ptCount val="1"/>
                <c:pt idx="0">
                  <c:v>42000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Skymaps!$E$564:$BC$564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2191-442B-8C70-2AEC2D6D5894}"/>
            </c:ext>
          </c:extLst>
        </c:ser>
        <c:ser>
          <c:idx val="43"/>
          <c:order val="43"/>
          <c:tx>
            <c:strRef>
              <c:f>Skymaps!$D$565</c:f>
              <c:strCache>
                <c:ptCount val="1"/>
                <c:pt idx="0">
                  <c:v>43000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Skymaps!$E$565:$BC$565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2191-442B-8C70-2AEC2D6D5894}"/>
            </c:ext>
          </c:extLst>
        </c:ser>
        <c:ser>
          <c:idx val="44"/>
          <c:order val="44"/>
          <c:tx>
            <c:strRef>
              <c:f>Skymaps!$D$566</c:f>
              <c:strCache>
                <c:ptCount val="1"/>
                <c:pt idx="0">
                  <c:v>44000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Skymaps!$E$566:$BC$566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2191-442B-8C70-2AEC2D6D5894}"/>
            </c:ext>
          </c:extLst>
        </c:ser>
        <c:ser>
          <c:idx val="45"/>
          <c:order val="45"/>
          <c:tx>
            <c:strRef>
              <c:f>Skymaps!$D$567</c:f>
              <c:strCache>
                <c:ptCount val="1"/>
                <c:pt idx="0">
                  <c:v>45000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Skymaps!$E$567:$BC$567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2191-442B-8C70-2AEC2D6D5894}"/>
            </c:ext>
          </c:extLst>
        </c:ser>
        <c:ser>
          <c:idx val="46"/>
          <c:order val="46"/>
          <c:tx>
            <c:strRef>
              <c:f>Skymaps!$D$568</c:f>
              <c:strCache>
                <c:ptCount val="1"/>
                <c:pt idx="0">
                  <c:v>46000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Skymaps!$E$568:$BC$568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2191-442B-8C70-2AEC2D6D5894}"/>
            </c:ext>
          </c:extLst>
        </c:ser>
        <c:ser>
          <c:idx val="47"/>
          <c:order val="47"/>
          <c:tx>
            <c:strRef>
              <c:f>Skymaps!$D$569</c:f>
              <c:strCache>
                <c:ptCount val="1"/>
                <c:pt idx="0">
                  <c:v>47000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Skymaps!$E$569:$BC$569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2191-442B-8C70-2AEC2D6D5894}"/>
            </c:ext>
          </c:extLst>
        </c:ser>
        <c:ser>
          <c:idx val="48"/>
          <c:order val="48"/>
          <c:tx>
            <c:strRef>
              <c:f>Skymaps!$D$570</c:f>
              <c:strCache>
                <c:ptCount val="1"/>
                <c:pt idx="0">
                  <c:v>48000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Skymaps!$E$570:$BC$570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2191-442B-8C70-2AEC2D6D5894}"/>
            </c:ext>
          </c:extLst>
        </c:ser>
        <c:ser>
          <c:idx val="49"/>
          <c:order val="49"/>
          <c:tx>
            <c:strRef>
              <c:f>Skymaps!$D$571</c:f>
              <c:strCache>
                <c:ptCount val="1"/>
                <c:pt idx="0">
                  <c:v>49000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Skymaps!$E$571:$BC$571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2191-442B-8C70-2AEC2D6D5894}"/>
            </c:ext>
          </c:extLst>
        </c:ser>
        <c:ser>
          <c:idx val="50"/>
          <c:order val="50"/>
          <c:tx>
            <c:strRef>
              <c:f>Skymaps!$D$572</c:f>
              <c:strCache>
                <c:ptCount val="1"/>
                <c:pt idx="0">
                  <c:v>50000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Skymaps!$E$572:$BC$572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2191-442B-8C70-2AEC2D6D5894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5"/>
            <c:spPr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6"/>
            <c:spPr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7"/>
            <c:spPr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8"/>
            <c:spPr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19"/>
            <c:spPr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0"/>
            <c:spPr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bandFmt>
        </c:bandFmts>
        <c:axId val="624940304"/>
        <c:axId val="624946536"/>
        <c:axId val="619145184"/>
      </c:surfaceChart>
      <c:catAx>
        <c:axId val="624940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946536"/>
        <c:crosses val="autoZero"/>
        <c:auto val="1"/>
        <c:lblAlgn val="ctr"/>
        <c:lblOffset val="100"/>
        <c:noMultiLvlLbl val="0"/>
      </c:catAx>
      <c:valAx>
        <c:axId val="624946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940304"/>
        <c:crosses val="autoZero"/>
        <c:crossBetween val="midCat"/>
        <c:majorUnit val="500"/>
      </c:valAx>
      <c:serAx>
        <c:axId val="6191451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946536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Skymaps!$D$574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Skymaps!$E$574:$BC$574</c:f>
              <c:numCache>
                <c:formatCode>General</c:formatCode>
                <c:ptCount val="51"/>
                <c:pt idx="13">
                  <c:v>1.1427534744143486E-2</c:v>
                </c:pt>
                <c:pt idx="14">
                  <c:v>2.4642849341034889E-2</c:v>
                </c:pt>
                <c:pt idx="15">
                  <c:v>4.4385470449924469E-2</c:v>
                </c:pt>
                <c:pt idx="16">
                  <c:v>5.4811526089906693E-2</c:v>
                </c:pt>
                <c:pt idx="17">
                  <c:v>5.8914933353662491E-2</c:v>
                </c:pt>
                <c:pt idx="18">
                  <c:v>6.108374148607254E-2</c:v>
                </c:pt>
                <c:pt idx="19">
                  <c:v>6.1817072331905365E-2</c:v>
                </c:pt>
                <c:pt idx="20">
                  <c:v>6.1885438859462738E-2</c:v>
                </c:pt>
                <c:pt idx="21">
                  <c:v>6.0098674148321152E-2</c:v>
                </c:pt>
                <c:pt idx="22">
                  <c:v>5.8302067220211029E-2</c:v>
                </c:pt>
                <c:pt idx="23">
                  <c:v>5.6392896920442581E-2</c:v>
                </c:pt>
                <c:pt idx="24">
                  <c:v>5.3309928625822067E-2</c:v>
                </c:pt>
                <c:pt idx="25">
                  <c:v>5.0326403230428696E-2</c:v>
                </c:pt>
                <c:pt idx="26">
                  <c:v>4.7188051044940948E-2</c:v>
                </c:pt>
                <c:pt idx="27">
                  <c:v>4.4429119676351547E-2</c:v>
                </c:pt>
                <c:pt idx="28">
                  <c:v>4.0958542376756668E-2</c:v>
                </c:pt>
                <c:pt idx="29">
                  <c:v>5.6501876562833786E-2</c:v>
                </c:pt>
                <c:pt idx="30">
                  <c:v>5.3504526615142822E-2</c:v>
                </c:pt>
                <c:pt idx="31">
                  <c:v>5.0400000065565109E-2</c:v>
                </c:pt>
                <c:pt idx="32">
                  <c:v>4.7107633203268051E-2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21-4881-BF10-0DA648D1B5C2}"/>
            </c:ext>
          </c:extLst>
        </c:ser>
        <c:ser>
          <c:idx val="1"/>
          <c:order val="1"/>
          <c:tx>
            <c:strRef>
              <c:f>Skymaps!$D$575</c:f>
              <c:strCache>
                <c:ptCount val="1"/>
                <c:pt idx="0">
                  <c:v>1000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Skymaps!$E$575:$BC$575</c:f>
              <c:numCache>
                <c:formatCode>General</c:formatCode>
                <c:ptCount val="51"/>
                <c:pt idx="14">
                  <c:v>2.0469238981604576E-2</c:v>
                </c:pt>
                <c:pt idx="15">
                  <c:v>3.8747016340494156E-2</c:v>
                </c:pt>
                <c:pt idx="16">
                  <c:v>5.3062178194522858E-2</c:v>
                </c:pt>
                <c:pt idx="17">
                  <c:v>5.8579090982675552E-2</c:v>
                </c:pt>
                <c:pt idx="18">
                  <c:v>6.2241885811090469E-2</c:v>
                </c:pt>
                <c:pt idx="19">
                  <c:v>6.3779823482036591E-2</c:v>
                </c:pt>
                <c:pt idx="20">
                  <c:v>6.3997432589530945E-2</c:v>
                </c:pt>
                <c:pt idx="21">
                  <c:v>6.2829472124576569E-2</c:v>
                </c:pt>
                <c:pt idx="22">
                  <c:v>6.1062321066856384E-2</c:v>
                </c:pt>
                <c:pt idx="23">
                  <c:v>5.8518685400485992E-2</c:v>
                </c:pt>
                <c:pt idx="24">
                  <c:v>5.5650841444730759E-2</c:v>
                </c:pt>
                <c:pt idx="25">
                  <c:v>5.3037259727716446E-2</c:v>
                </c:pt>
                <c:pt idx="26">
                  <c:v>4.9614418298006058E-2</c:v>
                </c:pt>
                <c:pt idx="27">
                  <c:v>4.7032099217176437E-2</c:v>
                </c:pt>
                <c:pt idx="28">
                  <c:v>4.3807975947856903E-2</c:v>
                </c:pt>
                <c:pt idx="29">
                  <c:v>5.8688536286354065E-2</c:v>
                </c:pt>
                <c:pt idx="30">
                  <c:v>5.5836722254753113E-2</c:v>
                </c:pt>
                <c:pt idx="31">
                  <c:v>5.2799440920352936E-2</c:v>
                </c:pt>
                <c:pt idx="32">
                  <c:v>4.9366775900125504E-2</c:v>
                </c:pt>
                <c:pt idx="33">
                  <c:v>4.6353302896022797E-2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21-4881-BF10-0DA648D1B5C2}"/>
            </c:ext>
          </c:extLst>
        </c:ser>
        <c:ser>
          <c:idx val="2"/>
          <c:order val="2"/>
          <c:tx>
            <c:strRef>
              <c:f>Skymaps!$D$576</c:f>
              <c:strCache>
                <c:ptCount val="1"/>
                <c:pt idx="0">
                  <c:v>2000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Skymaps!$E$576:$BC$576</c:f>
              <c:numCache>
                <c:formatCode>General</c:formatCode>
                <c:ptCount val="51"/>
                <c:pt idx="14">
                  <c:v>1.7090789973735809E-2</c:v>
                </c:pt>
                <c:pt idx="15">
                  <c:v>3.2845392823219299E-2</c:v>
                </c:pt>
                <c:pt idx="16">
                  <c:v>5.3633764386177063E-2</c:v>
                </c:pt>
                <c:pt idx="17">
                  <c:v>5.9090211987495422E-2</c:v>
                </c:pt>
                <c:pt idx="18">
                  <c:v>6.199316680431366E-2</c:v>
                </c:pt>
                <c:pt idx="19">
                  <c:v>6.458793580532074E-2</c:v>
                </c:pt>
                <c:pt idx="20">
                  <c:v>6.5732419490814209E-2</c:v>
                </c:pt>
                <c:pt idx="21">
                  <c:v>6.5088152885437012E-2</c:v>
                </c:pt>
                <c:pt idx="22">
                  <c:v>6.3110232353210449E-2</c:v>
                </c:pt>
                <c:pt idx="23">
                  <c:v>6.0291994363069534E-2</c:v>
                </c:pt>
                <c:pt idx="24">
                  <c:v>5.8643162250518799E-2</c:v>
                </c:pt>
                <c:pt idx="25">
                  <c:v>5.5465411394834518E-2</c:v>
                </c:pt>
                <c:pt idx="26">
                  <c:v>5.2711069583892822E-2</c:v>
                </c:pt>
                <c:pt idx="27">
                  <c:v>4.9506645649671555E-2</c:v>
                </c:pt>
                <c:pt idx="28">
                  <c:v>4.6616487205028534E-2</c:v>
                </c:pt>
                <c:pt idx="29">
                  <c:v>4.3030165135860443E-2</c:v>
                </c:pt>
                <c:pt idx="30">
                  <c:v>5.8167573064565659E-2</c:v>
                </c:pt>
                <c:pt idx="31">
                  <c:v>5.5228628218173981E-2</c:v>
                </c:pt>
                <c:pt idx="32">
                  <c:v>5.2130501717329025E-2</c:v>
                </c:pt>
                <c:pt idx="33">
                  <c:v>4.8637345433235168E-2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21-4881-BF10-0DA648D1B5C2}"/>
            </c:ext>
          </c:extLst>
        </c:ser>
        <c:ser>
          <c:idx val="3"/>
          <c:order val="3"/>
          <c:tx>
            <c:strRef>
              <c:f>Skymaps!$D$577</c:f>
              <c:strCache>
                <c:ptCount val="1"/>
                <c:pt idx="0">
                  <c:v>3000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Skymaps!$E$577:$BC$577</c:f>
              <c:numCache>
                <c:formatCode>General</c:formatCode>
                <c:ptCount val="51"/>
                <c:pt idx="14">
                  <c:v>1.4370947144925594E-2</c:v>
                </c:pt>
                <c:pt idx="15">
                  <c:v>2.7453823015093803E-2</c:v>
                </c:pt>
                <c:pt idx="16">
                  <c:v>5.0730224698781967E-2</c:v>
                </c:pt>
                <c:pt idx="17">
                  <c:v>5.8820553123950958E-2</c:v>
                </c:pt>
                <c:pt idx="18">
                  <c:v>6.3229665160179138E-2</c:v>
                </c:pt>
                <c:pt idx="19">
                  <c:v>6.5349079668521881E-2</c:v>
                </c:pt>
                <c:pt idx="20">
                  <c:v>6.5724752843379974E-2</c:v>
                </c:pt>
                <c:pt idx="21">
                  <c:v>6.6265560686588287E-2</c:v>
                </c:pt>
                <c:pt idx="22">
                  <c:v>6.5049685537815094E-2</c:v>
                </c:pt>
                <c:pt idx="23">
                  <c:v>6.3520155847072601E-2</c:v>
                </c:pt>
                <c:pt idx="24">
                  <c:v>6.1100002378225327E-2</c:v>
                </c:pt>
                <c:pt idx="25">
                  <c:v>5.7787995785474777E-2</c:v>
                </c:pt>
                <c:pt idx="26">
                  <c:v>5.5596549063920975E-2</c:v>
                </c:pt>
                <c:pt idx="27">
                  <c:v>5.1985792815685272E-2</c:v>
                </c:pt>
                <c:pt idx="28">
                  <c:v>4.9336329102516174E-2</c:v>
                </c:pt>
                <c:pt idx="29">
                  <c:v>4.6004660427570343E-2</c:v>
                </c:pt>
                <c:pt idx="30">
                  <c:v>6.0478061437606812E-2</c:v>
                </c:pt>
                <c:pt idx="31">
                  <c:v>5.7671956717967987E-2</c:v>
                </c:pt>
                <c:pt idx="32">
                  <c:v>5.4647002369165421E-2</c:v>
                </c:pt>
                <c:pt idx="33">
                  <c:v>5.1510661840438843E-2</c:v>
                </c:pt>
                <c:pt idx="34">
                  <c:v>4.7983862459659576E-2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21-4881-BF10-0DA648D1B5C2}"/>
            </c:ext>
          </c:extLst>
        </c:ser>
        <c:ser>
          <c:idx val="4"/>
          <c:order val="4"/>
          <c:tx>
            <c:strRef>
              <c:f>Skymaps!$D$578</c:f>
              <c:strCache>
                <c:ptCount val="1"/>
                <c:pt idx="0">
                  <c:v>4000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Skymaps!$E$578:$BC$578</c:f>
              <c:numCache>
                <c:formatCode>General</c:formatCode>
                <c:ptCount val="51"/>
                <c:pt idx="14">
                  <c:v>1.2178567238152027E-2</c:v>
                </c:pt>
                <c:pt idx="15">
                  <c:v>2.4532120674848557E-2</c:v>
                </c:pt>
                <c:pt idx="16">
                  <c:v>4.5183219015598297E-2</c:v>
                </c:pt>
                <c:pt idx="17">
                  <c:v>5.8099422603845596E-2</c:v>
                </c:pt>
                <c:pt idx="18">
                  <c:v>6.25271275639534E-2</c:v>
                </c:pt>
                <c:pt idx="19">
                  <c:v>6.6470727324485779E-2</c:v>
                </c:pt>
                <c:pt idx="20">
                  <c:v>6.8311907351016998E-2</c:v>
                </c:pt>
                <c:pt idx="21">
                  <c:v>6.9060578942298889E-2</c:v>
                </c:pt>
                <c:pt idx="22">
                  <c:v>6.801382452249527E-2</c:v>
                </c:pt>
                <c:pt idx="23">
                  <c:v>6.6037222743034363E-2</c:v>
                </c:pt>
                <c:pt idx="24">
                  <c:v>6.2901094555854797E-2</c:v>
                </c:pt>
                <c:pt idx="25">
                  <c:v>6.1099376529455185E-2</c:v>
                </c:pt>
                <c:pt idx="26">
                  <c:v>5.8185696601867676E-2</c:v>
                </c:pt>
                <c:pt idx="27">
                  <c:v>5.5246178060770035E-2</c:v>
                </c:pt>
                <c:pt idx="28">
                  <c:v>5.1916126161813736E-2</c:v>
                </c:pt>
                <c:pt idx="29">
                  <c:v>4.8929616808891296E-2</c:v>
                </c:pt>
                <c:pt idx="30">
                  <c:v>4.5264974236488342E-2</c:v>
                </c:pt>
                <c:pt idx="31">
                  <c:v>6.0111179947853088E-2</c:v>
                </c:pt>
                <c:pt idx="32">
                  <c:v>5.7191856205463409E-2</c:v>
                </c:pt>
                <c:pt idx="33">
                  <c:v>5.410713329911232E-2</c:v>
                </c:pt>
                <c:pt idx="34">
                  <c:v>5.0396870821714401E-2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21-4881-BF10-0DA648D1B5C2}"/>
            </c:ext>
          </c:extLst>
        </c:ser>
        <c:ser>
          <c:idx val="5"/>
          <c:order val="5"/>
          <c:tx>
            <c:strRef>
              <c:f>Skymaps!$D$579</c:f>
              <c:strCache>
                <c:ptCount val="1"/>
                <c:pt idx="0">
                  <c:v>5000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Skymaps!$E$579:$BC$579</c:f>
              <c:numCache>
                <c:formatCode>General</c:formatCode>
                <c:ptCount val="51"/>
                <c:pt idx="15">
                  <c:v>2.0279016345739365E-2</c:v>
                </c:pt>
                <c:pt idx="16">
                  <c:v>3.8639310747385025E-2</c:v>
                </c:pt>
                <c:pt idx="17">
                  <c:v>5.7898577302694321E-2</c:v>
                </c:pt>
                <c:pt idx="18">
                  <c:v>6.3444949686527252E-2</c:v>
                </c:pt>
                <c:pt idx="19">
                  <c:v>6.6457025706768036E-2</c:v>
                </c:pt>
                <c:pt idx="20">
                  <c:v>6.8688668310642242E-2</c:v>
                </c:pt>
                <c:pt idx="21">
                  <c:v>7.0245072245597839E-2</c:v>
                </c:pt>
                <c:pt idx="22">
                  <c:v>6.9884970784187317E-2</c:v>
                </c:pt>
                <c:pt idx="23">
                  <c:v>6.7706391215324402E-2</c:v>
                </c:pt>
                <c:pt idx="24">
                  <c:v>6.6128857433795929E-2</c:v>
                </c:pt>
                <c:pt idx="25">
                  <c:v>6.3902728259563446E-2</c:v>
                </c:pt>
                <c:pt idx="26">
                  <c:v>6.0523614287376404E-2</c:v>
                </c:pt>
                <c:pt idx="27">
                  <c:v>5.8291353285312653E-2</c:v>
                </c:pt>
                <c:pt idx="28">
                  <c:v>5.4558917880058289E-2</c:v>
                </c:pt>
                <c:pt idx="29">
                  <c:v>5.177268385887146E-2</c:v>
                </c:pt>
                <c:pt idx="30">
                  <c:v>4.8364348709583282E-2</c:v>
                </c:pt>
                <c:pt idx="31">
                  <c:v>6.2531575560569763E-2</c:v>
                </c:pt>
                <c:pt idx="32">
                  <c:v>5.9759434312582016E-2</c:v>
                </c:pt>
                <c:pt idx="33">
                  <c:v>5.6761868298053741E-2</c:v>
                </c:pt>
                <c:pt idx="34">
                  <c:v>5.3642027080059052E-2</c:v>
                </c:pt>
                <c:pt idx="35">
                  <c:v>5.0570327788591385E-2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421-4881-BF10-0DA648D1B5C2}"/>
            </c:ext>
          </c:extLst>
        </c:ser>
        <c:ser>
          <c:idx val="6"/>
          <c:order val="6"/>
          <c:tx>
            <c:strRef>
              <c:f>Skymaps!$D$580</c:f>
              <c:strCache>
                <c:ptCount val="1"/>
                <c:pt idx="0">
                  <c:v>6000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Skymaps!$E$580:$BC$580</c:f>
              <c:numCache>
                <c:formatCode>General</c:formatCode>
                <c:ptCount val="51"/>
                <c:pt idx="15">
                  <c:v>1.6843535006046295E-2</c:v>
                </c:pt>
                <c:pt idx="16">
                  <c:v>3.2194707542657852E-2</c:v>
                </c:pt>
                <c:pt idx="17">
                  <c:v>5.5512405931949615E-2</c:v>
                </c:pt>
                <c:pt idx="18">
                  <c:v>6.2709592282772064E-2</c:v>
                </c:pt>
                <c:pt idx="19">
                  <c:v>6.7210279405117035E-2</c:v>
                </c:pt>
                <c:pt idx="20">
                  <c:v>6.9853402674198151E-2</c:v>
                </c:pt>
                <c:pt idx="21">
                  <c:v>7.0981912314891815E-2</c:v>
                </c:pt>
                <c:pt idx="22">
                  <c:v>7.1634247899055481E-2</c:v>
                </c:pt>
                <c:pt idx="23">
                  <c:v>7.0590049028396606E-2</c:v>
                </c:pt>
                <c:pt idx="24">
                  <c:v>6.8727448582649231E-2</c:v>
                </c:pt>
                <c:pt idx="25">
                  <c:v>6.577707827091217E-2</c:v>
                </c:pt>
                <c:pt idx="26">
                  <c:v>6.378839910030365E-2</c:v>
                </c:pt>
                <c:pt idx="27">
                  <c:v>6.0759976506233215E-2</c:v>
                </c:pt>
                <c:pt idx="28">
                  <c:v>5.773843452334404E-2</c:v>
                </c:pt>
                <c:pt idx="29">
                  <c:v>5.4240193217992783E-2</c:v>
                </c:pt>
                <c:pt idx="30">
                  <c:v>5.1230836659669876E-2</c:v>
                </c:pt>
                <c:pt idx="31">
                  <c:v>4.7823619097471237E-2</c:v>
                </c:pt>
                <c:pt idx="32">
                  <c:v>6.2118746340274811E-2</c:v>
                </c:pt>
                <c:pt idx="33">
                  <c:v>5.9245511889457703E-2</c:v>
                </c:pt>
                <c:pt idx="34">
                  <c:v>5.6195467710494995E-2</c:v>
                </c:pt>
                <c:pt idx="35">
                  <c:v>5.306369811296463E-2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421-4881-BF10-0DA648D1B5C2}"/>
            </c:ext>
          </c:extLst>
        </c:ser>
        <c:ser>
          <c:idx val="7"/>
          <c:order val="7"/>
          <c:tx>
            <c:strRef>
              <c:f>Skymaps!$D$581</c:f>
              <c:strCache>
                <c:ptCount val="1"/>
                <c:pt idx="0">
                  <c:v>7000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Skymaps!$E$581:$BC$581</c:f>
              <c:numCache>
                <c:formatCode>General</c:formatCode>
                <c:ptCount val="51"/>
                <c:pt idx="16">
                  <c:v>2.8041485697031021E-2</c:v>
                </c:pt>
                <c:pt idx="17">
                  <c:v>4.9769993871450424E-2</c:v>
                </c:pt>
                <c:pt idx="18">
                  <c:v>6.1912562698125839E-2</c:v>
                </c:pt>
                <c:pt idx="19">
                  <c:v>6.6531099379062653E-2</c:v>
                </c:pt>
                <c:pt idx="20">
                  <c:v>7.0013552904129028E-2</c:v>
                </c:pt>
                <c:pt idx="21">
                  <c:v>7.2513677179813385E-2</c:v>
                </c:pt>
                <c:pt idx="22">
                  <c:v>7.3523074388504028E-2</c:v>
                </c:pt>
                <c:pt idx="23">
                  <c:v>7.2695575654506683E-2</c:v>
                </c:pt>
                <c:pt idx="24">
                  <c:v>7.0418789982795715E-2</c:v>
                </c:pt>
                <c:pt idx="25">
                  <c:v>6.8380855023860931E-2</c:v>
                </c:pt>
                <c:pt idx="26">
                  <c:v>6.6499389708042145E-2</c:v>
                </c:pt>
                <c:pt idx="27">
                  <c:v>6.2984123826026917E-2</c:v>
                </c:pt>
                <c:pt idx="28">
                  <c:v>6.0650337487459183E-2</c:v>
                </c:pt>
                <c:pt idx="29">
                  <c:v>5.6904874742031097E-2</c:v>
                </c:pt>
                <c:pt idx="30">
                  <c:v>5.3961426019668579E-2</c:v>
                </c:pt>
                <c:pt idx="31">
                  <c:v>5.0852421671152115E-2</c:v>
                </c:pt>
                <c:pt idx="32">
                  <c:v>6.4438439905643463E-2</c:v>
                </c:pt>
                <c:pt idx="33">
                  <c:v>6.1726775020360947E-2</c:v>
                </c:pt>
                <c:pt idx="34">
                  <c:v>5.8778785169124603E-2</c:v>
                </c:pt>
                <c:pt idx="35">
                  <c:v>5.5704891681671143E-2</c:v>
                </c:pt>
                <c:pt idx="36">
                  <c:v>5.1873631775379181E-2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421-4881-BF10-0DA648D1B5C2}"/>
            </c:ext>
          </c:extLst>
        </c:ser>
        <c:ser>
          <c:idx val="8"/>
          <c:order val="8"/>
          <c:tx>
            <c:strRef>
              <c:f>Skymaps!$D$582</c:f>
              <c:strCache>
                <c:ptCount val="1"/>
                <c:pt idx="0">
                  <c:v>8000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Skymaps!$E$582:$BC$582</c:f>
              <c:numCache>
                <c:formatCode>General</c:formatCode>
                <c:ptCount val="51"/>
                <c:pt idx="16">
                  <c:v>2.2997617721557617E-2</c:v>
                </c:pt>
                <c:pt idx="17">
                  <c:v>4.2556155472993851E-2</c:v>
                </c:pt>
                <c:pt idx="18">
                  <c:v>6.1281148344278336E-2</c:v>
                </c:pt>
                <c:pt idx="19">
                  <c:v>6.6712841391563416E-2</c:v>
                </c:pt>
                <c:pt idx="20">
                  <c:v>7.0493042469024658E-2</c:v>
                </c:pt>
                <c:pt idx="21">
                  <c:v>7.2020538151264191E-2</c:v>
                </c:pt>
                <c:pt idx="22">
                  <c:v>7.3331438004970551E-2</c:v>
                </c:pt>
                <c:pt idx="23">
                  <c:v>7.3817417025566101E-2</c:v>
                </c:pt>
                <c:pt idx="24">
                  <c:v>7.2980247437953949E-2</c:v>
                </c:pt>
                <c:pt idx="25">
                  <c:v>7.1291066706180573E-2</c:v>
                </c:pt>
                <c:pt idx="26">
                  <c:v>6.8517506122589111E-2</c:v>
                </c:pt>
                <c:pt idx="27">
                  <c:v>6.6408112645149231E-2</c:v>
                </c:pt>
                <c:pt idx="28">
                  <c:v>6.3199743628501892E-2</c:v>
                </c:pt>
                <c:pt idx="29">
                  <c:v>6.0190413147211075E-2</c:v>
                </c:pt>
                <c:pt idx="30">
                  <c:v>5.6497965008020401E-2</c:v>
                </c:pt>
                <c:pt idx="31">
                  <c:v>5.3780537098646164E-2</c:v>
                </c:pt>
                <c:pt idx="32">
                  <c:v>5.0346996635198593E-2</c:v>
                </c:pt>
                <c:pt idx="33">
                  <c:v>6.418406218290329E-2</c:v>
                </c:pt>
                <c:pt idx="34">
                  <c:v>6.1373945325613022E-2</c:v>
                </c:pt>
                <c:pt idx="35">
                  <c:v>5.8389026671648026E-2</c:v>
                </c:pt>
                <c:pt idx="36">
                  <c:v>5.4934490472078323E-2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421-4881-BF10-0DA648D1B5C2}"/>
            </c:ext>
          </c:extLst>
        </c:ser>
        <c:ser>
          <c:idx val="9"/>
          <c:order val="9"/>
          <c:tx>
            <c:strRef>
              <c:f>Skymaps!$D$583</c:f>
              <c:strCache>
                <c:ptCount val="1"/>
                <c:pt idx="0">
                  <c:v>9000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Skymaps!$E$583:$BC$583</c:f>
              <c:numCache>
                <c:formatCode>General</c:formatCode>
                <c:ptCount val="51"/>
                <c:pt idx="17">
                  <c:v>3.5426951944828033E-2</c:v>
                </c:pt>
                <c:pt idx="18">
                  <c:v>5.8770298957824707E-2</c:v>
                </c:pt>
                <c:pt idx="19">
                  <c:v>6.6378548741340637E-2</c:v>
                </c:pt>
                <c:pt idx="20">
                  <c:v>7.0249944925308228E-2</c:v>
                </c:pt>
                <c:pt idx="21">
                  <c:v>7.3942303657531738E-2</c:v>
                </c:pt>
                <c:pt idx="22">
                  <c:v>7.5692564249038696E-2</c:v>
                </c:pt>
                <c:pt idx="23">
                  <c:v>7.6535977423191071E-2</c:v>
                </c:pt>
                <c:pt idx="24">
                  <c:v>7.552780956029892E-2</c:v>
                </c:pt>
                <c:pt idx="25">
                  <c:v>7.3248237371444702E-2</c:v>
                </c:pt>
                <c:pt idx="26">
                  <c:v>7.1134187281131744E-2</c:v>
                </c:pt>
                <c:pt idx="27">
                  <c:v>6.9237150251865387E-2</c:v>
                </c:pt>
                <c:pt idx="28">
                  <c:v>6.571892648935318E-2</c:v>
                </c:pt>
                <c:pt idx="29">
                  <c:v>6.3176415860652924E-2</c:v>
                </c:pt>
                <c:pt idx="30">
                  <c:v>5.9529367834329605E-2</c:v>
                </c:pt>
                <c:pt idx="31">
                  <c:v>5.6548349559307098E-2</c:v>
                </c:pt>
                <c:pt idx="32">
                  <c:v>5.3441893309354782E-2</c:v>
                </c:pt>
                <c:pt idx="33">
                  <c:v>6.6833555698394775E-2</c:v>
                </c:pt>
                <c:pt idx="34">
                  <c:v>6.3959911465644836E-2</c:v>
                </c:pt>
                <c:pt idx="35">
                  <c:v>6.1098784208297729E-2</c:v>
                </c:pt>
                <c:pt idx="36">
                  <c:v>5.7678036391735077E-2</c:v>
                </c:pt>
                <c:pt idx="37">
                  <c:v>5.4239846765995026E-2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421-4881-BF10-0DA648D1B5C2}"/>
            </c:ext>
          </c:extLst>
        </c:ser>
        <c:ser>
          <c:idx val="10"/>
          <c:order val="10"/>
          <c:tx>
            <c:strRef>
              <c:f>Skymaps!$D$584</c:f>
              <c:strCache>
                <c:ptCount val="1"/>
                <c:pt idx="0">
                  <c:v>10000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Skymaps!$E$584:$BC$584</c:f>
              <c:numCache>
                <c:formatCode>General</c:formatCode>
                <c:ptCount val="51"/>
                <c:pt idx="17">
                  <c:v>3.0245374888181686E-2</c:v>
                </c:pt>
                <c:pt idx="18">
                  <c:v>5.2552703768014908E-2</c:v>
                </c:pt>
                <c:pt idx="19">
                  <c:v>6.4705982804298401E-2</c:v>
                </c:pt>
                <c:pt idx="20">
                  <c:v>7.0547737181186676E-2</c:v>
                </c:pt>
                <c:pt idx="21">
                  <c:v>7.2733946144580841E-2</c:v>
                </c:pt>
                <c:pt idx="22">
                  <c:v>7.5843483209609985E-2</c:v>
                </c:pt>
                <c:pt idx="23">
                  <c:v>7.7084079384803772E-2</c:v>
                </c:pt>
                <c:pt idx="24">
                  <c:v>7.6736964285373688E-2</c:v>
                </c:pt>
                <c:pt idx="25">
                  <c:v>7.5705379247665405E-2</c:v>
                </c:pt>
                <c:pt idx="26">
                  <c:v>7.4244074523448944E-2</c:v>
                </c:pt>
                <c:pt idx="27">
                  <c:v>7.1344390511512756E-2</c:v>
                </c:pt>
                <c:pt idx="28">
                  <c:v>6.9281645119190216E-2</c:v>
                </c:pt>
                <c:pt idx="29">
                  <c:v>6.580711156129837E-2</c:v>
                </c:pt>
                <c:pt idx="30">
                  <c:v>6.2937036156654358E-2</c:v>
                </c:pt>
                <c:pt idx="31">
                  <c:v>5.9099249541759491E-2</c:v>
                </c:pt>
                <c:pt idx="32">
                  <c:v>5.6420419365167618E-2</c:v>
                </c:pt>
                <c:pt idx="33">
                  <c:v>5.299391970038414E-2</c:v>
                </c:pt>
                <c:pt idx="34">
                  <c:v>6.6537953913211823E-2</c:v>
                </c:pt>
                <c:pt idx="35">
                  <c:v>6.3813604414463043E-2</c:v>
                </c:pt>
                <c:pt idx="36">
                  <c:v>6.044764444231987E-2</c:v>
                </c:pt>
                <c:pt idx="37">
                  <c:v>5.7016406208276749E-2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421-4881-BF10-0DA648D1B5C2}"/>
            </c:ext>
          </c:extLst>
        </c:ser>
        <c:ser>
          <c:idx val="11"/>
          <c:order val="11"/>
          <c:tx>
            <c:strRef>
              <c:f>Skymaps!$D$585</c:f>
              <c:strCache>
                <c:ptCount val="1"/>
                <c:pt idx="0">
                  <c:v>11000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Skymaps!$E$585:$BC$585</c:f>
              <c:numCache>
                <c:formatCode>General</c:formatCode>
                <c:ptCount val="51"/>
                <c:pt idx="17">
                  <c:v>2.4638893082737923E-2</c:v>
                </c:pt>
                <c:pt idx="18">
                  <c:v>4.4585064053535461E-2</c:v>
                </c:pt>
                <c:pt idx="19">
                  <c:v>6.4313128590583801E-2</c:v>
                </c:pt>
                <c:pt idx="20">
                  <c:v>6.9199956953525543E-2</c:v>
                </c:pt>
                <c:pt idx="21">
                  <c:v>7.4261322617530823E-2</c:v>
                </c:pt>
                <c:pt idx="22">
                  <c:v>7.6899446547031403E-2</c:v>
                </c:pt>
                <c:pt idx="23">
                  <c:v>7.8389547765254974E-2</c:v>
                </c:pt>
                <c:pt idx="24">
                  <c:v>7.9299680888652802E-2</c:v>
                </c:pt>
                <c:pt idx="25">
                  <c:v>7.8279733657836914E-2</c:v>
                </c:pt>
                <c:pt idx="26">
                  <c:v>7.6057665050029755E-2</c:v>
                </c:pt>
                <c:pt idx="27">
                  <c:v>7.3935166001319885E-2</c:v>
                </c:pt>
                <c:pt idx="28">
                  <c:v>7.1944341063499451E-2</c:v>
                </c:pt>
                <c:pt idx="29">
                  <c:v>6.8600282073020935E-2</c:v>
                </c:pt>
                <c:pt idx="30">
                  <c:v>6.589285284280777E-2</c:v>
                </c:pt>
                <c:pt idx="31">
                  <c:v>6.2463324517011642E-2</c:v>
                </c:pt>
                <c:pt idx="32">
                  <c:v>5.9120651334524155E-2</c:v>
                </c:pt>
                <c:pt idx="33">
                  <c:v>5.609608069062233E-2</c:v>
                </c:pt>
                <c:pt idx="34">
                  <c:v>6.9339103996753693E-2</c:v>
                </c:pt>
                <c:pt idx="35">
                  <c:v>6.6249266266822815E-2</c:v>
                </c:pt>
                <c:pt idx="36">
                  <c:v>6.3002966344356537E-2</c:v>
                </c:pt>
                <c:pt idx="37">
                  <c:v>5.9635493904352188E-2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421-4881-BF10-0DA648D1B5C2}"/>
            </c:ext>
          </c:extLst>
        </c:ser>
        <c:ser>
          <c:idx val="12"/>
          <c:order val="12"/>
          <c:tx>
            <c:strRef>
              <c:f>Skymaps!$D$586</c:f>
              <c:strCache>
                <c:ptCount val="1"/>
                <c:pt idx="0">
                  <c:v>12000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Skymaps!$E$586:$BC$586</c:f>
              <c:numCache>
                <c:formatCode>General</c:formatCode>
                <c:ptCount val="51"/>
                <c:pt idx="18">
                  <c:v>3.6815781146287918E-2</c:v>
                </c:pt>
                <c:pt idx="19">
                  <c:v>6.0409843921661377E-2</c:v>
                </c:pt>
                <c:pt idx="20">
                  <c:v>6.9331265985965729E-2</c:v>
                </c:pt>
                <c:pt idx="21">
                  <c:v>7.2632350027561188E-2</c:v>
                </c:pt>
                <c:pt idx="22">
                  <c:v>7.6656460762023926E-2</c:v>
                </c:pt>
                <c:pt idx="23">
                  <c:v>7.9078704118728638E-2</c:v>
                </c:pt>
                <c:pt idx="24">
                  <c:v>8.0022141337394714E-2</c:v>
                </c:pt>
                <c:pt idx="25">
                  <c:v>7.939215749502182E-2</c:v>
                </c:pt>
                <c:pt idx="26">
                  <c:v>7.827296108007431E-2</c:v>
                </c:pt>
                <c:pt idx="27">
                  <c:v>7.687840610742569E-2</c:v>
                </c:pt>
                <c:pt idx="28">
                  <c:v>7.3797471821308136E-2</c:v>
                </c:pt>
                <c:pt idx="29">
                  <c:v>7.1983486413955688E-2</c:v>
                </c:pt>
                <c:pt idx="30">
                  <c:v>6.8442843854427338E-2</c:v>
                </c:pt>
                <c:pt idx="31">
                  <c:v>6.5779551863670349E-2</c:v>
                </c:pt>
                <c:pt idx="32">
                  <c:v>6.188584491610527E-2</c:v>
                </c:pt>
                <c:pt idx="33">
                  <c:v>5.903417244553566E-2</c:v>
                </c:pt>
                <c:pt idx="34">
                  <c:v>5.5726107209920883E-2</c:v>
                </c:pt>
                <c:pt idx="35">
                  <c:v>6.8853460252285004E-2</c:v>
                </c:pt>
                <c:pt idx="36">
                  <c:v>6.5538816154003143E-2</c:v>
                </c:pt>
                <c:pt idx="37">
                  <c:v>6.22699074447155E-2</c:v>
                </c:pt>
                <c:pt idx="38">
                  <c:v>5.7847600430250168E-2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421-4881-BF10-0DA648D1B5C2}"/>
            </c:ext>
          </c:extLst>
        </c:ser>
        <c:ser>
          <c:idx val="13"/>
          <c:order val="13"/>
          <c:tx>
            <c:strRef>
              <c:f>Skymaps!$D$587</c:f>
              <c:strCache>
                <c:ptCount val="1"/>
                <c:pt idx="0">
                  <c:v>13000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Skymaps!$E$587:$BC$587</c:f>
              <c:numCache>
                <c:formatCode>General</c:formatCode>
                <c:ptCount val="51"/>
                <c:pt idx="18">
                  <c:v>3.0786195769906044E-2</c:v>
                </c:pt>
                <c:pt idx="19">
                  <c:v>5.2982542663812637E-2</c:v>
                </c:pt>
                <c:pt idx="20">
                  <c:v>6.6940627992153168E-2</c:v>
                </c:pt>
                <c:pt idx="21">
                  <c:v>7.3409475386142731E-2</c:v>
                </c:pt>
                <c:pt idx="22">
                  <c:v>7.7184334397315979E-2</c:v>
                </c:pt>
                <c:pt idx="23">
                  <c:v>7.9359456896781921E-2</c:v>
                </c:pt>
                <c:pt idx="24">
                  <c:v>8.087342232465744E-2</c:v>
                </c:pt>
                <c:pt idx="25">
                  <c:v>8.1954449415206909E-2</c:v>
                </c:pt>
                <c:pt idx="26">
                  <c:v>8.1010878086090088E-2</c:v>
                </c:pt>
                <c:pt idx="27">
                  <c:v>7.8727595508098602E-2</c:v>
                </c:pt>
                <c:pt idx="28">
                  <c:v>7.6837554574012756E-2</c:v>
                </c:pt>
                <c:pt idx="29">
                  <c:v>7.4634693562984467E-2</c:v>
                </c:pt>
                <c:pt idx="30">
                  <c:v>7.164696604013443E-2</c:v>
                </c:pt>
                <c:pt idx="31">
                  <c:v>6.8739511072635651E-2</c:v>
                </c:pt>
                <c:pt idx="32">
                  <c:v>6.5514042973518372E-2</c:v>
                </c:pt>
                <c:pt idx="33">
                  <c:v>6.1740349978208542E-2</c:v>
                </c:pt>
                <c:pt idx="34">
                  <c:v>5.8877870440483093E-2</c:v>
                </c:pt>
                <c:pt idx="35">
                  <c:v>7.1852341294288635E-2</c:v>
                </c:pt>
                <c:pt idx="36">
                  <c:v>6.8029753863811493E-2</c:v>
                </c:pt>
                <c:pt idx="37">
                  <c:v>6.48980513215065E-2</c:v>
                </c:pt>
                <c:pt idx="38">
                  <c:v>6.0519743710756302E-2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421-4881-BF10-0DA648D1B5C2}"/>
            </c:ext>
          </c:extLst>
        </c:ser>
        <c:ser>
          <c:idx val="14"/>
          <c:order val="14"/>
          <c:tx>
            <c:strRef>
              <c:f>Skymaps!$D$588</c:f>
              <c:strCache>
                <c:ptCount val="1"/>
                <c:pt idx="0">
                  <c:v>14000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Skymaps!$E$588:$BC$588</c:f>
              <c:numCache>
                <c:formatCode>General</c:formatCode>
                <c:ptCount val="51"/>
                <c:pt idx="19">
                  <c:v>4.4416319578886032E-2</c:v>
                </c:pt>
                <c:pt idx="20">
                  <c:v>6.6130585968494415E-2</c:v>
                </c:pt>
                <c:pt idx="21">
                  <c:v>7.2377711534500122E-2</c:v>
                </c:pt>
                <c:pt idx="22">
                  <c:v>7.6166927814483643E-2</c:v>
                </c:pt>
                <c:pt idx="23">
                  <c:v>8.0048911273479462E-2</c:v>
                </c:pt>
                <c:pt idx="24">
                  <c:v>8.2109503448009491E-2</c:v>
                </c:pt>
                <c:pt idx="25">
                  <c:v>8.2932673394680023E-2</c:v>
                </c:pt>
                <c:pt idx="26">
                  <c:v>8.2191921770572662E-2</c:v>
                </c:pt>
                <c:pt idx="27">
                  <c:v>8.122561126947403E-2</c:v>
                </c:pt>
                <c:pt idx="28">
                  <c:v>7.9784005880355835E-2</c:v>
                </c:pt>
                <c:pt idx="29">
                  <c:v>7.6400667428970337E-2</c:v>
                </c:pt>
                <c:pt idx="30">
                  <c:v>7.5021058320999146E-2</c:v>
                </c:pt>
                <c:pt idx="31">
                  <c:v>7.1240000426769257E-2</c:v>
                </c:pt>
                <c:pt idx="32">
                  <c:v>6.8837724626064301E-2</c:v>
                </c:pt>
                <c:pt idx="33">
                  <c:v>6.5157711505889893E-2</c:v>
                </c:pt>
                <c:pt idx="34">
                  <c:v>6.1824969947338104E-2</c:v>
                </c:pt>
                <c:pt idx="35">
                  <c:v>5.8705072849988937E-2</c:v>
                </c:pt>
                <c:pt idx="36">
                  <c:v>7.10936039686203E-2</c:v>
                </c:pt>
                <c:pt idx="37">
                  <c:v>6.7495040595531464E-2</c:v>
                </c:pt>
                <c:pt idx="38">
                  <c:v>6.3200764358043671E-2</c:v>
                </c:pt>
                <c:pt idx="39">
                  <c:v>5.7952743023633957E-2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421-4881-BF10-0DA648D1B5C2}"/>
            </c:ext>
          </c:extLst>
        </c:ser>
        <c:ser>
          <c:idx val="15"/>
          <c:order val="15"/>
          <c:tx>
            <c:strRef>
              <c:f>Skymaps!$D$589</c:f>
              <c:strCache>
                <c:ptCount val="1"/>
                <c:pt idx="0">
                  <c:v>15000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Skymaps!$E$589:$BC$589</c:f>
              <c:numCache>
                <c:formatCode>General</c:formatCode>
                <c:ptCount val="51"/>
                <c:pt idx="19">
                  <c:v>3.6393683403730392E-2</c:v>
                </c:pt>
                <c:pt idx="20">
                  <c:v>6.0270126909017563E-2</c:v>
                </c:pt>
                <c:pt idx="21">
                  <c:v>7.067243754863739E-2</c:v>
                </c:pt>
                <c:pt idx="22">
                  <c:v>7.6735034584999084E-2</c:v>
                </c:pt>
                <c:pt idx="23">
                  <c:v>7.9879827797412872E-2</c:v>
                </c:pt>
                <c:pt idx="24">
                  <c:v>8.2006432116031647E-2</c:v>
                </c:pt>
                <c:pt idx="25">
                  <c:v>8.3698935806751251E-2</c:v>
                </c:pt>
                <c:pt idx="26">
                  <c:v>8.4957726299762726E-2</c:v>
                </c:pt>
                <c:pt idx="27">
                  <c:v>8.3983488380908966E-2</c:v>
                </c:pt>
                <c:pt idx="28">
                  <c:v>8.1557519733905792E-2</c:v>
                </c:pt>
                <c:pt idx="29">
                  <c:v>8.013046532869339E-2</c:v>
                </c:pt>
                <c:pt idx="30">
                  <c:v>7.7570438385009766E-2</c:v>
                </c:pt>
                <c:pt idx="31">
                  <c:v>7.5024798512458801E-2</c:v>
                </c:pt>
                <c:pt idx="32">
                  <c:v>7.1756407618522644E-2</c:v>
                </c:pt>
                <c:pt idx="33">
                  <c:v>6.8820461630821228E-2</c:v>
                </c:pt>
                <c:pt idx="34">
                  <c:v>6.4782731235027313E-2</c:v>
                </c:pt>
                <c:pt idx="35">
                  <c:v>6.1877761036157608E-2</c:v>
                </c:pt>
                <c:pt idx="36">
                  <c:v>7.4087433516979218E-2</c:v>
                </c:pt>
                <c:pt idx="37">
                  <c:v>7.0435434579849243E-2</c:v>
                </c:pt>
                <c:pt idx="38">
                  <c:v>6.5867163240909576E-2</c:v>
                </c:pt>
                <c:pt idx="39">
                  <c:v>6.0683451592922211E-2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421-4881-BF10-0DA648D1B5C2}"/>
            </c:ext>
          </c:extLst>
        </c:ser>
        <c:ser>
          <c:idx val="16"/>
          <c:order val="16"/>
          <c:tx>
            <c:strRef>
              <c:f>Skymaps!$D$590</c:f>
              <c:strCache>
                <c:ptCount val="1"/>
                <c:pt idx="0">
                  <c:v>16000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Skymaps!$E$590:$BC$590</c:f>
              <c:numCache>
                <c:formatCode>General</c:formatCode>
                <c:ptCount val="51"/>
                <c:pt idx="19">
                  <c:v>2.978438138961792E-2</c:v>
                </c:pt>
                <c:pt idx="20">
                  <c:v>5.1530562341213226E-2</c:v>
                </c:pt>
                <c:pt idx="21">
                  <c:v>6.9951511919498444E-2</c:v>
                </c:pt>
                <c:pt idx="22">
                  <c:v>7.4429310858249664E-2</c:v>
                </c:pt>
                <c:pt idx="23">
                  <c:v>7.9567231237888336E-2</c:v>
                </c:pt>
                <c:pt idx="24">
                  <c:v>8.29763263463974E-2</c:v>
                </c:pt>
                <c:pt idx="25">
                  <c:v>8.4875702857971191E-2</c:v>
                </c:pt>
                <c:pt idx="26">
                  <c:v>8.5603363811969757E-2</c:v>
                </c:pt>
                <c:pt idx="27">
                  <c:v>8.4750078618526459E-2</c:v>
                </c:pt>
                <c:pt idx="28">
                  <c:v>8.4261491894721985E-2</c:v>
                </c:pt>
                <c:pt idx="29">
                  <c:v>8.2639306783676147E-2</c:v>
                </c:pt>
                <c:pt idx="30">
                  <c:v>7.9633042216300964E-2</c:v>
                </c:pt>
                <c:pt idx="31">
                  <c:v>7.7959857881069183E-2</c:v>
                </c:pt>
                <c:pt idx="32">
                  <c:v>7.4494868516921997E-2</c:v>
                </c:pt>
                <c:pt idx="33">
                  <c:v>7.1844696998596191E-2</c:v>
                </c:pt>
                <c:pt idx="34">
                  <c:v>6.8487785756587982E-2</c:v>
                </c:pt>
                <c:pt idx="35">
                  <c:v>6.4605467021465302E-2</c:v>
                </c:pt>
                <c:pt idx="36">
                  <c:v>6.1591867357492447E-2</c:v>
                </c:pt>
                <c:pt idx="37">
                  <c:v>7.3312126100063324E-2</c:v>
                </c:pt>
                <c:pt idx="38">
                  <c:v>6.8466857075691223E-2</c:v>
                </c:pt>
                <c:pt idx="39">
                  <c:v>6.3196450471878052E-2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421-4881-BF10-0DA648D1B5C2}"/>
            </c:ext>
          </c:extLst>
        </c:ser>
        <c:ser>
          <c:idx val="17"/>
          <c:order val="17"/>
          <c:tx>
            <c:strRef>
              <c:f>Skymaps!$D$591</c:f>
              <c:strCache>
                <c:ptCount val="1"/>
                <c:pt idx="0">
                  <c:v>17000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Skymaps!$E$591:$BC$591</c:f>
              <c:numCache>
                <c:formatCode>General</c:formatCode>
                <c:ptCount val="51"/>
                <c:pt idx="20">
                  <c:v>4.249422624707222E-2</c:v>
                </c:pt>
                <c:pt idx="21">
                  <c:v>6.5599091351032257E-2</c:v>
                </c:pt>
                <c:pt idx="22">
                  <c:v>7.436341792345047E-2</c:v>
                </c:pt>
                <c:pt idx="23">
                  <c:v>7.9236194491386414E-2</c:v>
                </c:pt>
                <c:pt idx="24">
                  <c:v>8.2180209457874298E-2</c:v>
                </c:pt>
                <c:pt idx="25">
                  <c:v>8.4441818296909332E-2</c:v>
                </c:pt>
                <c:pt idx="26">
                  <c:v>8.6363017559051514E-2</c:v>
                </c:pt>
                <c:pt idx="27">
                  <c:v>8.7602764368057251E-2</c:v>
                </c:pt>
                <c:pt idx="28">
                  <c:v>8.6525924503803253E-2</c:v>
                </c:pt>
                <c:pt idx="29">
                  <c:v>8.3667121827602386E-2</c:v>
                </c:pt>
                <c:pt idx="30">
                  <c:v>8.3049483597278595E-2</c:v>
                </c:pt>
                <c:pt idx="31">
                  <c:v>7.996697723865509E-2</c:v>
                </c:pt>
                <c:pt idx="32">
                  <c:v>7.8044317662715912E-2</c:v>
                </c:pt>
                <c:pt idx="33">
                  <c:v>7.4378736317157745E-2</c:v>
                </c:pt>
                <c:pt idx="34">
                  <c:v>7.1859866380691528E-2</c:v>
                </c:pt>
                <c:pt idx="35">
                  <c:v>6.8181455135345459E-2</c:v>
                </c:pt>
                <c:pt idx="36">
                  <c:v>6.4524471759796143E-2</c:v>
                </c:pt>
                <c:pt idx="37">
                  <c:v>7.5951032340526581E-2</c:v>
                </c:pt>
                <c:pt idx="38">
                  <c:v>7.1434631943702698E-2</c:v>
                </c:pt>
                <c:pt idx="39">
                  <c:v>6.5703049302101135E-2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421-4881-BF10-0DA648D1B5C2}"/>
            </c:ext>
          </c:extLst>
        </c:ser>
        <c:ser>
          <c:idx val="18"/>
          <c:order val="18"/>
          <c:tx>
            <c:strRef>
              <c:f>Skymaps!$D$592</c:f>
              <c:strCache>
                <c:ptCount val="1"/>
                <c:pt idx="0">
                  <c:v>18000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Skymaps!$E$592:$BC$592</c:f>
              <c:numCache>
                <c:formatCode>General</c:formatCode>
                <c:ptCount val="51"/>
                <c:pt idx="20">
                  <c:v>3.4527305513620377E-2</c:v>
                </c:pt>
                <c:pt idx="21">
                  <c:v>5.7192672044038773E-2</c:v>
                </c:pt>
                <c:pt idx="22">
                  <c:v>7.2633937001228333E-2</c:v>
                </c:pt>
                <c:pt idx="23">
                  <c:v>7.7491618692874908E-2</c:v>
                </c:pt>
                <c:pt idx="24">
                  <c:v>8.2342609763145447E-2</c:v>
                </c:pt>
                <c:pt idx="25">
                  <c:v>8.5538774728775024E-2</c:v>
                </c:pt>
                <c:pt idx="26">
                  <c:v>8.7396100163459778E-2</c:v>
                </c:pt>
                <c:pt idx="27">
                  <c:v>8.7913297116756439E-2</c:v>
                </c:pt>
                <c:pt idx="28">
                  <c:v>8.7721623480319977E-2</c:v>
                </c:pt>
                <c:pt idx="29">
                  <c:v>8.7281577289104462E-2</c:v>
                </c:pt>
                <c:pt idx="30">
                  <c:v>8.5152111947536469E-2</c:v>
                </c:pt>
                <c:pt idx="31">
                  <c:v>8.3038628101348877E-2</c:v>
                </c:pt>
                <c:pt idx="32">
                  <c:v>8.0730162560939789E-2</c:v>
                </c:pt>
                <c:pt idx="33">
                  <c:v>7.7938288450241089E-2</c:v>
                </c:pt>
                <c:pt idx="34">
                  <c:v>7.4777737259864807E-2</c:v>
                </c:pt>
                <c:pt idx="35">
                  <c:v>7.1830824017524719E-2</c:v>
                </c:pt>
                <c:pt idx="36">
                  <c:v>6.7604832351207733E-2</c:v>
                </c:pt>
                <c:pt idx="37">
                  <c:v>7.8276596963405609E-2</c:v>
                </c:pt>
                <c:pt idx="38">
                  <c:v>7.4167259037494659E-2</c:v>
                </c:pt>
                <c:pt idx="39">
                  <c:v>6.8634912371635437E-2</c:v>
                </c:pt>
                <c:pt idx="40">
                  <c:v>6.0830935835838318E-2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421-4881-BF10-0DA648D1B5C2}"/>
            </c:ext>
          </c:extLst>
        </c:ser>
        <c:ser>
          <c:idx val="19"/>
          <c:order val="19"/>
          <c:tx>
            <c:strRef>
              <c:f>Skymaps!$D$593</c:f>
              <c:strCache>
                <c:ptCount val="1"/>
                <c:pt idx="0">
                  <c:v>19000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Skymaps!$E$593:$BC$593</c:f>
              <c:numCache>
                <c:formatCode>General</c:formatCode>
                <c:ptCount val="51"/>
                <c:pt idx="21">
                  <c:v>4.7553554177284241E-2</c:v>
                </c:pt>
                <c:pt idx="22">
                  <c:v>6.9689467549324036E-2</c:v>
                </c:pt>
                <c:pt idx="23">
                  <c:v>7.736080139875412E-2</c:v>
                </c:pt>
                <c:pt idx="24">
                  <c:v>8.1764742732048035E-2</c:v>
                </c:pt>
                <c:pt idx="25">
                  <c:v>8.4816262125968933E-2</c:v>
                </c:pt>
                <c:pt idx="26">
                  <c:v>8.7391816079616547E-2</c:v>
                </c:pt>
                <c:pt idx="27">
                  <c:v>8.9326485991477966E-2</c:v>
                </c:pt>
                <c:pt idx="28">
                  <c:v>9.0394839644432068E-2</c:v>
                </c:pt>
                <c:pt idx="29">
                  <c:v>8.9170381426811218E-2</c:v>
                </c:pt>
                <c:pt idx="30">
                  <c:v>8.7314076721668243E-2</c:v>
                </c:pt>
                <c:pt idx="31">
                  <c:v>8.6112208664417267E-2</c:v>
                </c:pt>
                <c:pt idx="32">
                  <c:v>8.2706630229949951E-2</c:v>
                </c:pt>
                <c:pt idx="33">
                  <c:v>8.1235632300376892E-2</c:v>
                </c:pt>
                <c:pt idx="34">
                  <c:v>7.7737890183925629E-2</c:v>
                </c:pt>
                <c:pt idx="35">
                  <c:v>7.5011476874351501E-2</c:v>
                </c:pt>
                <c:pt idx="36">
                  <c:v>7.1499161422252655E-2</c:v>
                </c:pt>
                <c:pt idx="37">
                  <c:v>6.7062288522720337E-2</c:v>
                </c:pt>
                <c:pt idx="38">
                  <c:v>7.6583638787269592E-2</c:v>
                </c:pt>
                <c:pt idx="39">
                  <c:v>7.1372248232364655E-2</c:v>
                </c:pt>
                <c:pt idx="40">
                  <c:v>6.3668511807918549E-2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421-4881-BF10-0DA648D1B5C2}"/>
            </c:ext>
          </c:extLst>
        </c:ser>
        <c:ser>
          <c:idx val="20"/>
          <c:order val="20"/>
          <c:tx>
            <c:strRef>
              <c:f>Skymaps!$D$594</c:f>
              <c:strCache>
                <c:ptCount val="1"/>
                <c:pt idx="0">
                  <c:v>20000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Skymaps!$E$594:$BC$594</c:f>
              <c:numCache>
                <c:formatCode>General</c:formatCode>
                <c:ptCount val="51"/>
                <c:pt idx="21">
                  <c:v>3.834354504942894E-2</c:v>
                </c:pt>
                <c:pt idx="22">
                  <c:v>6.1659298837184906E-2</c:v>
                </c:pt>
                <c:pt idx="23">
                  <c:v>7.5066849589347839E-2</c:v>
                </c:pt>
                <c:pt idx="24">
                  <c:v>8.0314382910728455E-2</c:v>
                </c:pt>
                <c:pt idx="25">
                  <c:v>8.4912575781345367E-2</c:v>
                </c:pt>
                <c:pt idx="26">
                  <c:v>8.8146649301052094E-2</c:v>
                </c:pt>
                <c:pt idx="27">
                  <c:v>8.9830935001373291E-2</c:v>
                </c:pt>
                <c:pt idx="28">
                  <c:v>9.0058222413063049E-2</c:v>
                </c:pt>
                <c:pt idx="29">
                  <c:v>9.130580723285675E-2</c:v>
                </c:pt>
                <c:pt idx="30">
                  <c:v>9.0524770319461823E-2</c:v>
                </c:pt>
                <c:pt idx="31">
                  <c:v>8.7732136249542236E-2</c:v>
                </c:pt>
                <c:pt idx="32">
                  <c:v>8.6666882038116455E-2</c:v>
                </c:pt>
                <c:pt idx="33">
                  <c:v>8.3576962351799011E-2</c:v>
                </c:pt>
                <c:pt idx="34">
                  <c:v>8.1634193658828735E-2</c:v>
                </c:pt>
                <c:pt idx="35">
                  <c:v>7.7592141926288605E-2</c:v>
                </c:pt>
                <c:pt idx="36">
                  <c:v>7.4982106685638428E-2</c:v>
                </c:pt>
                <c:pt idx="37">
                  <c:v>7.1191057562828064E-2</c:v>
                </c:pt>
                <c:pt idx="38">
                  <c:v>7.8592255711555481E-2</c:v>
                </c:pt>
                <c:pt idx="39">
                  <c:v>7.3767751455307007E-2</c:v>
                </c:pt>
                <c:pt idx="40">
                  <c:v>6.6324509680271149E-2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421-4881-BF10-0DA648D1B5C2}"/>
            </c:ext>
          </c:extLst>
        </c:ser>
        <c:ser>
          <c:idx val="21"/>
          <c:order val="21"/>
          <c:tx>
            <c:strRef>
              <c:f>Skymaps!$D$595</c:f>
              <c:strCache>
                <c:ptCount val="1"/>
                <c:pt idx="0">
                  <c:v>21000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Skymaps!$E$595:$BC$595</c:f>
              <c:numCache>
                <c:formatCode>General</c:formatCode>
                <c:ptCount val="51"/>
                <c:pt idx="22">
                  <c:v>5.1473639905452728E-2</c:v>
                </c:pt>
                <c:pt idx="23">
                  <c:v>7.2741560637950897E-2</c:v>
                </c:pt>
                <c:pt idx="24">
                  <c:v>7.9848594963550568E-2</c:v>
                </c:pt>
                <c:pt idx="25">
                  <c:v>8.4262162446975708E-2</c:v>
                </c:pt>
                <c:pt idx="26">
                  <c:v>8.7604232132434845E-2</c:v>
                </c:pt>
                <c:pt idx="27">
                  <c:v>9.037085622549057E-2</c:v>
                </c:pt>
                <c:pt idx="28">
                  <c:v>9.2168964445590973E-2</c:v>
                </c:pt>
                <c:pt idx="29">
                  <c:v>9.2867657542228699E-2</c:v>
                </c:pt>
                <c:pt idx="30">
                  <c:v>9.1507919132709503E-2</c:v>
                </c:pt>
                <c:pt idx="31">
                  <c:v>9.0944588184356689E-2</c:v>
                </c:pt>
                <c:pt idx="32">
                  <c:v>8.8887333869934082E-2</c:v>
                </c:pt>
                <c:pt idx="33">
                  <c:v>8.6606636643409729E-2</c:v>
                </c:pt>
                <c:pt idx="34">
                  <c:v>8.4208860993385315E-2</c:v>
                </c:pt>
                <c:pt idx="35">
                  <c:v>8.1589557230472565E-2</c:v>
                </c:pt>
                <c:pt idx="36">
                  <c:v>7.7567525207996368E-2</c:v>
                </c:pt>
                <c:pt idx="37">
                  <c:v>7.4608162045478821E-2</c:v>
                </c:pt>
                <c:pt idx="38">
                  <c:v>8.1140585243701935E-2</c:v>
                </c:pt>
                <c:pt idx="39">
                  <c:v>7.5447782874107361E-2</c:v>
                </c:pt>
                <c:pt idx="40">
                  <c:v>6.8328015506267548E-2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421-4881-BF10-0DA648D1B5C2}"/>
            </c:ext>
          </c:extLst>
        </c:ser>
        <c:ser>
          <c:idx val="22"/>
          <c:order val="22"/>
          <c:tx>
            <c:strRef>
              <c:f>Skymaps!$D$596</c:f>
              <c:strCache>
                <c:ptCount val="1"/>
                <c:pt idx="0">
                  <c:v>22000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Skymaps!$E$596:$BC$596</c:f>
              <c:numCache>
                <c:formatCode>General</c:formatCode>
                <c:ptCount val="51"/>
                <c:pt idx="22">
                  <c:v>4.0973357856273651E-2</c:v>
                </c:pt>
                <c:pt idx="23">
                  <c:v>6.4664393663406372E-2</c:v>
                </c:pt>
                <c:pt idx="24">
                  <c:v>7.7244065701961517E-2</c:v>
                </c:pt>
                <c:pt idx="25">
                  <c:v>8.2118138670921326E-2</c:v>
                </c:pt>
                <c:pt idx="26">
                  <c:v>8.6804509162902832E-2</c:v>
                </c:pt>
                <c:pt idx="27">
                  <c:v>9.0007506310939789E-2</c:v>
                </c:pt>
                <c:pt idx="28">
                  <c:v>9.1424241662025452E-2</c:v>
                </c:pt>
                <c:pt idx="29">
                  <c:v>9.2619627714157104E-2</c:v>
                </c:pt>
                <c:pt idx="30">
                  <c:v>9.4349473714828491E-2</c:v>
                </c:pt>
                <c:pt idx="31">
                  <c:v>9.3168973922729492E-2</c:v>
                </c:pt>
                <c:pt idx="32">
                  <c:v>9.0907774865627289E-2</c:v>
                </c:pt>
                <c:pt idx="33">
                  <c:v>8.9665941894054413E-2</c:v>
                </c:pt>
                <c:pt idx="34">
                  <c:v>8.6391068994998932E-2</c:v>
                </c:pt>
                <c:pt idx="35">
                  <c:v>8.4699906408786774E-2</c:v>
                </c:pt>
                <c:pt idx="36">
                  <c:v>8.0969549715518951E-2</c:v>
                </c:pt>
                <c:pt idx="37">
                  <c:v>7.7492974698543549E-2</c:v>
                </c:pt>
                <c:pt idx="38">
                  <c:v>7.2935409843921661E-2</c:v>
                </c:pt>
                <c:pt idx="39">
                  <c:v>7.7741630375385284E-2</c:v>
                </c:pt>
                <c:pt idx="40">
                  <c:v>6.9872938096523285E-2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421-4881-BF10-0DA648D1B5C2}"/>
            </c:ext>
          </c:extLst>
        </c:ser>
        <c:ser>
          <c:idx val="23"/>
          <c:order val="23"/>
          <c:tx>
            <c:strRef>
              <c:f>Skymaps!$D$597</c:f>
              <c:strCache>
                <c:ptCount val="1"/>
                <c:pt idx="0">
                  <c:v>23000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Skymaps!$E$597:$BC$597</c:f>
              <c:numCache>
                <c:formatCode>General</c:formatCode>
                <c:ptCount val="51"/>
                <c:pt idx="23">
                  <c:v>5.4089590907096863E-2</c:v>
                </c:pt>
                <c:pt idx="24">
                  <c:v>7.4939832091331482E-2</c:v>
                </c:pt>
                <c:pt idx="25">
                  <c:v>8.1945084035396576E-2</c:v>
                </c:pt>
                <c:pt idx="26">
                  <c:v>8.673027902841568E-2</c:v>
                </c:pt>
                <c:pt idx="27">
                  <c:v>9.023815393447876E-2</c:v>
                </c:pt>
                <c:pt idx="28">
                  <c:v>9.3080848455429077E-2</c:v>
                </c:pt>
                <c:pt idx="29">
                  <c:v>9.4550006091594696E-2</c:v>
                </c:pt>
                <c:pt idx="30">
                  <c:v>9.4722017645835876E-2</c:v>
                </c:pt>
                <c:pt idx="31">
                  <c:v>9.4755597412586212E-2</c:v>
                </c:pt>
                <c:pt idx="32">
                  <c:v>9.4257079064846039E-2</c:v>
                </c:pt>
                <c:pt idx="33">
                  <c:v>9.113580733537674E-2</c:v>
                </c:pt>
                <c:pt idx="34">
                  <c:v>9.0196385979652405E-2</c:v>
                </c:pt>
                <c:pt idx="35">
                  <c:v>8.6705237627029419E-2</c:v>
                </c:pt>
                <c:pt idx="36">
                  <c:v>8.4522329270839691E-2</c:v>
                </c:pt>
                <c:pt idx="37">
                  <c:v>8.0374442040920258E-2</c:v>
                </c:pt>
                <c:pt idx="38">
                  <c:v>7.5958520174026489E-2</c:v>
                </c:pt>
                <c:pt idx="39">
                  <c:v>8.0527834594249725E-2</c:v>
                </c:pt>
                <c:pt idx="40">
                  <c:v>7.1618117392063141E-2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421-4881-BF10-0DA648D1B5C2}"/>
            </c:ext>
          </c:extLst>
        </c:ser>
        <c:ser>
          <c:idx val="24"/>
          <c:order val="24"/>
          <c:tx>
            <c:strRef>
              <c:f>Skymaps!$D$598</c:f>
              <c:strCache>
                <c:ptCount val="1"/>
                <c:pt idx="0">
                  <c:v>24000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Skymaps!$E$598:$BC$598</c:f>
              <c:numCache>
                <c:formatCode>General</c:formatCode>
                <c:ptCount val="51"/>
                <c:pt idx="23">
                  <c:v>4.2490988969802856E-2</c:v>
                </c:pt>
                <c:pt idx="24">
                  <c:v>6.6506870090961456E-2</c:v>
                </c:pt>
                <c:pt idx="25">
                  <c:v>7.9603873193264008E-2</c:v>
                </c:pt>
                <c:pt idx="26">
                  <c:v>8.4060527384281158E-2</c:v>
                </c:pt>
                <c:pt idx="27">
                  <c:v>8.8155888020992279E-2</c:v>
                </c:pt>
                <c:pt idx="28">
                  <c:v>9.1329053044319153E-2</c:v>
                </c:pt>
                <c:pt idx="29">
                  <c:v>9.39360111951828E-2</c:v>
                </c:pt>
                <c:pt idx="30">
                  <c:v>9.6193075180053711E-2</c:v>
                </c:pt>
                <c:pt idx="31">
                  <c:v>9.7056224942207336E-2</c:v>
                </c:pt>
                <c:pt idx="32">
                  <c:v>9.553343802690506E-2</c:v>
                </c:pt>
                <c:pt idx="33">
                  <c:v>9.4948209822177887E-2</c:v>
                </c:pt>
                <c:pt idx="34">
                  <c:v>9.2459015548229218E-2</c:v>
                </c:pt>
                <c:pt idx="35">
                  <c:v>9.0621352195739746E-2</c:v>
                </c:pt>
                <c:pt idx="36">
                  <c:v>8.7019234895706177E-2</c:v>
                </c:pt>
                <c:pt idx="37">
                  <c:v>8.4305226802825928E-2</c:v>
                </c:pt>
                <c:pt idx="38">
                  <c:v>7.8429587185382843E-2</c:v>
                </c:pt>
                <c:pt idx="39">
                  <c:v>8.2618497312068939E-2</c:v>
                </c:pt>
                <c:pt idx="40">
                  <c:v>7.4261017143726349E-2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421-4881-BF10-0DA648D1B5C2}"/>
            </c:ext>
          </c:extLst>
        </c:ser>
        <c:ser>
          <c:idx val="25"/>
          <c:order val="25"/>
          <c:tx>
            <c:strRef>
              <c:f>Skymaps!$D$599</c:f>
              <c:strCache>
                <c:ptCount val="1"/>
                <c:pt idx="0">
                  <c:v>25000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Skymaps!$E$599:$BC$599</c:f>
              <c:numCache>
                <c:formatCode>General</c:formatCode>
                <c:ptCount val="51"/>
                <c:pt idx="24">
                  <c:v>5.5457845330238342E-2</c:v>
                </c:pt>
                <c:pt idx="25">
                  <c:v>7.6353453099727631E-2</c:v>
                </c:pt>
                <c:pt idx="26">
                  <c:v>8.3710424602031708E-2</c:v>
                </c:pt>
                <c:pt idx="27">
                  <c:v>8.8979899883270264E-2</c:v>
                </c:pt>
                <c:pt idx="28">
                  <c:v>9.2618599534034729E-2</c:v>
                </c:pt>
                <c:pt idx="29">
                  <c:v>9.5441952347755432E-2</c:v>
                </c:pt>
                <c:pt idx="30">
                  <c:v>9.662976861000061E-2</c:v>
                </c:pt>
                <c:pt idx="31">
                  <c:v>9.6656776964664459E-2</c:v>
                </c:pt>
                <c:pt idx="32">
                  <c:v>9.8495170474052429E-2</c:v>
                </c:pt>
                <c:pt idx="33">
                  <c:v>9.728657454252243E-2</c:v>
                </c:pt>
                <c:pt idx="34">
                  <c:v>9.5400355756282806E-2</c:v>
                </c:pt>
                <c:pt idx="35">
                  <c:v>9.3727156519889832E-2</c:v>
                </c:pt>
                <c:pt idx="36">
                  <c:v>9.0454526245594025E-2</c:v>
                </c:pt>
                <c:pt idx="37">
                  <c:v>8.7257571518421173E-2</c:v>
                </c:pt>
                <c:pt idx="38">
                  <c:v>8.2677409052848816E-2</c:v>
                </c:pt>
                <c:pt idx="39">
                  <c:v>8.3881154656410217E-2</c:v>
                </c:pt>
                <c:pt idx="40">
                  <c:v>7.6117806136608124E-2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421-4881-BF10-0DA648D1B5C2}"/>
            </c:ext>
          </c:extLst>
        </c:ser>
        <c:ser>
          <c:idx val="26"/>
          <c:order val="26"/>
          <c:tx>
            <c:strRef>
              <c:f>Skymaps!$D$600</c:f>
              <c:strCache>
                <c:ptCount val="1"/>
                <c:pt idx="0">
                  <c:v>26000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Skymaps!$E$600:$BC$600</c:f>
              <c:numCache>
                <c:formatCode>General</c:formatCode>
                <c:ptCount val="51"/>
                <c:pt idx="24">
                  <c:v>4.2802270501852036E-2</c:v>
                </c:pt>
                <c:pt idx="25">
                  <c:v>6.665550172328949E-2</c:v>
                </c:pt>
                <c:pt idx="26">
                  <c:v>8.1694468855857849E-2</c:v>
                </c:pt>
                <c:pt idx="27">
                  <c:v>8.6921475827693939E-2</c:v>
                </c:pt>
                <c:pt idx="28">
                  <c:v>9.0709693729877472E-2</c:v>
                </c:pt>
                <c:pt idx="29">
                  <c:v>9.41510871052742E-2</c:v>
                </c:pt>
                <c:pt idx="30">
                  <c:v>9.7304277122020721E-2</c:v>
                </c:pt>
                <c:pt idx="31">
                  <c:v>9.8956689238548279E-2</c:v>
                </c:pt>
                <c:pt idx="32">
                  <c:v>9.8607473075389862E-2</c:v>
                </c:pt>
                <c:pt idx="33">
                  <c:v>9.8891198635101318E-2</c:v>
                </c:pt>
                <c:pt idx="34">
                  <c:v>9.8283961415290833E-2</c:v>
                </c:pt>
                <c:pt idx="35">
                  <c:v>9.5341667532920837E-2</c:v>
                </c:pt>
                <c:pt idx="36">
                  <c:v>9.3748509883880615E-2</c:v>
                </c:pt>
                <c:pt idx="37">
                  <c:v>8.9918948709964752E-2</c:v>
                </c:pt>
                <c:pt idx="38">
                  <c:v>8.5704341530799866E-2</c:v>
                </c:pt>
                <c:pt idx="39">
                  <c:v>7.9332441091537476E-2</c:v>
                </c:pt>
                <c:pt idx="40">
                  <c:v>7.6843351125717163E-2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421-4881-BF10-0DA648D1B5C2}"/>
            </c:ext>
          </c:extLst>
        </c:ser>
        <c:ser>
          <c:idx val="27"/>
          <c:order val="27"/>
          <c:tx>
            <c:strRef>
              <c:f>Skymaps!$D$601</c:f>
              <c:strCache>
                <c:ptCount val="1"/>
                <c:pt idx="0">
                  <c:v>27000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Skymaps!$E$601:$BC$601</c:f>
              <c:numCache>
                <c:formatCode>General</c:formatCode>
                <c:ptCount val="51"/>
                <c:pt idx="25">
                  <c:v>5.4763004183769226E-2</c:v>
                </c:pt>
                <c:pt idx="26">
                  <c:v>7.6478376984596252E-2</c:v>
                </c:pt>
                <c:pt idx="27">
                  <c:v>8.4012545645236969E-2</c:v>
                </c:pt>
                <c:pt idx="28">
                  <c:v>8.9835934340953827E-2</c:v>
                </c:pt>
                <c:pt idx="29">
                  <c:v>9.3452997505664825E-2</c:v>
                </c:pt>
                <c:pt idx="30">
                  <c:v>9.5923811197280884E-2</c:v>
                </c:pt>
                <c:pt idx="31">
                  <c:v>9.777425229549408E-2</c:v>
                </c:pt>
                <c:pt idx="32">
                  <c:v>0.1002800464630127</c:v>
                </c:pt>
                <c:pt idx="33">
                  <c:v>0.10060558468103409</c:v>
                </c:pt>
                <c:pt idx="34">
                  <c:v>9.8886080086231232E-2</c:v>
                </c:pt>
                <c:pt idx="35">
                  <c:v>9.9008388817310333E-2</c:v>
                </c:pt>
                <c:pt idx="36">
                  <c:v>9.5409117639064789E-2</c:v>
                </c:pt>
                <c:pt idx="37">
                  <c:v>9.3716159462928772E-2</c:v>
                </c:pt>
                <c:pt idx="38">
                  <c:v>8.7571576237678528E-2</c:v>
                </c:pt>
                <c:pt idx="39">
                  <c:v>8.2339383661746979E-2</c:v>
                </c:pt>
                <c:pt idx="40">
                  <c:v>7.9070970416069031E-2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421-4881-BF10-0DA648D1B5C2}"/>
            </c:ext>
          </c:extLst>
        </c:ser>
        <c:ser>
          <c:idx val="28"/>
          <c:order val="28"/>
          <c:tx>
            <c:strRef>
              <c:f>Skymaps!$D$602</c:f>
              <c:strCache>
                <c:ptCount val="1"/>
                <c:pt idx="0">
                  <c:v>28000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Skymaps!$E$602:$BC$602</c:f>
              <c:numCache>
                <c:formatCode>General</c:formatCode>
                <c:ptCount val="51"/>
                <c:pt idx="25">
                  <c:v>4.1502725332975388E-2</c:v>
                </c:pt>
                <c:pt idx="26">
                  <c:v>6.5581947565078735E-2</c:v>
                </c:pt>
                <c:pt idx="27">
                  <c:v>8.2878164947032928E-2</c:v>
                </c:pt>
                <c:pt idx="28">
                  <c:v>8.8825434446334839E-2</c:v>
                </c:pt>
                <c:pt idx="29">
                  <c:v>9.3195080757141113E-2</c:v>
                </c:pt>
                <c:pt idx="30">
                  <c:v>9.6605472266674042E-2</c:v>
                </c:pt>
                <c:pt idx="31">
                  <c:v>9.9199861288070679E-2</c:v>
                </c:pt>
                <c:pt idx="32">
                  <c:v>0.10022749006748199</c:v>
                </c:pt>
                <c:pt idx="33">
                  <c:v>0.10090253502130508</c:v>
                </c:pt>
                <c:pt idx="34">
                  <c:v>0.10203976929187775</c:v>
                </c:pt>
                <c:pt idx="35">
                  <c:v>0.10027041286230087</c:v>
                </c:pt>
                <c:pt idx="36">
                  <c:v>9.8971620202064514E-2</c:v>
                </c:pt>
                <c:pt idx="37">
                  <c:v>9.5925338566303253E-2</c:v>
                </c:pt>
                <c:pt idx="38">
                  <c:v>9.1681033372879028E-2</c:v>
                </c:pt>
                <c:pt idx="39">
                  <c:v>8.4168605506420135E-2</c:v>
                </c:pt>
                <c:pt idx="40">
                  <c:v>8.067978173494339E-2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421-4881-BF10-0DA648D1B5C2}"/>
            </c:ext>
          </c:extLst>
        </c:ser>
        <c:ser>
          <c:idx val="29"/>
          <c:order val="29"/>
          <c:tx>
            <c:strRef>
              <c:f>Skymaps!$D$603</c:f>
              <c:strCache>
                <c:ptCount val="1"/>
                <c:pt idx="0">
                  <c:v>29000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Skymaps!$E$603:$BC$603</c:f>
              <c:numCache>
                <c:formatCode>General</c:formatCode>
                <c:ptCount val="51"/>
                <c:pt idx="26">
                  <c:v>5.0474546849727631E-2</c:v>
                </c:pt>
                <c:pt idx="27">
                  <c:v>7.5275734066963196E-2</c:v>
                </c:pt>
                <c:pt idx="28">
                  <c:v>8.5388600826263428E-2</c:v>
                </c:pt>
                <c:pt idx="29">
                  <c:v>9.0333074331283569E-2</c:v>
                </c:pt>
                <c:pt idx="30">
                  <c:v>9.4315633177757263E-2</c:v>
                </c:pt>
                <c:pt idx="31">
                  <c:v>9.8013848066329956E-2</c:v>
                </c:pt>
                <c:pt idx="32">
                  <c:v>0.10123419016599655</c:v>
                </c:pt>
                <c:pt idx="33">
                  <c:v>0.10269559174776077</c:v>
                </c:pt>
                <c:pt idx="34">
                  <c:v>0.10131637752056122</c:v>
                </c:pt>
                <c:pt idx="35">
                  <c:v>0.10323505848646164</c:v>
                </c:pt>
                <c:pt idx="36">
                  <c:v>0.10104086250066757</c:v>
                </c:pt>
                <c:pt idx="37">
                  <c:v>9.8893925547599792E-2</c:v>
                </c:pt>
                <c:pt idx="38">
                  <c:v>9.4218716025352478E-2</c:v>
                </c:pt>
                <c:pt idx="39">
                  <c:v>8.8020473718643188E-2</c:v>
                </c:pt>
                <c:pt idx="40">
                  <c:v>8.0676138401031494E-2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421-4881-BF10-0DA648D1B5C2}"/>
            </c:ext>
          </c:extLst>
        </c:ser>
        <c:ser>
          <c:idx val="30"/>
          <c:order val="30"/>
          <c:tx>
            <c:strRef>
              <c:f>Skymaps!$D$604</c:f>
              <c:strCache>
                <c:ptCount val="1"/>
                <c:pt idx="0">
                  <c:v>30000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Skymaps!$E$604:$BC$604</c:f>
              <c:numCache>
                <c:formatCode>General</c:formatCode>
                <c:ptCount val="51"/>
                <c:pt idx="27">
                  <c:v>6.3089415431022644E-2</c:v>
                </c:pt>
                <c:pt idx="28">
                  <c:v>8.270738273859024E-2</c:v>
                </c:pt>
                <c:pt idx="29">
                  <c:v>8.9187964797019958E-2</c:v>
                </c:pt>
                <c:pt idx="30">
                  <c:v>9.421239048242569E-2</c:v>
                </c:pt>
                <c:pt idx="31">
                  <c:v>9.7484372556209564E-2</c:v>
                </c:pt>
                <c:pt idx="32">
                  <c:v>9.9304661154747009E-2</c:v>
                </c:pt>
                <c:pt idx="33">
                  <c:v>0.10239887982606888</c:v>
                </c:pt>
                <c:pt idx="34">
                  <c:v>0.10460790991783142</c:v>
                </c:pt>
                <c:pt idx="35">
                  <c:v>0.1041264608502388</c:v>
                </c:pt>
                <c:pt idx="36">
                  <c:v>0.10326694697141647</c:v>
                </c:pt>
                <c:pt idx="37">
                  <c:v>0.10165488719940186</c:v>
                </c:pt>
                <c:pt idx="38">
                  <c:v>9.6645630896091461E-2</c:v>
                </c:pt>
                <c:pt idx="39">
                  <c:v>9.0586043894290924E-2</c:v>
                </c:pt>
                <c:pt idx="40">
                  <c:v>8.2630112767219543E-2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421-4881-BF10-0DA648D1B5C2}"/>
            </c:ext>
          </c:extLst>
        </c:ser>
        <c:ser>
          <c:idx val="31"/>
          <c:order val="31"/>
          <c:tx>
            <c:strRef>
              <c:f>Skymaps!$D$605</c:f>
              <c:strCache>
                <c:ptCount val="1"/>
                <c:pt idx="0">
                  <c:v>31000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Skymaps!$E$605:$BC$605</c:f>
              <c:numCache>
                <c:formatCode>General</c:formatCode>
                <c:ptCount val="51"/>
                <c:pt idx="27">
                  <c:v>4.7218978404998779E-2</c:v>
                </c:pt>
                <c:pt idx="28">
                  <c:v>7.2122134268283844E-2</c:v>
                </c:pt>
                <c:pt idx="29">
                  <c:v>8.6959101259708405E-2</c:v>
                </c:pt>
                <c:pt idx="30">
                  <c:v>9.2579960823059082E-2</c:v>
                </c:pt>
                <c:pt idx="31">
                  <c:v>9.6838086843490601E-2</c:v>
                </c:pt>
                <c:pt idx="32">
                  <c:v>0.10010815411806107</c:v>
                </c:pt>
                <c:pt idx="33">
                  <c:v>0.10218304395675659</c:v>
                </c:pt>
                <c:pt idx="34">
                  <c:v>0.10269745439291</c:v>
                </c:pt>
                <c:pt idx="35">
                  <c:v>0.10550627112388611</c:v>
                </c:pt>
                <c:pt idx="36">
                  <c:v>0.10466524958610535</c:v>
                </c:pt>
                <c:pt idx="37">
                  <c:v>0.10269422084093094</c:v>
                </c:pt>
                <c:pt idx="38">
                  <c:v>9.9330291152000427E-2</c:v>
                </c:pt>
                <c:pt idx="39">
                  <c:v>9.2118300497531891E-2</c:v>
                </c:pt>
                <c:pt idx="40">
                  <c:v>8.3166234195232391E-2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F421-4881-BF10-0DA648D1B5C2}"/>
            </c:ext>
          </c:extLst>
        </c:ser>
        <c:ser>
          <c:idx val="32"/>
          <c:order val="32"/>
          <c:tx>
            <c:strRef>
              <c:f>Skymaps!$D$606</c:f>
              <c:strCache>
                <c:ptCount val="1"/>
                <c:pt idx="0">
                  <c:v>32000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Skymaps!$E$606:$BC$606</c:f>
              <c:numCache>
                <c:formatCode>General</c:formatCode>
                <c:ptCount val="51"/>
                <c:pt idx="28">
                  <c:v>5.5001497268676758E-2</c:v>
                </c:pt>
                <c:pt idx="29">
                  <c:v>7.9767987132072449E-2</c:v>
                </c:pt>
                <c:pt idx="30">
                  <c:v>8.8547885417938232E-2</c:v>
                </c:pt>
                <c:pt idx="31">
                  <c:v>9.384472668170929E-2</c:v>
                </c:pt>
                <c:pt idx="32">
                  <c:v>9.8004035651683807E-2</c:v>
                </c:pt>
                <c:pt idx="33">
                  <c:v>0.10167653858661652</c:v>
                </c:pt>
                <c:pt idx="34">
                  <c:v>0.10425525158643723</c:v>
                </c:pt>
                <c:pt idx="35">
                  <c:v>0.10479000955820084</c:v>
                </c:pt>
                <c:pt idx="36">
                  <c:v>0.10483924299478531</c:v>
                </c:pt>
                <c:pt idx="37">
                  <c:v>0.10498405992984772</c:v>
                </c:pt>
                <c:pt idx="38">
                  <c:v>9.9099300801753998E-2</c:v>
                </c:pt>
                <c:pt idx="39">
                  <c:v>9.4374172389507294E-2</c:v>
                </c:pt>
                <c:pt idx="40">
                  <c:v>8.2442566752433777E-2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F421-4881-BF10-0DA648D1B5C2}"/>
            </c:ext>
          </c:extLst>
        </c:ser>
        <c:ser>
          <c:idx val="33"/>
          <c:order val="33"/>
          <c:tx>
            <c:strRef>
              <c:f>Skymaps!$D$607</c:f>
              <c:strCache>
                <c:ptCount val="1"/>
                <c:pt idx="0">
                  <c:v>33000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Skymaps!$E$607:$BC$607</c:f>
              <c:numCache>
                <c:formatCode>General</c:formatCode>
                <c:ptCount val="51"/>
                <c:pt idx="29">
                  <c:v>6.6905252635478973E-2</c:v>
                </c:pt>
                <c:pt idx="30">
                  <c:v>8.5696853697299957E-2</c:v>
                </c:pt>
                <c:pt idx="31">
                  <c:v>9.1353133320808411E-2</c:v>
                </c:pt>
                <c:pt idx="32">
                  <c:v>9.6100233495235443E-2</c:v>
                </c:pt>
                <c:pt idx="33">
                  <c:v>9.8856784403324127E-2</c:v>
                </c:pt>
                <c:pt idx="34">
                  <c:v>0.10252621024847031</c:v>
                </c:pt>
                <c:pt idx="35">
                  <c:v>0.10579206794500351</c:v>
                </c:pt>
                <c:pt idx="36">
                  <c:v>0.10543892532587051</c:v>
                </c:pt>
                <c:pt idx="37">
                  <c:v>0.10411055386066437</c:v>
                </c:pt>
                <c:pt idx="38">
                  <c:v>0.10175416618585587</c:v>
                </c:pt>
                <c:pt idx="39">
                  <c:v>9.3197450041770935E-2</c:v>
                </c:pt>
                <c:pt idx="40">
                  <c:v>8.324558287858963E-2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F421-4881-BF10-0DA648D1B5C2}"/>
            </c:ext>
          </c:extLst>
        </c:ser>
        <c:ser>
          <c:idx val="34"/>
          <c:order val="34"/>
          <c:tx>
            <c:strRef>
              <c:f>Skymaps!$D$608</c:f>
              <c:strCache>
                <c:ptCount val="1"/>
                <c:pt idx="0">
                  <c:v>34000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Skymaps!$E$608:$BC$608</c:f>
              <c:numCache>
                <c:formatCode>General</c:formatCode>
                <c:ptCount val="51"/>
                <c:pt idx="30">
                  <c:v>7.4686057865619659E-2</c:v>
                </c:pt>
                <c:pt idx="31">
                  <c:v>8.9552745223045349E-2</c:v>
                </c:pt>
                <c:pt idx="32">
                  <c:v>9.4921857118606567E-2</c:v>
                </c:pt>
                <c:pt idx="33">
                  <c:v>9.9065415561199188E-2</c:v>
                </c:pt>
                <c:pt idx="34">
                  <c:v>0.10180717706680298</c:v>
                </c:pt>
                <c:pt idx="35">
                  <c:v>0.10300830751657486</c:v>
                </c:pt>
                <c:pt idx="36">
                  <c:v>0.1053299605846405</c:v>
                </c:pt>
                <c:pt idx="37">
                  <c:v>0.10578833520412445</c:v>
                </c:pt>
                <c:pt idx="38">
                  <c:v>9.9993936717510223E-2</c:v>
                </c:pt>
                <c:pt idx="39">
                  <c:v>9.5824405550956726E-2</c:v>
                </c:pt>
                <c:pt idx="40">
                  <c:v>8.0158591270446777E-2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F421-4881-BF10-0DA648D1B5C2}"/>
            </c:ext>
          </c:extLst>
        </c:ser>
        <c:ser>
          <c:idx val="35"/>
          <c:order val="35"/>
          <c:tx>
            <c:strRef>
              <c:f>Skymaps!$D$609</c:f>
              <c:strCache>
                <c:ptCount val="1"/>
                <c:pt idx="0">
                  <c:v>35000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Skymaps!$E$609:$BC$609</c:f>
              <c:numCache>
                <c:formatCode>General</c:formatCode>
                <c:ptCount val="51"/>
                <c:pt idx="31">
                  <c:v>8.1088326871395111E-2</c:v>
                </c:pt>
                <c:pt idx="32">
                  <c:v>9.1800518333911896E-2</c:v>
                </c:pt>
                <c:pt idx="33">
                  <c:v>9.7178667783737183E-2</c:v>
                </c:pt>
                <c:pt idx="34">
                  <c:v>0.1011926531791687</c:v>
                </c:pt>
                <c:pt idx="35">
                  <c:v>0.10406447947025299</c:v>
                </c:pt>
                <c:pt idx="36">
                  <c:v>0.10381995886564255</c:v>
                </c:pt>
                <c:pt idx="37">
                  <c:v>0.1047581285238266</c:v>
                </c:pt>
                <c:pt idx="38">
                  <c:v>0.10216851532459259</c:v>
                </c:pt>
                <c:pt idx="39">
                  <c:v>9.3601293861865997E-2</c:v>
                </c:pt>
                <c:pt idx="40">
                  <c:v>8.1095613539218903E-2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F421-4881-BF10-0DA648D1B5C2}"/>
            </c:ext>
          </c:extLst>
        </c:ser>
        <c:ser>
          <c:idx val="36"/>
          <c:order val="36"/>
          <c:tx>
            <c:strRef>
              <c:f>Skymaps!$D$610</c:f>
              <c:strCache>
                <c:ptCount val="1"/>
                <c:pt idx="0">
                  <c:v>36000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Skymaps!$E$610:$BC$610</c:f>
              <c:numCache>
                <c:formatCode>General</c:formatCode>
                <c:ptCount val="51"/>
                <c:pt idx="33">
                  <c:v>9.2172347009181976E-2</c:v>
                </c:pt>
                <c:pt idx="34">
                  <c:v>9.768984466791153E-2</c:v>
                </c:pt>
                <c:pt idx="35">
                  <c:v>0.1018230989575386</c:v>
                </c:pt>
                <c:pt idx="36">
                  <c:v>0.10300986468791962</c:v>
                </c:pt>
                <c:pt idx="37">
                  <c:v>0.10341135412454605</c:v>
                </c:pt>
                <c:pt idx="38">
                  <c:v>9.9339120090007782E-2</c:v>
                </c:pt>
                <c:pt idx="39">
                  <c:v>9.4500891864299774E-2</c:v>
                </c:pt>
                <c:pt idx="40">
                  <c:v>7.819780707359314E-2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F421-4881-BF10-0DA648D1B5C2}"/>
            </c:ext>
          </c:extLst>
        </c:ser>
        <c:ser>
          <c:idx val="37"/>
          <c:order val="37"/>
          <c:tx>
            <c:strRef>
              <c:f>Skymaps!$D$611</c:f>
              <c:strCache>
                <c:ptCount val="1"/>
                <c:pt idx="0">
                  <c:v>37000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Skymaps!$E$611:$BC$611</c:f>
              <c:numCache>
                <c:formatCode>General</c:formatCode>
                <c:ptCount val="51"/>
                <c:pt idx="35">
                  <c:v>9.7944870591163635E-2</c:v>
                </c:pt>
                <c:pt idx="36">
                  <c:v>0.10002025961875916</c:v>
                </c:pt>
                <c:pt idx="37">
                  <c:v>0.10198934376239777</c:v>
                </c:pt>
                <c:pt idx="38">
                  <c:v>9.8732665181159973E-2</c:v>
                </c:pt>
                <c:pt idx="39">
                  <c:v>8.9294254779815674E-2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F421-4881-BF10-0DA648D1B5C2}"/>
            </c:ext>
          </c:extLst>
        </c:ser>
        <c:ser>
          <c:idx val="38"/>
          <c:order val="38"/>
          <c:tx>
            <c:strRef>
              <c:f>Skymaps!$D$612</c:f>
              <c:strCache>
                <c:ptCount val="1"/>
                <c:pt idx="0">
                  <c:v>38000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Skymaps!$E$612:$BC$612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6-F421-4881-BF10-0DA648D1B5C2}"/>
            </c:ext>
          </c:extLst>
        </c:ser>
        <c:ser>
          <c:idx val="39"/>
          <c:order val="39"/>
          <c:tx>
            <c:strRef>
              <c:f>Skymaps!$D$613</c:f>
              <c:strCache>
                <c:ptCount val="1"/>
                <c:pt idx="0">
                  <c:v>39000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Skymaps!$E$613:$BC$613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F421-4881-BF10-0DA648D1B5C2}"/>
            </c:ext>
          </c:extLst>
        </c:ser>
        <c:ser>
          <c:idx val="40"/>
          <c:order val="40"/>
          <c:tx>
            <c:strRef>
              <c:f>Skymaps!$D$614</c:f>
              <c:strCache>
                <c:ptCount val="1"/>
                <c:pt idx="0">
                  <c:v>40000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Skymaps!$E$614:$BC$614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F421-4881-BF10-0DA648D1B5C2}"/>
            </c:ext>
          </c:extLst>
        </c:ser>
        <c:ser>
          <c:idx val="41"/>
          <c:order val="41"/>
          <c:tx>
            <c:strRef>
              <c:f>Skymaps!$D$615</c:f>
              <c:strCache>
                <c:ptCount val="1"/>
                <c:pt idx="0">
                  <c:v>41000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Skymaps!$E$615:$BC$615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F421-4881-BF10-0DA648D1B5C2}"/>
            </c:ext>
          </c:extLst>
        </c:ser>
        <c:ser>
          <c:idx val="42"/>
          <c:order val="42"/>
          <c:tx>
            <c:strRef>
              <c:f>Skymaps!$D$616</c:f>
              <c:strCache>
                <c:ptCount val="1"/>
                <c:pt idx="0">
                  <c:v>42000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Skymaps!$E$616:$BC$616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F421-4881-BF10-0DA648D1B5C2}"/>
            </c:ext>
          </c:extLst>
        </c:ser>
        <c:ser>
          <c:idx val="43"/>
          <c:order val="43"/>
          <c:tx>
            <c:strRef>
              <c:f>Skymaps!$D$617</c:f>
              <c:strCache>
                <c:ptCount val="1"/>
                <c:pt idx="0">
                  <c:v>43000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Skymaps!$E$617:$BC$617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F421-4881-BF10-0DA648D1B5C2}"/>
            </c:ext>
          </c:extLst>
        </c:ser>
        <c:ser>
          <c:idx val="44"/>
          <c:order val="44"/>
          <c:tx>
            <c:strRef>
              <c:f>Skymaps!$D$618</c:f>
              <c:strCache>
                <c:ptCount val="1"/>
                <c:pt idx="0">
                  <c:v>44000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Skymaps!$E$618:$BC$618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F421-4881-BF10-0DA648D1B5C2}"/>
            </c:ext>
          </c:extLst>
        </c:ser>
        <c:ser>
          <c:idx val="45"/>
          <c:order val="45"/>
          <c:tx>
            <c:strRef>
              <c:f>Skymaps!$D$619</c:f>
              <c:strCache>
                <c:ptCount val="1"/>
                <c:pt idx="0">
                  <c:v>45000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Skymaps!$E$619:$BC$619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F421-4881-BF10-0DA648D1B5C2}"/>
            </c:ext>
          </c:extLst>
        </c:ser>
        <c:ser>
          <c:idx val="46"/>
          <c:order val="46"/>
          <c:tx>
            <c:strRef>
              <c:f>Skymaps!$D$620</c:f>
              <c:strCache>
                <c:ptCount val="1"/>
                <c:pt idx="0">
                  <c:v>46000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Skymaps!$E$620:$BC$620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F421-4881-BF10-0DA648D1B5C2}"/>
            </c:ext>
          </c:extLst>
        </c:ser>
        <c:ser>
          <c:idx val="47"/>
          <c:order val="47"/>
          <c:tx>
            <c:strRef>
              <c:f>Skymaps!$D$621</c:f>
              <c:strCache>
                <c:ptCount val="1"/>
                <c:pt idx="0">
                  <c:v>47000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Skymaps!$E$621:$BC$621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F421-4881-BF10-0DA648D1B5C2}"/>
            </c:ext>
          </c:extLst>
        </c:ser>
        <c:ser>
          <c:idx val="48"/>
          <c:order val="48"/>
          <c:tx>
            <c:strRef>
              <c:f>Skymaps!$D$622</c:f>
              <c:strCache>
                <c:ptCount val="1"/>
                <c:pt idx="0">
                  <c:v>48000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Skymaps!$E$622:$BC$622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F421-4881-BF10-0DA648D1B5C2}"/>
            </c:ext>
          </c:extLst>
        </c:ser>
        <c:ser>
          <c:idx val="49"/>
          <c:order val="49"/>
          <c:tx>
            <c:strRef>
              <c:f>Skymaps!$D$623</c:f>
              <c:strCache>
                <c:ptCount val="1"/>
                <c:pt idx="0">
                  <c:v>49000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Skymaps!$E$623:$BC$623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F421-4881-BF10-0DA648D1B5C2}"/>
            </c:ext>
          </c:extLst>
        </c:ser>
        <c:ser>
          <c:idx val="50"/>
          <c:order val="50"/>
          <c:tx>
            <c:strRef>
              <c:f>Skymaps!$D$624</c:f>
              <c:strCache>
                <c:ptCount val="1"/>
                <c:pt idx="0">
                  <c:v>50000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Skymaps!$E$624:$BC$624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F421-4881-BF10-0DA648D1B5C2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24987864"/>
        <c:axId val="624980976"/>
        <c:axId val="619143024"/>
      </c:surfaceChart>
      <c:catAx>
        <c:axId val="624987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980976"/>
        <c:crosses val="autoZero"/>
        <c:auto val="1"/>
        <c:lblAlgn val="ctr"/>
        <c:lblOffset val="100"/>
        <c:noMultiLvlLbl val="0"/>
      </c:catAx>
      <c:valAx>
        <c:axId val="62498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987864"/>
        <c:crosses val="autoZero"/>
        <c:crossBetween val="midCat"/>
        <c:majorUnit val="8.0000000000000019E-3"/>
      </c:valAx>
      <c:serAx>
        <c:axId val="6191430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980976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Skymaps!$D$626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Skymaps!$E$626:$BC$626</c:f>
              <c:numCache>
                <c:formatCode>General</c:formatCode>
                <c:ptCount val="51"/>
                <c:pt idx="13">
                  <c:v>40408.31640625</c:v>
                </c:pt>
                <c:pt idx="14">
                  <c:v>39762.11328125</c:v>
                </c:pt>
                <c:pt idx="15">
                  <c:v>39115.9140625</c:v>
                </c:pt>
                <c:pt idx="16">
                  <c:v>38595.02734375</c:v>
                </c:pt>
                <c:pt idx="17">
                  <c:v>38074.13671875</c:v>
                </c:pt>
                <c:pt idx="18">
                  <c:v>37553.25</c:v>
                </c:pt>
                <c:pt idx="19">
                  <c:v>37032.36328125</c:v>
                </c:pt>
                <c:pt idx="20">
                  <c:v>36511.4765625</c:v>
                </c:pt>
                <c:pt idx="21">
                  <c:v>32589.0390625</c:v>
                </c:pt>
                <c:pt idx="22">
                  <c:v>28666.6015625</c:v>
                </c:pt>
                <c:pt idx="23">
                  <c:v>24744.166015625</c:v>
                </c:pt>
                <c:pt idx="24">
                  <c:v>20821.728515625</c:v>
                </c:pt>
                <c:pt idx="25">
                  <c:v>16899.291015625</c:v>
                </c:pt>
                <c:pt idx="26">
                  <c:v>16414.8984375</c:v>
                </c:pt>
                <c:pt idx="27">
                  <c:v>15930.5048828125</c:v>
                </c:pt>
                <c:pt idx="28">
                  <c:v>15446.111328125</c:v>
                </c:pt>
                <c:pt idx="29">
                  <c:v>14961.7177734375</c:v>
                </c:pt>
                <c:pt idx="30">
                  <c:v>14477.32421875</c:v>
                </c:pt>
                <c:pt idx="31">
                  <c:v>14019.0419921875</c:v>
                </c:pt>
                <c:pt idx="32">
                  <c:v>13560.759765625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6-4BA6-86B7-859CD3B04905}"/>
            </c:ext>
          </c:extLst>
        </c:ser>
        <c:ser>
          <c:idx val="1"/>
          <c:order val="1"/>
          <c:tx>
            <c:strRef>
              <c:f>Skymaps!$D$627</c:f>
              <c:strCache>
                <c:ptCount val="1"/>
                <c:pt idx="0">
                  <c:v>1000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Skymaps!$E$627:$BC$627</c:f>
              <c:numCache>
                <c:formatCode>General</c:formatCode>
                <c:ptCount val="51"/>
                <c:pt idx="14">
                  <c:v>38919.421875</c:v>
                </c:pt>
                <c:pt idx="15">
                  <c:v>38291.45703125</c:v>
                </c:pt>
                <c:pt idx="16">
                  <c:v>37786.99609375</c:v>
                </c:pt>
                <c:pt idx="17">
                  <c:v>37282.53515625</c:v>
                </c:pt>
                <c:pt idx="18">
                  <c:v>36778.078125</c:v>
                </c:pt>
                <c:pt idx="19">
                  <c:v>36273.6171875</c:v>
                </c:pt>
                <c:pt idx="20">
                  <c:v>35769.15625</c:v>
                </c:pt>
                <c:pt idx="21">
                  <c:v>32008.609375</c:v>
                </c:pt>
                <c:pt idx="22">
                  <c:v>28248.0625</c:v>
                </c:pt>
                <c:pt idx="23">
                  <c:v>24487.515625</c:v>
                </c:pt>
                <c:pt idx="24">
                  <c:v>20726.966796875</c:v>
                </c:pt>
                <c:pt idx="25">
                  <c:v>16966.419921875</c:v>
                </c:pt>
                <c:pt idx="26">
                  <c:v>16490.498046875</c:v>
                </c:pt>
                <c:pt idx="27">
                  <c:v>16014.5751953125</c:v>
                </c:pt>
                <c:pt idx="28">
                  <c:v>15538.65234375</c:v>
                </c:pt>
                <c:pt idx="29">
                  <c:v>15062.7294921875</c:v>
                </c:pt>
                <c:pt idx="30">
                  <c:v>14586.806640625</c:v>
                </c:pt>
                <c:pt idx="31">
                  <c:v>14136.6865234375</c:v>
                </c:pt>
                <c:pt idx="32">
                  <c:v>13686.56640625</c:v>
                </c:pt>
                <c:pt idx="33">
                  <c:v>13236.4453125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56-4BA6-86B7-859CD3B04905}"/>
            </c:ext>
          </c:extLst>
        </c:ser>
        <c:ser>
          <c:idx val="2"/>
          <c:order val="2"/>
          <c:tx>
            <c:strRef>
              <c:f>Skymaps!$D$628</c:f>
              <c:strCache>
                <c:ptCount val="1"/>
                <c:pt idx="0">
                  <c:v>2000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Skymaps!$E$628:$BC$628</c:f>
              <c:numCache>
                <c:formatCode>General</c:formatCode>
                <c:ptCount val="51"/>
                <c:pt idx="14">
                  <c:v>38076.73046875</c:v>
                </c:pt>
                <c:pt idx="15">
                  <c:v>37467</c:v>
                </c:pt>
                <c:pt idx="16">
                  <c:v>36978.96875</c:v>
                </c:pt>
                <c:pt idx="17">
                  <c:v>36490.9375</c:v>
                </c:pt>
                <c:pt idx="18">
                  <c:v>36002.90234375</c:v>
                </c:pt>
                <c:pt idx="19">
                  <c:v>35514.87109375</c:v>
                </c:pt>
                <c:pt idx="20">
                  <c:v>35026.8359375</c:v>
                </c:pt>
                <c:pt idx="21">
                  <c:v>31428.1796875</c:v>
                </c:pt>
                <c:pt idx="22">
                  <c:v>27829.521484375</c:v>
                </c:pt>
                <c:pt idx="23">
                  <c:v>24230.865234375</c:v>
                </c:pt>
                <c:pt idx="24">
                  <c:v>20632.20703125</c:v>
                </c:pt>
                <c:pt idx="25">
                  <c:v>17033.548828125</c:v>
                </c:pt>
                <c:pt idx="26">
                  <c:v>16566.09765625</c:v>
                </c:pt>
                <c:pt idx="27">
                  <c:v>16098.64453125</c:v>
                </c:pt>
                <c:pt idx="28">
                  <c:v>15631.1923828125</c:v>
                </c:pt>
                <c:pt idx="29">
                  <c:v>15163.740234375</c:v>
                </c:pt>
                <c:pt idx="30">
                  <c:v>14696.2890625</c:v>
                </c:pt>
                <c:pt idx="31">
                  <c:v>14254.3310546875</c:v>
                </c:pt>
                <c:pt idx="32">
                  <c:v>13812.373046875</c:v>
                </c:pt>
                <c:pt idx="33">
                  <c:v>13370.4150390625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56-4BA6-86B7-859CD3B04905}"/>
            </c:ext>
          </c:extLst>
        </c:ser>
        <c:ser>
          <c:idx val="3"/>
          <c:order val="3"/>
          <c:tx>
            <c:strRef>
              <c:f>Skymaps!$D$629</c:f>
              <c:strCache>
                <c:ptCount val="1"/>
                <c:pt idx="0">
                  <c:v>3000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Skymaps!$E$629:$BC$629</c:f>
              <c:numCache>
                <c:formatCode>General</c:formatCode>
                <c:ptCount val="51"/>
                <c:pt idx="14">
                  <c:v>37234.03515625</c:v>
                </c:pt>
                <c:pt idx="15">
                  <c:v>36642.546875</c:v>
                </c:pt>
                <c:pt idx="16">
                  <c:v>36170.94140625</c:v>
                </c:pt>
                <c:pt idx="17">
                  <c:v>35699.3359375</c:v>
                </c:pt>
                <c:pt idx="18">
                  <c:v>35227.73046875</c:v>
                </c:pt>
                <c:pt idx="19">
                  <c:v>34756.125</c:v>
                </c:pt>
                <c:pt idx="20">
                  <c:v>34284.51953125</c:v>
                </c:pt>
                <c:pt idx="21">
                  <c:v>30847.75</c:v>
                </c:pt>
                <c:pt idx="22">
                  <c:v>27410.982421875</c:v>
                </c:pt>
                <c:pt idx="23">
                  <c:v>23974.212890625</c:v>
                </c:pt>
                <c:pt idx="24">
                  <c:v>20537.4453125</c:v>
                </c:pt>
                <c:pt idx="25">
                  <c:v>17100.677734375</c:v>
                </c:pt>
                <c:pt idx="26">
                  <c:v>16641.6953125</c:v>
                </c:pt>
                <c:pt idx="27">
                  <c:v>16182.71484375</c:v>
                </c:pt>
                <c:pt idx="28">
                  <c:v>15723.7333984375</c:v>
                </c:pt>
                <c:pt idx="29">
                  <c:v>15264.751953125</c:v>
                </c:pt>
                <c:pt idx="30">
                  <c:v>14805.7705078125</c:v>
                </c:pt>
                <c:pt idx="31">
                  <c:v>14371.974609375</c:v>
                </c:pt>
                <c:pt idx="32">
                  <c:v>13938.1796875</c:v>
                </c:pt>
                <c:pt idx="33">
                  <c:v>13504.3837890625</c:v>
                </c:pt>
                <c:pt idx="34">
                  <c:v>13070.587890625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56-4BA6-86B7-859CD3B04905}"/>
            </c:ext>
          </c:extLst>
        </c:ser>
        <c:ser>
          <c:idx val="4"/>
          <c:order val="4"/>
          <c:tx>
            <c:strRef>
              <c:f>Skymaps!$D$630</c:f>
              <c:strCache>
                <c:ptCount val="1"/>
                <c:pt idx="0">
                  <c:v>4000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Skymaps!$E$630:$BC$630</c:f>
              <c:numCache>
                <c:formatCode>General</c:formatCode>
                <c:ptCount val="51"/>
                <c:pt idx="14">
                  <c:v>36391.34375</c:v>
                </c:pt>
                <c:pt idx="15">
                  <c:v>35818.08984375</c:v>
                </c:pt>
                <c:pt idx="16">
                  <c:v>35362.91015625</c:v>
                </c:pt>
                <c:pt idx="17">
                  <c:v>34907.734375</c:v>
                </c:pt>
                <c:pt idx="18">
                  <c:v>34452.5546875</c:v>
                </c:pt>
                <c:pt idx="19">
                  <c:v>33997.37890625</c:v>
                </c:pt>
                <c:pt idx="20">
                  <c:v>33542.19921875</c:v>
                </c:pt>
                <c:pt idx="21">
                  <c:v>30267.3203125</c:v>
                </c:pt>
                <c:pt idx="22">
                  <c:v>26992.44140625</c:v>
                </c:pt>
                <c:pt idx="23">
                  <c:v>23717.5625</c:v>
                </c:pt>
                <c:pt idx="24">
                  <c:v>20442.68359375</c:v>
                </c:pt>
                <c:pt idx="25">
                  <c:v>17167.8046875</c:v>
                </c:pt>
                <c:pt idx="26">
                  <c:v>16717.294921875</c:v>
                </c:pt>
                <c:pt idx="27">
                  <c:v>16266.7841796875</c:v>
                </c:pt>
                <c:pt idx="28">
                  <c:v>15816.2734375</c:v>
                </c:pt>
                <c:pt idx="29">
                  <c:v>15365.763671875</c:v>
                </c:pt>
                <c:pt idx="30">
                  <c:v>14915.2529296875</c:v>
                </c:pt>
                <c:pt idx="31">
                  <c:v>14489.619140625</c:v>
                </c:pt>
                <c:pt idx="32">
                  <c:v>14063.986328125</c:v>
                </c:pt>
                <c:pt idx="33">
                  <c:v>13638.3525390625</c:v>
                </c:pt>
                <c:pt idx="34">
                  <c:v>13212.71875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56-4BA6-86B7-859CD3B04905}"/>
            </c:ext>
          </c:extLst>
        </c:ser>
        <c:ser>
          <c:idx val="5"/>
          <c:order val="5"/>
          <c:tx>
            <c:strRef>
              <c:f>Skymaps!$D$631</c:f>
              <c:strCache>
                <c:ptCount val="1"/>
                <c:pt idx="0">
                  <c:v>5000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Skymaps!$E$631:$BC$631</c:f>
              <c:numCache>
                <c:formatCode>General</c:formatCode>
                <c:ptCount val="51"/>
                <c:pt idx="15">
                  <c:v>34993.6328125</c:v>
                </c:pt>
                <c:pt idx="16">
                  <c:v>34554.8828125</c:v>
                </c:pt>
                <c:pt idx="17">
                  <c:v>34116.1328125</c:v>
                </c:pt>
                <c:pt idx="18">
                  <c:v>33677.3828125</c:v>
                </c:pt>
                <c:pt idx="19">
                  <c:v>33238.6328125</c:v>
                </c:pt>
                <c:pt idx="20">
                  <c:v>32799.8828125</c:v>
                </c:pt>
                <c:pt idx="21">
                  <c:v>29686.892578125</c:v>
                </c:pt>
                <c:pt idx="22">
                  <c:v>26573.90234375</c:v>
                </c:pt>
                <c:pt idx="23">
                  <c:v>23460.912109375</c:v>
                </c:pt>
                <c:pt idx="24">
                  <c:v>20347.923828125</c:v>
                </c:pt>
                <c:pt idx="25">
                  <c:v>17234.93359375</c:v>
                </c:pt>
                <c:pt idx="26">
                  <c:v>16792.89453125</c:v>
                </c:pt>
                <c:pt idx="27">
                  <c:v>16350.8544921875</c:v>
                </c:pt>
                <c:pt idx="28">
                  <c:v>15908.814453125</c:v>
                </c:pt>
                <c:pt idx="29">
                  <c:v>15466.7744140625</c:v>
                </c:pt>
                <c:pt idx="30">
                  <c:v>15024.734375</c:v>
                </c:pt>
                <c:pt idx="31">
                  <c:v>14607.263671875</c:v>
                </c:pt>
                <c:pt idx="32">
                  <c:v>14189.79296875</c:v>
                </c:pt>
                <c:pt idx="33">
                  <c:v>13772.3212890625</c:v>
                </c:pt>
                <c:pt idx="34">
                  <c:v>13354.8505859375</c:v>
                </c:pt>
                <c:pt idx="35">
                  <c:v>12937.3798828125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F56-4BA6-86B7-859CD3B04905}"/>
            </c:ext>
          </c:extLst>
        </c:ser>
        <c:ser>
          <c:idx val="6"/>
          <c:order val="6"/>
          <c:tx>
            <c:strRef>
              <c:f>Skymaps!$D$632</c:f>
              <c:strCache>
                <c:ptCount val="1"/>
                <c:pt idx="0">
                  <c:v>6000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Skymaps!$E$632:$BC$632</c:f>
              <c:numCache>
                <c:formatCode>General</c:formatCode>
                <c:ptCount val="51"/>
                <c:pt idx="15">
                  <c:v>32326.693359375</c:v>
                </c:pt>
                <c:pt idx="16">
                  <c:v>31882.267578125</c:v>
                </c:pt>
                <c:pt idx="17">
                  <c:v>31437.84375</c:v>
                </c:pt>
                <c:pt idx="18">
                  <c:v>30993.41796875</c:v>
                </c:pt>
                <c:pt idx="19">
                  <c:v>30548.9921875</c:v>
                </c:pt>
                <c:pt idx="20">
                  <c:v>30104.568359375</c:v>
                </c:pt>
                <c:pt idx="21">
                  <c:v>27529.982421875</c:v>
                </c:pt>
                <c:pt idx="22">
                  <c:v>24955.3984375</c:v>
                </c:pt>
                <c:pt idx="23">
                  <c:v>22380.814453125</c:v>
                </c:pt>
                <c:pt idx="24">
                  <c:v>19806.228515625</c:v>
                </c:pt>
                <c:pt idx="25">
                  <c:v>17231.64453125</c:v>
                </c:pt>
                <c:pt idx="26">
                  <c:v>16802.0234375</c:v>
                </c:pt>
                <c:pt idx="27">
                  <c:v>16372.4013671875</c:v>
                </c:pt>
                <c:pt idx="28">
                  <c:v>15942.779296875</c:v>
                </c:pt>
                <c:pt idx="29">
                  <c:v>15513.158203125</c:v>
                </c:pt>
                <c:pt idx="30">
                  <c:v>15083.5361328125</c:v>
                </c:pt>
                <c:pt idx="31">
                  <c:v>14676.6943359375</c:v>
                </c:pt>
                <c:pt idx="32">
                  <c:v>14269.853515625</c:v>
                </c:pt>
                <c:pt idx="33">
                  <c:v>13863.01171875</c:v>
                </c:pt>
                <c:pt idx="34">
                  <c:v>13456.169921875</c:v>
                </c:pt>
                <c:pt idx="35">
                  <c:v>13049.328125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F56-4BA6-86B7-859CD3B04905}"/>
            </c:ext>
          </c:extLst>
        </c:ser>
        <c:ser>
          <c:idx val="7"/>
          <c:order val="7"/>
          <c:tx>
            <c:strRef>
              <c:f>Skymaps!$D$633</c:f>
              <c:strCache>
                <c:ptCount val="1"/>
                <c:pt idx="0">
                  <c:v>7000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Skymaps!$E$633:$BC$633</c:f>
              <c:numCache>
                <c:formatCode>General</c:formatCode>
                <c:ptCount val="51"/>
                <c:pt idx="16">
                  <c:v>29209.65234375</c:v>
                </c:pt>
                <c:pt idx="17">
                  <c:v>28759.552734375</c:v>
                </c:pt>
                <c:pt idx="18">
                  <c:v>28309.453125</c:v>
                </c:pt>
                <c:pt idx="19">
                  <c:v>27859.353515625</c:v>
                </c:pt>
                <c:pt idx="20">
                  <c:v>27409.25390625</c:v>
                </c:pt>
                <c:pt idx="21">
                  <c:v>25373.07421875</c:v>
                </c:pt>
                <c:pt idx="22">
                  <c:v>23336.89453125</c:v>
                </c:pt>
                <c:pt idx="23">
                  <c:v>21300.71484375</c:v>
                </c:pt>
                <c:pt idx="24">
                  <c:v>19264.53515625</c:v>
                </c:pt>
                <c:pt idx="25">
                  <c:v>17228.353515625</c:v>
                </c:pt>
                <c:pt idx="26">
                  <c:v>16811.150390625</c:v>
                </c:pt>
                <c:pt idx="27">
                  <c:v>16393.947265625</c:v>
                </c:pt>
                <c:pt idx="28">
                  <c:v>15976.744140625</c:v>
                </c:pt>
                <c:pt idx="29">
                  <c:v>15559.541015625</c:v>
                </c:pt>
                <c:pt idx="30">
                  <c:v>15142.337890625</c:v>
                </c:pt>
                <c:pt idx="31">
                  <c:v>14746.1259765625</c:v>
                </c:pt>
                <c:pt idx="32">
                  <c:v>14349.9140625</c:v>
                </c:pt>
                <c:pt idx="33">
                  <c:v>13953.701171875</c:v>
                </c:pt>
                <c:pt idx="34">
                  <c:v>13557.4892578125</c:v>
                </c:pt>
                <c:pt idx="35">
                  <c:v>13161.27734375</c:v>
                </c:pt>
                <c:pt idx="36">
                  <c:v>12786.7568359375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F56-4BA6-86B7-859CD3B04905}"/>
            </c:ext>
          </c:extLst>
        </c:ser>
        <c:ser>
          <c:idx val="8"/>
          <c:order val="8"/>
          <c:tx>
            <c:strRef>
              <c:f>Skymaps!$D$634</c:f>
              <c:strCache>
                <c:ptCount val="1"/>
                <c:pt idx="0">
                  <c:v>8000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Skymaps!$E$634:$BC$634</c:f>
              <c:numCache>
                <c:formatCode>General</c:formatCode>
                <c:ptCount val="51"/>
                <c:pt idx="16">
                  <c:v>26537.037109375</c:v>
                </c:pt>
                <c:pt idx="17">
                  <c:v>26081.263671875</c:v>
                </c:pt>
                <c:pt idx="18">
                  <c:v>25625.490234375</c:v>
                </c:pt>
                <c:pt idx="19">
                  <c:v>25169.71484375</c:v>
                </c:pt>
                <c:pt idx="20">
                  <c:v>24713.94140625</c:v>
                </c:pt>
                <c:pt idx="21">
                  <c:v>23216.166015625</c:v>
                </c:pt>
                <c:pt idx="22">
                  <c:v>21718.390625</c:v>
                </c:pt>
                <c:pt idx="23">
                  <c:v>20220.615234375</c:v>
                </c:pt>
                <c:pt idx="24">
                  <c:v>18722.83984375</c:v>
                </c:pt>
                <c:pt idx="25">
                  <c:v>17225.064453125</c:v>
                </c:pt>
                <c:pt idx="26">
                  <c:v>16820.279296875</c:v>
                </c:pt>
                <c:pt idx="27">
                  <c:v>16415.494140625</c:v>
                </c:pt>
                <c:pt idx="28">
                  <c:v>16010.708984375</c:v>
                </c:pt>
                <c:pt idx="29">
                  <c:v>15605.9248046875</c:v>
                </c:pt>
                <c:pt idx="30">
                  <c:v>15201.1396484375</c:v>
                </c:pt>
                <c:pt idx="31">
                  <c:v>14815.556640625</c:v>
                </c:pt>
                <c:pt idx="32">
                  <c:v>14429.974609375</c:v>
                </c:pt>
                <c:pt idx="33">
                  <c:v>14044.3916015625</c:v>
                </c:pt>
                <c:pt idx="34">
                  <c:v>13658.8095703125</c:v>
                </c:pt>
                <c:pt idx="35">
                  <c:v>13273.2265625</c:v>
                </c:pt>
                <c:pt idx="36">
                  <c:v>12905.83984375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F56-4BA6-86B7-859CD3B04905}"/>
            </c:ext>
          </c:extLst>
        </c:ser>
        <c:ser>
          <c:idx val="9"/>
          <c:order val="9"/>
          <c:tx>
            <c:strRef>
              <c:f>Skymaps!$D$635</c:f>
              <c:strCache>
                <c:ptCount val="1"/>
                <c:pt idx="0">
                  <c:v>9000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Skymaps!$E$635:$BC$635</c:f>
              <c:numCache>
                <c:formatCode>General</c:formatCode>
                <c:ptCount val="51"/>
                <c:pt idx="17">
                  <c:v>23402.974609375</c:v>
                </c:pt>
                <c:pt idx="18">
                  <c:v>22941.525390625</c:v>
                </c:pt>
                <c:pt idx="19">
                  <c:v>22480.076171875</c:v>
                </c:pt>
                <c:pt idx="20">
                  <c:v>22018.62890625</c:v>
                </c:pt>
                <c:pt idx="21">
                  <c:v>21059.2578125</c:v>
                </c:pt>
                <c:pt idx="22">
                  <c:v>20099.88671875</c:v>
                </c:pt>
                <c:pt idx="23">
                  <c:v>19140.515625</c:v>
                </c:pt>
                <c:pt idx="24">
                  <c:v>18181.146484375</c:v>
                </c:pt>
                <c:pt idx="25">
                  <c:v>17221.775390625</c:v>
                </c:pt>
                <c:pt idx="26">
                  <c:v>16829.408203125</c:v>
                </c:pt>
                <c:pt idx="27">
                  <c:v>16437.041015625</c:v>
                </c:pt>
                <c:pt idx="28">
                  <c:v>16044.6748046875</c:v>
                </c:pt>
                <c:pt idx="29">
                  <c:v>15652.3076171875</c:v>
                </c:pt>
                <c:pt idx="30">
                  <c:v>15259.9404296875</c:v>
                </c:pt>
                <c:pt idx="31">
                  <c:v>14884.9873046875</c:v>
                </c:pt>
                <c:pt idx="32">
                  <c:v>14510.03515625</c:v>
                </c:pt>
                <c:pt idx="33">
                  <c:v>14135.08203125</c:v>
                </c:pt>
                <c:pt idx="34">
                  <c:v>13760.12890625</c:v>
                </c:pt>
                <c:pt idx="35">
                  <c:v>13385.17578125</c:v>
                </c:pt>
                <c:pt idx="36">
                  <c:v>13024.923828125</c:v>
                </c:pt>
                <c:pt idx="37">
                  <c:v>12664.671875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F56-4BA6-86B7-859CD3B04905}"/>
            </c:ext>
          </c:extLst>
        </c:ser>
        <c:ser>
          <c:idx val="10"/>
          <c:order val="10"/>
          <c:tx>
            <c:strRef>
              <c:f>Skymaps!$D$636</c:f>
              <c:strCache>
                <c:ptCount val="1"/>
                <c:pt idx="0">
                  <c:v>10000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Skymaps!$E$636:$BC$636</c:f>
              <c:numCache>
                <c:formatCode>General</c:formatCode>
                <c:ptCount val="51"/>
                <c:pt idx="17">
                  <c:v>20724.68359375</c:v>
                </c:pt>
                <c:pt idx="18">
                  <c:v>20257.560546875</c:v>
                </c:pt>
                <c:pt idx="19">
                  <c:v>19790.4375</c:v>
                </c:pt>
                <c:pt idx="20">
                  <c:v>19323.314453125</c:v>
                </c:pt>
                <c:pt idx="21">
                  <c:v>18902.349609375</c:v>
                </c:pt>
                <c:pt idx="22">
                  <c:v>18481.3828125</c:v>
                </c:pt>
                <c:pt idx="23">
                  <c:v>18060.41796875</c:v>
                </c:pt>
                <c:pt idx="24">
                  <c:v>17639.451171875</c:v>
                </c:pt>
                <c:pt idx="25">
                  <c:v>17218.484375</c:v>
                </c:pt>
                <c:pt idx="26">
                  <c:v>16838.537109375</c:v>
                </c:pt>
                <c:pt idx="27">
                  <c:v>16458.587890625</c:v>
                </c:pt>
                <c:pt idx="28">
                  <c:v>16078.6396484375</c:v>
                </c:pt>
                <c:pt idx="29">
                  <c:v>15698.6904296875</c:v>
                </c:pt>
                <c:pt idx="30">
                  <c:v>15318.7421875</c:v>
                </c:pt>
                <c:pt idx="31">
                  <c:v>14954.4189453125</c:v>
                </c:pt>
                <c:pt idx="32">
                  <c:v>14590.095703125</c:v>
                </c:pt>
                <c:pt idx="33">
                  <c:v>14225.771484375</c:v>
                </c:pt>
                <c:pt idx="34">
                  <c:v>13861.4482421875</c:v>
                </c:pt>
                <c:pt idx="35">
                  <c:v>13497.125</c:v>
                </c:pt>
                <c:pt idx="36">
                  <c:v>13144.0068359375</c:v>
                </c:pt>
                <c:pt idx="37">
                  <c:v>12790.888671875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F56-4BA6-86B7-859CD3B04905}"/>
            </c:ext>
          </c:extLst>
        </c:ser>
        <c:ser>
          <c:idx val="11"/>
          <c:order val="11"/>
          <c:tx>
            <c:strRef>
              <c:f>Skymaps!$D$637</c:f>
              <c:strCache>
                <c:ptCount val="1"/>
                <c:pt idx="0">
                  <c:v>11000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Skymaps!$E$637:$BC$637</c:f>
              <c:numCache>
                <c:formatCode>General</c:formatCode>
                <c:ptCount val="51"/>
                <c:pt idx="17">
                  <c:v>20690.01953125</c:v>
                </c:pt>
                <c:pt idx="18">
                  <c:v>20228.900390625</c:v>
                </c:pt>
                <c:pt idx="19">
                  <c:v>19767.78125</c:v>
                </c:pt>
                <c:pt idx="20">
                  <c:v>19306.662109375</c:v>
                </c:pt>
                <c:pt idx="21">
                  <c:v>18887.052734375</c:v>
                </c:pt>
                <c:pt idx="22">
                  <c:v>18467.443359375</c:v>
                </c:pt>
                <c:pt idx="23">
                  <c:v>18047.833984375</c:v>
                </c:pt>
                <c:pt idx="24">
                  <c:v>17628.224609375</c:v>
                </c:pt>
                <c:pt idx="25">
                  <c:v>17208.6171875</c:v>
                </c:pt>
                <c:pt idx="26">
                  <c:v>16831.484375</c:v>
                </c:pt>
                <c:pt idx="27">
                  <c:v>16454.353515625</c:v>
                </c:pt>
                <c:pt idx="28">
                  <c:v>16077.220703125</c:v>
                </c:pt>
                <c:pt idx="29">
                  <c:v>15700.0888671875</c:v>
                </c:pt>
                <c:pt idx="30">
                  <c:v>15322.95703125</c:v>
                </c:pt>
                <c:pt idx="31">
                  <c:v>14966.4462890625</c:v>
                </c:pt>
                <c:pt idx="32">
                  <c:v>14609.935546875</c:v>
                </c:pt>
                <c:pt idx="33">
                  <c:v>14253.4248046875</c:v>
                </c:pt>
                <c:pt idx="34">
                  <c:v>13896.9140625</c:v>
                </c:pt>
                <c:pt idx="35">
                  <c:v>13540.404296875</c:v>
                </c:pt>
                <c:pt idx="36">
                  <c:v>13199.5810546875</c:v>
                </c:pt>
                <c:pt idx="37">
                  <c:v>12858.7578125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F56-4BA6-86B7-859CD3B04905}"/>
            </c:ext>
          </c:extLst>
        </c:ser>
        <c:ser>
          <c:idx val="12"/>
          <c:order val="12"/>
          <c:tx>
            <c:strRef>
              <c:f>Skymaps!$D$638</c:f>
              <c:strCache>
                <c:ptCount val="1"/>
                <c:pt idx="0">
                  <c:v>12000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Skymaps!$E$638:$BC$638</c:f>
              <c:numCache>
                <c:formatCode>General</c:formatCode>
                <c:ptCount val="51"/>
                <c:pt idx="18">
                  <c:v>20200.240234375</c:v>
                </c:pt>
                <c:pt idx="19">
                  <c:v>19745.125</c:v>
                </c:pt>
                <c:pt idx="20">
                  <c:v>19290.0078125</c:v>
                </c:pt>
                <c:pt idx="21">
                  <c:v>18871.755859375</c:v>
                </c:pt>
                <c:pt idx="22">
                  <c:v>18453.50390625</c:v>
                </c:pt>
                <c:pt idx="23">
                  <c:v>18035.251953125</c:v>
                </c:pt>
                <c:pt idx="24">
                  <c:v>17617</c:v>
                </c:pt>
                <c:pt idx="25">
                  <c:v>17198.748046875</c:v>
                </c:pt>
                <c:pt idx="26">
                  <c:v>16824.431640625</c:v>
                </c:pt>
                <c:pt idx="27">
                  <c:v>16450.1171875</c:v>
                </c:pt>
                <c:pt idx="28">
                  <c:v>16075.8017578125</c:v>
                </c:pt>
                <c:pt idx="29">
                  <c:v>15701.4873046875</c:v>
                </c:pt>
                <c:pt idx="30">
                  <c:v>15327.171875</c:v>
                </c:pt>
                <c:pt idx="31">
                  <c:v>14978.4736328125</c:v>
                </c:pt>
                <c:pt idx="32">
                  <c:v>14629.7763671875</c:v>
                </c:pt>
                <c:pt idx="33">
                  <c:v>14281.078125</c:v>
                </c:pt>
                <c:pt idx="34">
                  <c:v>13932.380859375</c:v>
                </c:pt>
                <c:pt idx="35">
                  <c:v>13583.6826171875</c:v>
                </c:pt>
                <c:pt idx="36">
                  <c:v>13255.154296875</c:v>
                </c:pt>
                <c:pt idx="37">
                  <c:v>12926.626953125</c:v>
                </c:pt>
                <c:pt idx="38">
                  <c:v>12598.0986328125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F56-4BA6-86B7-859CD3B04905}"/>
            </c:ext>
          </c:extLst>
        </c:ser>
        <c:ser>
          <c:idx val="13"/>
          <c:order val="13"/>
          <c:tx>
            <c:strRef>
              <c:f>Skymaps!$D$639</c:f>
              <c:strCache>
                <c:ptCount val="1"/>
                <c:pt idx="0">
                  <c:v>13000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Skymaps!$E$639:$BC$639</c:f>
              <c:numCache>
                <c:formatCode>General</c:formatCode>
                <c:ptCount val="51"/>
                <c:pt idx="18">
                  <c:v>20171.580078125</c:v>
                </c:pt>
                <c:pt idx="19">
                  <c:v>19722.466796875</c:v>
                </c:pt>
                <c:pt idx="20">
                  <c:v>19273.353515625</c:v>
                </c:pt>
                <c:pt idx="21">
                  <c:v>18856.458984375</c:v>
                </c:pt>
                <c:pt idx="22">
                  <c:v>18439.564453125</c:v>
                </c:pt>
                <c:pt idx="23">
                  <c:v>18022.669921875</c:v>
                </c:pt>
                <c:pt idx="24">
                  <c:v>17605.7734375</c:v>
                </c:pt>
                <c:pt idx="25">
                  <c:v>17188.87890625</c:v>
                </c:pt>
                <c:pt idx="26">
                  <c:v>16817.380859375</c:v>
                </c:pt>
                <c:pt idx="27">
                  <c:v>16445.8828125</c:v>
                </c:pt>
                <c:pt idx="28">
                  <c:v>16074.3837890625</c:v>
                </c:pt>
                <c:pt idx="29">
                  <c:v>15702.884765625</c:v>
                </c:pt>
                <c:pt idx="30">
                  <c:v>15331.3857421875</c:v>
                </c:pt>
                <c:pt idx="31">
                  <c:v>14990.5009765625</c:v>
                </c:pt>
                <c:pt idx="32">
                  <c:v>14649.6162109375</c:v>
                </c:pt>
                <c:pt idx="33">
                  <c:v>14308.7314453125</c:v>
                </c:pt>
                <c:pt idx="34">
                  <c:v>13967.8466796875</c:v>
                </c:pt>
                <c:pt idx="35">
                  <c:v>13626.9619140625</c:v>
                </c:pt>
                <c:pt idx="36">
                  <c:v>13310.728515625</c:v>
                </c:pt>
                <c:pt idx="37">
                  <c:v>12994.4951171875</c:v>
                </c:pt>
                <c:pt idx="38">
                  <c:v>12678.26171875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F56-4BA6-86B7-859CD3B04905}"/>
            </c:ext>
          </c:extLst>
        </c:ser>
        <c:ser>
          <c:idx val="14"/>
          <c:order val="14"/>
          <c:tx>
            <c:strRef>
              <c:f>Skymaps!$D$640</c:f>
              <c:strCache>
                <c:ptCount val="1"/>
                <c:pt idx="0">
                  <c:v>14000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Skymaps!$E$640:$BC$640</c:f>
              <c:numCache>
                <c:formatCode>General</c:formatCode>
                <c:ptCount val="51"/>
                <c:pt idx="19">
                  <c:v>19699.810546875</c:v>
                </c:pt>
                <c:pt idx="20">
                  <c:v>19256.701171875</c:v>
                </c:pt>
                <c:pt idx="21">
                  <c:v>18841.162109375</c:v>
                </c:pt>
                <c:pt idx="22">
                  <c:v>18425.625</c:v>
                </c:pt>
                <c:pt idx="23">
                  <c:v>18010.0859375</c:v>
                </c:pt>
                <c:pt idx="24">
                  <c:v>17594.548828125</c:v>
                </c:pt>
                <c:pt idx="25">
                  <c:v>17179.009765625</c:v>
                </c:pt>
                <c:pt idx="26">
                  <c:v>16810.328125</c:v>
                </c:pt>
                <c:pt idx="27">
                  <c:v>16441.646484375</c:v>
                </c:pt>
                <c:pt idx="28">
                  <c:v>16072.96484375</c:v>
                </c:pt>
                <c:pt idx="29">
                  <c:v>15704.283203125</c:v>
                </c:pt>
                <c:pt idx="30">
                  <c:v>15335.6005859375</c:v>
                </c:pt>
                <c:pt idx="31">
                  <c:v>15002.5283203125</c:v>
                </c:pt>
                <c:pt idx="32">
                  <c:v>14669.45703125</c:v>
                </c:pt>
                <c:pt idx="33">
                  <c:v>14336.384765625</c:v>
                </c:pt>
                <c:pt idx="34">
                  <c:v>14003.3125</c:v>
                </c:pt>
                <c:pt idx="35">
                  <c:v>13670.240234375</c:v>
                </c:pt>
                <c:pt idx="36">
                  <c:v>13366.3017578125</c:v>
                </c:pt>
                <c:pt idx="37">
                  <c:v>13062.3642578125</c:v>
                </c:pt>
                <c:pt idx="38">
                  <c:v>12758.42578125</c:v>
                </c:pt>
                <c:pt idx="39">
                  <c:v>12454.4873046875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F56-4BA6-86B7-859CD3B04905}"/>
            </c:ext>
          </c:extLst>
        </c:ser>
        <c:ser>
          <c:idx val="15"/>
          <c:order val="15"/>
          <c:tx>
            <c:strRef>
              <c:f>Skymaps!$D$641</c:f>
              <c:strCache>
                <c:ptCount val="1"/>
                <c:pt idx="0">
                  <c:v>15000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Skymaps!$E$641:$BC$641</c:f>
              <c:numCache>
                <c:formatCode>General</c:formatCode>
                <c:ptCount val="51"/>
                <c:pt idx="19">
                  <c:v>19677.15234375</c:v>
                </c:pt>
                <c:pt idx="20">
                  <c:v>19240.046875</c:v>
                </c:pt>
                <c:pt idx="21">
                  <c:v>18825.8671875</c:v>
                </c:pt>
                <c:pt idx="22">
                  <c:v>18411.685546875</c:v>
                </c:pt>
                <c:pt idx="23">
                  <c:v>17997.50390625</c:v>
                </c:pt>
                <c:pt idx="24">
                  <c:v>17583.322265625</c:v>
                </c:pt>
                <c:pt idx="25">
                  <c:v>17169.142578125</c:v>
                </c:pt>
                <c:pt idx="26">
                  <c:v>16803.27734375</c:v>
                </c:pt>
                <c:pt idx="27">
                  <c:v>16437.412109375</c:v>
                </c:pt>
                <c:pt idx="28">
                  <c:v>16071.5458984375</c:v>
                </c:pt>
                <c:pt idx="29">
                  <c:v>15705.6806640625</c:v>
                </c:pt>
                <c:pt idx="30">
                  <c:v>15339.8154296875</c:v>
                </c:pt>
                <c:pt idx="31">
                  <c:v>15014.556640625</c:v>
                </c:pt>
                <c:pt idx="32">
                  <c:v>14689.296875</c:v>
                </c:pt>
                <c:pt idx="33">
                  <c:v>14364.0380859375</c:v>
                </c:pt>
                <c:pt idx="34">
                  <c:v>14038.7783203125</c:v>
                </c:pt>
                <c:pt idx="35">
                  <c:v>13713.51953125</c:v>
                </c:pt>
                <c:pt idx="36">
                  <c:v>13421.8759765625</c:v>
                </c:pt>
                <c:pt idx="37">
                  <c:v>13130.232421875</c:v>
                </c:pt>
                <c:pt idx="38">
                  <c:v>12838.5888671875</c:v>
                </c:pt>
                <c:pt idx="39">
                  <c:v>12546.9453125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F56-4BA6-86B7-859CD3B04905}"/>
            </c:ext>
          </c:extLst>
        </c:ser>
        <c:ser>
          <c:idx val="16"/>
          <c:order val="16"/>
          <c:tx>
            <c:strRef>
              <c:f>Skymaps!$D$642</c:f>
              <c:strCache>
                <c:ptCount val="1"/>
                <c:pt idx="0">
                  <c:v>16000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Skymaps!$E$642:$BC$642</c:f>
              <c:numCache>
                <c:formatCode>General</c:formatCode>
                <c:ptCount val="51"/>
                <c:pt idx="19">
                  <c:v>19516.353515625</c:v>
                </c:pt>
                <c:pt idx="20">
                  <c:v>19103.837890625</c:v>
                </c:pt>
                <c:pt idx="21">
                  <c:v>18711.943359375</c:v>
                </c:pt>
                <c:pt idx="22">
                  <c:v>18320.048828125</c:v>
                </c:pt>
                <c:pt idx="23">
                  <c:v>17928.154296875</c:v>
                </c:pt>
                <c:pt idx="24">
                  <c:v>17536.26171875</c:v>
                </c:pt>
                <c:pt idx="25">
                  <c:v>17144.3671875</c:v>
                </c:pt>
                <c:pt idx="26">
                  <c:v>16786.046875</c:v>
                </c:pt>
                <c:pt idx="27">
                  <c:v>16427.7265625</c:v>
                </c:pt>
                <c:pt idx="28">
                  <c:v>16069.408203125</c:v>
                </c:pt>
                <c:pt idx="29">
                  <c:v>15711.087890625</c:v>
                </c:pt>
                <c:pt idx="30">
                  <c:v>15352.7685546875</c:v>
                </c:pt>
                <c:pt idx="31">
                  <c:v>15027.9619140625</c:v>
                </c:pt>
                <c:pt idx="32">
                  <c:v>14703.154296875</c:v>
                </c:pt>
                <c:pt idx="33">
                  <c:v>14378.34765625</c:v>
                </c:pt>
                <c:pt idx="34">
                  <c:v>14053.541015625</c:v>
                </c:pt>
                <c:pt idx="35">
                  <c:v>13728.734375</c:v>
                </c:pt>
                <c:pt idx="36">
                  <c:v>13438.8173828125</c:v>
                </c:pt>
                <c:pt idx="37">
                  <c:v>13148.9013671875</c:v>
                </c:pt>
                <c:pt idx="38">
                  <c:v>12858.984375</c:v>
                </c:pt>
                <c:pt idx="39">
                  <c:v>12569.068359375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F56-4BA6-86B7-859CD3B04905}"/>
            </c:ext>
          </c:extLst>
        </c:ser>
        <c:ser>
          <c:idx val="17"/>
          <c:order val="17"/>
          <c:tx>
            <c:strRef>
              <c:f>Skymaps!$D$643</c:f>
              <c:strCache>
                <c:ptCount val="1"/>
                <c:pt idx="0">
                  <c:v>17000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Skymaps!$E$643:$BC$643</c:f>
              <c:numCache>
                <c:formatCode>General</c:formatCode>
                <c:ptCount val="51"/>
                <c:pt idx="20">
                  <c:v>18967.626953125</c:v>
                </c:pt>
                <c:pt idx="21">
                  <c:v>18598.01953125</c:v>
                </c:pt>
                <c:pt idx="22">
                  <c:v>18228.4140625</c:v>
                </c:pt>
                <c:pt idx="23">
                  <c:v>17858.806640625</c:v>
                </c:pt>
                <c:pt idx="24">
                  <c:v>17489.19921875</c:v>
                </c:pt>
                <c:pt idx="25">
                  <c:v>17119.591796875</c:v>
                </c:pt>
                <c:pt idx="26">
                  <c:v>16768.818359375</c:v>
                </c:pt>
                <c:pt idx="27">
                  <c:v>16418.04296875</c:v>
                </c:pt>
                <c:pt idx="28">
                  <c:v>16067.26953125</c:v>
                </c:pt>
                <c:pt idx="29">
                  <c:v>15716.4951171875</c:v>
                </c:pt>
                <c:pt idx="30">
                  <c:v>15365.7216796875</c:v>
                </c:pt>
                <c:pt idx="31">
                  <c:v>15041.3662109375</c:v>
                </c:pt>
                <c:pt idx="32">
                  <c:v>14717.01171875</c:v>
                </c:pt>
                <c:pt idx="33">
                  <c:v>14392.6572265625</c:v>
                </c:pt>
                <c:pt idx="34">
                  <c:v>14068.302734375</c:v>
                </c:pt>
                <c:pt idx="35">
                  <c:v>13743.9482421875</c:v>
                </c:pt>
                <c:pt idx="36">
                  <c:v>13455.7587890625</c:v>
                </c:pt>
                <c:pt idx="37">
                  <c:v>13167.5693359375</c:v>
                </c:pt>
                <c:pt idx="38">
                  <c:v>12879.3798828125</c:v>
                </c:pt>
                <c:pt idx="39">
                  <c:v>12591.1904296875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F56-4BA6-86B7-859CD3B04905}"/>
            </c:ext>
          </c:extLst>
        </c:ser>
        <c:ser>
          <c:idx val="18"/>
          <c:order val="18"/>
          <c:tx>
            <c:strRef>
              <c:f>Skymaps!$D$644</c:f>
              <c:strCache>
                <c:ptCount val="1"/>
                <c:pt idx="0">
                  <c:v>18000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Skymaps!$E$644:$BC$644</c:f>
              <c:numCache>
                <c:formatCode>General</c:formatCode>
                <c:ptCount val="51"/>
                <c:pt idx="20">
                  <c:v>18831.41796875</c:v>
                </c:pt>
                <c:pt idx="21">
                  <c:v>18484.09765625</c:v>
                </c:pt>
                <c:pt idx="22">
                  <c:v>18136.77734375</c:v>
                </c:pt>
                <c:pt idx="23">
                  <c:v>17789.45703125</c:v>
                </c:pt>
                <c:pt idx="24">
                  <c:v>17442.13671875</c:v>
                </c:pt>
                <c:pt idx="25">
                  <c:v>17094.81640625</c:v>
                </c:pt>
                <c:pt idx="26">
                  <c:v>16751.587890625</c:v>
                </c:pt>
                <c:pt idx="27">
                  <c:v>16408.359375</c:v>
                </c:pt>
                <c:pt idx="28">
                  <c:v>16065.1318359375</c:v>
                </c:pt>
                <c:pt idx="29">
                  <c:v>15721.90234375</c:v>
                </c:pt>
                <c:pt idx="30">
                  <c:v>15378.673828125</c:v>
                </c:pt>
                <c:pt idx="31">
                  <c:v>15054.771484375</c:v>
                </c:pt>
                <c:pt idx="32">
                  <c:v>14730.8701171875</c:v>
                </c:pt>
                <c:pt idx="33">
                  <c:v>14406.9677734375</c:v>
                </c:pt>
                <c:pt idx="34">
                  <c:v>14083.0654296875</c:v>
                </c:pt>
                <c:pt idx="35">
                  <c:v>13759.1630859375</c:v>
                </c:pt>
                <c:pt idx="36">
                  <c:v>13472.7001953125</c:v>
                </c:pt>
                <c:pt idx="37">
                  <c:v>13186.23828125</c:v>
                </c:pt>
                <c:pt idx="38">
                  <c:v>12899.775390625</c:v>
                </c:pt>
                <c:pt idx="39">
                  <c:v>12613.3134765625</c:v>
                </c:pt>
                <c:pt idx="40">
                  <c:v>12326.8505859375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F56-4BA6-86B7-859CD3B04905}"/>
            </c:ext>
          </c:extLst>
        </c:ser>
        <c:ser>
          <c:idx val="19"/>
          <c:order val="19"/>
          <c:tx>
            <c:strRef>
              <c:f>Skymaps!$D$645</c:f>
              <c:strCache>
                <c:ptCount val="1"/>
                <c:pt idx="0">
                  <c:v>19000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Skymaps!$E$645:$BC$645</c:f>
              <c:numCache>
                <c:formatCode>General</c:formatCode>
                <c:ptCount val="51"/>
                <c:pt idx="21">
                  <c:v>18370.173828125</c:v>
                </c:pt>
                <c:pt idx="22">
                  <c:v>18045.140625</c:v>
                </c:pt>
                <c:pt idx="23">
                  <c:v>17720.107421875</c:v>
                </c:pt>
                <c:pt idx="24">
                  <c:v>17395.076171875</c:v>
                </c:pt>
                <c:pt idx="25">
                  <c:v>17070.04296875</c:v>
                </c:pt>
                <c:pt idx="26">
                  <c:v>16734.359375</c:v>
                </c:pt>
                <c:pt idx="27">
                  <c:v>16398.67578125</c:v>
                </c:pt>
                <c:pt idx="28">
                  <c:v>16062.9931640625</c:v>
                </c:pt>
                <c:pt idx="29">
                  <c:v>15727.310546875</c:v>
                </c:pt>
                <c:pt idx="30">
                  <c:v>15391.626953125</c:v>
                </c:pt>
                <c:pt idx="31">
                  <c:v>15068.1767578125</c:v>
                </c:pt>
                <c:pt idx="32">
                  <c:v>14744.7275390625</c:v>
                </c:pt>
                <c:pt idx="33">
                  <c:v>14421.27734375</c:v>
                </c:pt>
                <c:pt idx="34">
                  <c:v>14097.8271484375</c:v>
                </c:pt>
                <c:pt idx="35">
                  <c:v>13774.376953125</c:v>
                </c:pt>
                <c:pt idx="36">
                  <c:v>13489.6416015625</c:v>
                </c:pt>
                <c:pt idx="37">
                  <c:v>13204.90625</c:v>
                </c:pt>
                <c:pt idx="38">
                  <c:v>12920.1708984375</c:v>
                </c:pt>
                <c:pt idx="39">
                  <c:v>12635.435546875</c:v>
                </c:pt>
                <c:pt idx="40">
                  <c:v>12350.7001953125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F56-4BA6-86B7-859CD3B04905}"/>
            </c:ext>
          </c:extLst>
        </c:ser>
        <c:ser>
          <c:idx val="20"/>
          <c:order val="20"/>
          <c:tx>
            <c:strRef>
              <c:f>Skymaps!$D$646</c:f>
              <c:strCache>
                <c:ptCount val="1"/>
                <c:pt idx="0">
                  <c:v>20000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Skymaps!$E$646:$BC$646</c:f>
              <c:numCache>
                <c:formatCode>General</c:formatCode>
                <c:ptCount val="51"/>
                <c:pt idx="21">
                  <c:v>18256.251953125</c:v>
                </c:pt>
                <c:pt idx="22">
                  <c:v>17953.505859375</c:v>
                </c:pt>
                <c:pt idx="23">
                  <c:v>17650.759765625</c:v>
                </c:pt>
                <c:pt idx="24">
                  <c:v>17348.013671875</c:v>
                </c:pt>
                <c:pt idx="25">
                  <c:v>17045.267578125</c:v>
                </c:pt>
                <c:pt idx="26">
                  <c:v>16717.12890625</c:v>
                </c:pt>
                <c:pt idx="27">
                  <c:v>16388.9921875</c:v>
                </c:pt>
                <c:pt idx="28">
                  <c:v>16060.8544921875</c:v>
                </c:pt>
                <c:pt idx="29">
                  <c:v>15732.7177734375</c:v>
                </c:pt>
                <c:pt idx="30">
                  <c:v>15404.580078125</c:v>
                </c:pt>
                <c:pt idx="31">
                  <c:v>15081.58203125</c:v>
                </c:pt>
                <c:pt idx="32">
                  <c:v>14758.5849609375</c:v>
                </c:pt>
                <c:pt idx="33">
                  <c:v>14435.5869140625</c:v>
                </c:pt>
                <c:pt idx="34">
                  <c:v>14112.58984375</c:v>
                </c:pt>
                <c:pt idx="35">
                  <c:v>13789.591796875</c:v>
                </c:pt>
                <c:pt idx="36">
                  <c:v>13506.5830078125</c:v>
                </c:pt>
                <c:pt idx="37">
                  <c:v>13223.5751953125</c:v>
                </c:pt>
                <c:pt idx="38">
                  <c:v>12940.56640625</c:v>
                </c:pt>
                <c:pt idx="39">
                  <c:v>12657.55859375</c:v>
                </c:pt>
                <c:pt idx="40">
                  <c:v>12374.5498046875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F56-4BA6-86B7-859CD3B04905}"/>
            </c:ext>
          </c:extLst>
        </c:ser>
        <c:ser>
          <c:idx val="21"/>
          <c:order val="21"/>
          <c:tx>
            <c:strRef>
              <c:f>Skymaps!$D$647</c:f>
              <c:strCache>
                <c:ptCount val="1"/>
                <c:pt idx="0">
                  <c:v>21000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Skymaps!$E$647:$BC$647</c:f>
              <c:numCache>
                <c:formatCode>General</c:formatCode>
                <c:ptCount val="51"/>
                <c:pt idx="22">
                  <c:v>17683.44921875</c:v>
                </c:pt>
                <c:pt idx="23">
                  <c:v>17398.076171875</c:v>
                </c:pt>
                <c:pt idx="24">
                  <c:v>17112.705078125</c:v>
                </c:pt>
                <c:pt idx="25">
                  <c:v>16827.33203125</c:v>
                </c:pt>
                <c:pt idx="26">
                  <c:v>16524.21484375</c:v>
                </c:pt>
                <c:pt idx="27">
                  <c:v>16221.099609375</c:v>
                </c:pt>
                <c:pt idx="28">
                  <c:v>15917.9833984375</c:v>
                </c:pt>
                <c:pt idx="29">
                  <c:v>15614.8671875</c:v>
                </c:pt>
                <c:pt idx="30">
                  <c:v>15311.751953125</c:v>
                </c:pt>
                <c:pt idx="31">
                  <c:v>15008.8408203125</c:v>
                </c:pt>
                <c:pt idx="32">
                  <c:v>14705.9306640625</c:v>
                </c:pt>
                <c:pt idx="33">
                  <c:v>14403.01953125</c:v>
                </c:pt>
                <c:pt idx="34">
                  <c:v>14100.109375</c:v>
                </c:pt>
                <c:pt idx="35">
                  <c:v>13797.19921875</c:v>
                </c:pt>
                <c:pt idx="36">
                  <c:v>13516.205078125</c:v>
                </c:pt>
                <c:pt idx="37">
                  <c:v>13235.2119140625</c:v>
                </c:pt>
                <c:pt idx="38">
                  <c:v>12954.21875</c:v>
                </c:pt>
                <c:pt idx="39">
                  <c:v>12673.224609375</c:v>
                </c:pt>
                <c:pt idx="40">
                  <c:v>12392.2314453125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F56-4BA6-86B7-859CD3B04905}"/>
            </c:ext>
          </c:extLst>
        </c:ser>
        <c:ser>
          <c:idx val="22"/>
          <c:order val="22"/>
          <c:tx>
            <c:strRef>
              <c:f>Skymaps!$D$648</c:f>
              <c:strCache>
                <c:ptCount val="1"/>
                <c:pt idx="0">
                  <c:v>22000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Skymaps!$E$648:$BC$648</c:f>
              <c:numCache>
                <c:formatCode>General</c:formatCode>
                <c:ptCount val="51"/>
                <c:pt idx="22">
                  <c:v>17413.39453125</c:v>
                </c:pt>
                <c:pt idx="23">
                  <c:v>17145.39453125</c:v>
                </c:pt>
                <c:pt idx="24">
                  <c:v>16877.39453125</c:v>
                </c:pt>
                <c:pt idx="25">
                  <c:v>16609.39453125</c:v>
                </c:pt>
                <c:pt idx="26">
                  <c:v>16331.30078125</c:v>
                </c:pt>
                <c:pt idx="27">
                  <c:v>16053.2060546875</c:v>
                </c:pt>
                <c:pt idx="28">
                  <c:v>15775.1123046875</c:v>
                </c:pt>
                <c:pt idx="29">
                  <c:v>15497.017578125</c:v>
                </c:pt>
                <c:pt idx="30">
                  <c:v>15218.9228515625</c:v>
                </c:pt>
                <c:pt idx="31">
                  <c:v>14936.099609375</c:v>
                </c:pt>
                <c:pt idx="32">
                  <c:v>14653.2763671875</c:v>
                </c:pt>
                <c:pt idx="33">
                  <c:v>14370.453125</c:v>
                </c:pt>
                <c:pt idx="34">
                  <c:v>14087.62890625</c:v>
                </c:pt>
                <c:pt idx="35">
                  <c:v>13804.8056640625</c:v>
                </c:pt>
                <c:pt idx="36">
                  <c:v>13525.8271484375</c:v>
                </c:pt>
                <c:pt idx="37">
                  <c:v>13246.8486328125</c:v>
                </c:pt>
                <c:pt idx="38">
                  <c:v>12967.8701171875</c:v>
                </c:pt>
                <c:pt idx="39">
                  <c:v>12688.8916015625</c:v>
                </c:pt>
                <c:pt idx="40">
                  <c:v>12409.9130859375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F56-4BA6-86B7-859CD3B04905}"/>
            </c:ext>
          </c:extLst>
        </c:ser>
        <c:ser>
          <c:idx val="23"/>
          <c:order val="23"/>
          <c:tx>
            <c:strRef>
              <c:f>Skymaps!$D$649</c:f>
              <c:strCache>
                <c:ptCount val="1"/>
                <c:pt idx="0">
                  <c:v>23000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Skymaps!$E$649:$BC$649</c:f>
              <c:numCache>
                <c:formatCode>General</c:formatCode>
                <c:ptCount val="51"/>
                <c:pt idx="23">
                  <c:v>16892.712890625</c:v>
                </c:pt>
                <c:pt idx="24">
                  <c:v>16642.0859375</c:v>
                </c:pt>
                <c:pt idx="25">
                  <c:v>16391.458984375</c:v>
                </c:pt>
                <c:pt idx="26">
                  <c:v>16138.38671875</c:v>
                </c:pt>
                <c:pt idx="27">
                  <c:v>15885.3134765625</c:v>
                </c:pt>
                <c:pt idx="28">
                  <c:v>15632.240234375</c:v>
                </c:pt>
                <c:pt idx="29">
                  <c:v>15379.16796875</c:v>
                </c:pt>
                <c:pt idx="30">
                  <c:v>15126.0947265625</c:v>
                </c:pt>
                <c:pt idx="31">
                  <c:v>14863.3583984375</c:v>
                </c:pt>
                <c:pt idx="32">
                  <c:v>14600.6220703125</c:v>
                </c:pt>
                <c:pt idx="33">
                  <c:v>14337.8857421875</c:v>
                </c:pt>
                <c:pt idx="34">
                  <c:v>14075.1494140625</c:v>
                </c:pt>
                <c:pt idx="35">
                  <c:v>13812.4130859375</c:v>
                </c:pt>
                <c:pt idx="36">
                  <c:v>13535.44921875</c:v>
                </c:pt>
                <c:pt idx="37">
                  <c:v>13258.4853515625</c:v>
                </c:pt>
                <c:pt idx="38">
                  <c:v>12981.521484375</c:v>
                </c:pt>
                <c:pt idx="39">
                  <c:v>12704.55859375</c:v>
                </c:pt>
                <c:pt idx="40">
                  <c:v>12427.5947265625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F56-4BA6-86B7-859CD3B04905}"/>
            </c:ext>
          </c:extLst>
        </c:ser>
        <c:ser>
          <c:idx val="24"/>
          <c:order val="24"/>
          <c:tx>
            <c:strRef>
              <c:f>Skymaps!$D$650</c:f>
              <c:strCache>
                <c:ptCount val="1"/>
                <c:pt idx="0">
                  <c:v>24000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Skymaps!$E$650:$BC$650</c:f>
              <c:numCache>
                <c:formatCode>General</c:formatCode>
                <c:ptCount val="51"/>
                <c:pt idx="23">
                  <c:v>16640.029296875</c:v>
                </c:pt>
                <c:pt idx="24">
                  <c:v>16406.77734375</c:v>
                </c:pt>
                <c:pt idx="25">
                  <c:v>16173.5234375</c:v>
                </c:pt>
                <c:pt idx="26">
                  <c:v>15945.4716796875</c:v>
                </c:pt>
                <c:pt idx="27">
                  <c:v>15717.4208984375</c:v>
                </c:pt>
                <c:pt idx="28">
                  <c:v>15489.369140625</c:v>
                </c:pt>
                <c:pt idx="29">
                  <c:v>15261.3173828125</c:v>
                </c:pt>
                <c:pt idx="30">
                  <c:v>15033.265625</c:v>
                </c:pt>
                <c:pt idx="31">
                  <c:v>14790.6171875</c:v>
                </c:pt>
                <c:pt idx="32">
                  <c:v>14547.9677734375</c:v>
                </c:pt>
                <c:pt idx="33">
                  <c:v>14305.318359375</c:v>
                </c:pt>
                <c:pt idx="34">
                  <c:v>14062.6689453125</c:v>
                </c:pt>
                <c:pt idx="35">
                  <c:v>13820.0205078125</c:v>
                </c:pt>
                <c:pt idx="36">
                  <c:v>13545.0712890625</c:v>
                </c:pt>
                <c:pt idx="37">
                  <c:v>13270.1220703125</c:v>
                </c:pt>
                <c:pt idx="38">
                  <c:v>12995.173828125</c:v>
                </c:pt>
                <c:pt idx="39">
                  <c:v>12720.224609375</c:v>
                </c:pt>
                <c:pt idx="40">
                  <c:v>12445.2763671875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F56-4BA6-86B7-859CD3B04905}"/>
            </c:ext>
          </c:extLst>
        </c:ser>
        <c:ser>
          <c:idx val="25"/>
          <c:order val="25"/>
          <c:tx>
            <c:strRef>
              <c:f>Skymaps!$D$651</c:f>
              <c:strCache>
                <c:ptCount val="1"/>
                <c:pt idx="0">
                  <c:v>25000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Skymaps!$E$651:$BC$651</c:f>
              <c:numCache>
                <c:formatCode>General</c:formatCode>
                <c:ptCount val="51"/>
                <c:pt idx="24">
                  <c:v>16171.4677734375</c:v>
                </c:pt>
                <c:pt idx="25">
                  <c:v>15955.5869140625</c:v>
                </c:pt>
                <c:pt idx="26">
                  <c:v>15752.5576171875</c:v>
                </c:pt>
                <c:pt idx="27">
                  <c:v>15549.52734375</c:v>
                </c:pt>
                <c:pt idx="28">
                  <c:v>15346.4970703125</c:v>
                </c:pt>
                <c:pt idx="29">
                  <c:v>15143.4677734375</c:v>
                </c:pt>
                <c:pt idx="30">
                  <c:v>14940.4375</c:v>
                </c:pt>
                <c:pt idx="31">
                  <c:v>14717.8759765625</c:v>
                </c:pt>
                <c:pt idx="32">
                  <c:v>14495.3134765625</c:v>
                </c:pt>
                <c:pt idx="33">
                  <c:v>14272.7509765625</c:v>
                </c:pt>
                <c:pt idx="34">
                  <c:v>14050.189453125</c:v>
                </c:pt>
                <c:pt idx="35">
                  <c:v>13827.626953125</c:v>
                </c:pt>
                <c:pt idx="36">
                  <c:v>13554.693359375</c:v>
                </c:pt>
                <c:pt idx="37">
                  <c:v>13281.759765625</c:v>
                </c:pt>
                <c:pt idx="38">
                  <c:v>13008.8251953125</c:v>
                </c:pt>
                <c:pt idx="39">
                  <c:v>12735.8916015625</c:v>
                </c:pt>
                <c:pt idx="40">
                  <c:v>12462.9580078125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F56-4BA6-86B7-859CD3B04905}"/>
            </c:ext>
          </c:extLst>
        </c:ser>
        <c:ser>
          <c:idx val="26"/>
          <c:order val="26"/>
          <c:tx>
            <c:strRef>
              <c:f>Skymaps!$D$652</c:f>
              <c:strCache>
                <c:ptCount val="1"/>
                <c:pt idx="0">
                  <c:v>26000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Skymaps!$E$652:$BC$652</c:f>
              <c:numCache>
                <c:formatCode>General</c:formatCode>
                <c:ptCount val="51"/>
                <c:pt idx="24">
                  <c:v>15856.9404296875</c:v>
                </c:pt>
                <c:pt idx="25">
                  <c:v>15652.533203125</c:v>
                </c:pt>
                <c:pt idx="26">
                  <c:v>15461.982421875</c:v>
                </c:pt>
                <c:pt idx="27">
                  <c:v>15271.4326171875</c:v>
                </c:pt>
                <c:pt idx="28">
                  <c:v>15080.8828125</c:v>
                </c:pt>
                <c:pt idx="29">
                  <c:v>14890.3330078125</c:v>
                </c:pt>
                <c:pt idx="30">
                  <c:v>14699.783203125</c:v>
                </c:pt>
                <c:pt idx="31">
                  <c:v>14494.634765625</c:v>
                </c:pt>
                <c:pt idx="32">
                  <c:v>14289.4873046875</c:v>
                </c:pt>
                <c:pt idx="33">
                  <c:v>14084.33984375</c:v>
                </c:pt>
                <c:pt idx="34">
                  <c:v>13879.1923828125</c:v>
                </c:pt>
                <c:pt idx="35">
                  <c:v>13674.0439453125</c:v>
                </c:pt>
                <c:pt idx="36">
                  <c:v>13426.357421875</c:v>
                </c:pt>
                <c:pt idx="37">
                  <c:v>13178.671875</c:v>
                </c:pt>
                <c:pt idx="38">
                  <c:v>12930.9853515625</c:v>
                </c:pt>
                <c:pt idx="39">
                  <c:v>12683.298828125</c:v>
                </c:pt>
                <c:pt idx="40">
                  <c:v>12435.61328125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F56-4BA6-86B7-859CD3B04905}"/>
            </c:ext>
          </c:extLst>
        </c:ser>
        <c:ser>
          <c:idx val="27"/>
          <c:order val="27"/>
          <c:tx>
            <c:strRef>
              <c:f>Skymaps!$D$653</c:f>
              <c:strCache>
                <c:ptCount val="1"/>
                <c:pt idx="0">
                  <c:v>27000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Skymaps!$E$653:$BC$653</c:f>
              <c:numCache>
                <c:formatCode>General</c:formatCode>
                <c:ptCount val="51"/>
                <c:pt idx="25">
                  <c:v>15349.478515625</c:v>
                </c:pt>
                <c:pt idx="26">
                  <c:v>15171.408203125</c:v>
                </c:pt>
                <c:pt idx="27">
                  <c:v>14993.3388671875</c:v>
                </c:pt>
                <c:pt idx="28">
                  <c:v>14815.2685546875</c:v>
                </c:pt>
                <c:pt idx="29">
                  <c:v>14637.1982421875</c:v>
                </c:pt>
                <c:pt idx="30">
                  <c:v>14459.1279296875</c:v>
                </c:pt>
                <c:pt idx="31">
                  <c:v>14271.39453125</c:v>
                </c:pt>
                <c:pt idx="32">
                  <c:v>14083.6611328125</c:v>
                </c:pt>
                <c:pt idx="33">
                  <c:v>13895.927734375</c:v>
                </c:pt>
                <c:pt idx="34">
                  <c:v>13708.1943359375</c:v>
                </c:pt>
                <c:pt idx="35">
                  <c:v>13520.4609375</c:v>
                </c:pt>
                <c:pt idx="36">
                  <c:v>13298.0224609375</c:v>
                </c:pt>
                <c:pt idx="37">
                  <c:v>13075.583984375</c:v>
                </c:pt>
                <c:pt idx="38">
                  <c:v>12853.1455078125</c:v>
                </c:pt>
                <c:pt idx="39">
                  <c:v>12630.70703125</c:v>
                </c:pt>
                <c:pt idx="40">
                  <c:v>12408.2685546875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F56-4BA6-86B7-859CD3B04905}"/>
            </c:ext>
          </c:extLst>
        </c:ser>
        <c:ser>
          <c:idx val="28"/>
          <c:order val="28"/>
          <c:tx>
            <c:strRef>
              <c:f>Skymaps!$D$654</c:f>
              <c:strCache>
                <c:ptCount val="1"/>
                <c:pt idx="0">
                  <c:v>28000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Skymaps!$E$654:$BC$654</c:f>
              <c:numCache>
                <c:formatCode>General</c:formatCode>
                <c:ptCount val="51"/>
                <c:pt idx="25">
                  <c:v>15046.423828125</c:v>
                </c:pt>
                <c:pt idx="26">
                  <c:v>14880.833984375</c:v>
                </c:pt>
                <c:pt idx="27">
                  <c:v>14715.244140625</c:v>
                </c:pt>
                <c:pt idx="28">
                  <c:v>14549.6533203125</c:v>
                </c:pt>
                <c:pt idx="29">
                  <c:v>14384.0634765625</c:v>
                </c:pt>
                <c:pt idx="30">
                  <c:v>14218.4736328125</c:v>
                </c:pt>
                <c:pt idx="31">
                  <c:v>14048.154296875</c:v>
                </c:pt>
                <c:pt idx="32">
                  <c:v>13877.8349609375</c:v>
                </c:pt>
                <c:pt idx="33">
                  <c:v>13707.5166015625</c:v>
                </c:pt>
                <c:pt idx="34">
                  <c:v>13537.197265625</c:v>
                </c:pt>
                <c:pt idx="35">
                  <c:v>13366.8779296875</c:v>
                </c:pt>
                <c:pt idx="36">
                  <c:v>13169.6875</c:v>
                </c:pt>
                <c:pt idx="37">
                  <c:v>12972.49609375</c:v>
                </c:pt>
                <c:pt idx="38">
                  <c:v>12775.3056640625</c:v>
                </c:pt>
                <c:pt idx="39">
                  <c:v>12578.1142578125</c:v>
                </c:pt>
                <c:pt idx="40">
                  <c:v>12380.923828125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F56-4BA6-86B7-859CD3B04905}"/>
            </c:ext>
          </c:extLst>
        </c:ser>
        <c:ser>
          <c:idx val="29"/>
          <c:order val="29"/>
          <c:tx>
            <c:strRef>
              <c:f>Skymaps!$D$655</c:f>
              <c:strCache>
                <c:ptCount val="1"/>
                <c:pt idx="0">
                  <c:v>29000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Skymaps!$E$655:$BC$655</c:f>
              <c:numCache>
                <c:formatCode>General</c:formatCode>
                <c:ptCount val="51"/>
                <c:pt idx="26">
                  <c:v>14590.259765625</c:v>
                </c:pt>
                <c:pt idx="27">
                  <c:v>14437.1494140625</c:v>
                </c:pt>
                <c:pt idx="28">
                  <c:v>14284.0390625</c:v>
                </c:pt>
                <c:pt idx="29">
                  <c:v>14130.9287109375</c:v>
                </c:pt>
                <c:pt idx="30">
                  <c:v>13977.8193359375</c:v>
                </c:pt>
                <c:pt idx="31">
                  <c:v>13824.9140625</c:v>
                </c:pt>
                <c:pt idx="32">
                  <c:v>13672.009765625</c:v>
                </c:pt>
                <c:pt idx="33">
                  <c:v>13519.1044921875</c:v>
                </c:pt>
                <c:pt idx="34">
                  <c:v>13366.2001953125</c:v>
                </c:pt>
                <c:pt idx="35">
                  <c:v>13213.294921875</c:v>
                </c:pt>
                <c:pt idx="36">
                  <c:v>13041.3515625</c:v>
                </c:pt>
                <c:pt idx="37">
                  <c:v>12869.408203125</c:v>
                </c:pt>
                <c:pt idx="38">
                  <c:v>12697.46484375</c:v>
                </c:pt>
                <c:pt idx="39">
                  <c:v>12525.5224609375</c:v>
                </c:pt>
                <c:pt idx="40">
                  <c:v>12353.5791015625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1F56-4BA6-86B7-859CD3B04905}"/>
            </c:ext>
          </c:extLst>
        </c:ser>
        <c:ser>
          <c:idx val="30"/>
          <c:order val="30"/>
          <c:tx>
            <c:strRef>
              <c:f>Skymaps!$D$656</c:f>
              <c:strCache>
                <c:ptCount val="1"/>
                <c:pt idx="0">
                  <c:v>30000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Skymaps!$E$656:$BC$656</c:f>
              <c:numCache>
                <c:formatCode>General</c:formatCode>
                <c:ptCount val="51"/>
                <c:pt idx="27">
                  <c:v>14159.0546875</c:v>
                </c:pt>
                <c:pt idx="28">
                  <c:v>14018.4248046875</c:v>
                </c:pt>
                <c:pt idx="29">
                  <c:v>13877.794921875</c:v>
                </c:pt>
                <c:pt idx="30">
                  <c:v>13737.1640625</c:v>
                </c:pt>
                <c:pt idx="31">
                  <c:v>13601.673828125</c:v>
                </c:pt>
                <c:pt idx="32">
                  <c:v>13466.18359375</c:v>
                </c:pt>
                <c:pt idx="33">
                  <c:v>13330.6923828125</c:v>
                </c:pt>
                <c:pt idx="34">
                  <c:v>13195.2021484375</c:v>
                </c:pt>
                <c:pt idx="35">
                  <c:v>13059.7119140625</c:v>
                </c:pt>
                <c:pt idx="36">
                  <c:v>12913.0166015625</c:v>
                </c:pt>
                <c:pt idx="37">
                  <c:v>12766.3212890625</c:v>
                </c:pt>
                <c:pt idx="38">
                  <c:v>12619.625</c:v>
                </c:pt>
                <c:pt idx="39">
                  <c:v>12472.9296875</c:v>
                </c:pt>
                <c:pt idx="40">
                  <c:v>12326.234375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F56-4BA6-86B7-859CD3B04905}"/>
            </c:ext>
          </c:extLst>
        </c:ser>
        <c:ser>
          <c:idx val="31"/>
          <c:order val="31"/>
          <c:tx>
            <c:strRef>
              <c:f>Skymaps!$D$657</c:f>
              <c:strCache>
                <c:ptCount val="1"/>
                <c:pt idx="0">
                  <c:v>31000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Skymaps!$E$657:$BC$657</c:f>
              <c:numCache>
                <c:formatCode>General</c:formatCode>
                <c:ptCount val="51"/>
                <c:pt idx="27">
                  <c:v>13843.5615234375</c:v>
                </c:pt>
                <c:pt idx="28">
                  <c:v>13712.697265625</c:v>
                </c:pt>
                <c:pt idx="29">
                  <c:v>13581.8330078125</c:v>
                </c:pt>
                <c:pt idx="30">
                  <c:v>13450.96875</c:v>
                </c:pt>
                <c:pt idx="31">
                  <c:v>13324.2578125</c:v>
                </c:pt>
                <c:pt idx="32">
                  <c:v>13197.5458984375</c:v>
                </c:pt>
                <c:pt idx="33">
                  <c:v>13070.8349609375</c:v>
                </c:pt>
                <c:pt idx="34">
                  <c:v>12944.1240234375</c:v>
                </c:pt>
                <c:pt idx="35">
                  <c:v>12817.412109375</c:v>
                </c:pt>
                <c:pt idx="36">
                  <c:v>12682.39453125</c:v>
                </c:pt>
                <c:pt idx="37">
                  <c:v>12547.376953125</c:v>
                </c:pt>
                <c:pt idx="38">
                  <c:v>12412.3603515625</c:v>
                </c:pt>
                <c:pt idx="39">
                  <c:v>12277.3427734375</c:v>
                </c:pt>
                <c:pt idx="40">
                  <c:v>12142.3251953125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1F56-4BA6-86B7-859CD3B04905}"/>
            </c:ext>
          </c:extLst>
        </c:ser>
        <c:ser>
          <c:idx val="32"/>
          <c:order val="32"/>
          <c:tx>
            <c:strRef>
              <c:f>Skymaps!$D$658</c:f>
              <c:strCache>
                <c:ptCount val="1"/>
                <c:pt idx="0">
                  <c:v>32000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Skymaps!$E$658:$BC$658</c:f>
              <c:numCache>
                <c:formatCode>General</c:formatCode>
                <c:ptCount val="51"/>
                <c:pt idx="28">
                  <c:v>13406.9697265625</c:v>
                </c:pt>
                <c:pt idx="29">
                  <c:v>13285.8720703125</c:v>
                </c:pt>
                <c:pt idx="30">
                  <c:v>13164.7734375</c:v>
                </c:pt>
                <c:pt idx="31">
                  <c:v>13046.841796875</c:v>
                </c:pt>
                <c:pt idx="32">
                  <c:v>12928.9091796875</c:v>
                </c:pt>
                <c:pt idx="33">
                  <c:v>12810.9775390625</c:v>
                </c:pt>
                <c:pt idx="34">
                  <c:v>12693.044921875</c:v>
                </c:pt>
                <c:pt idx="35">
                  <c:v>12575.1123046875</c:v>
                </c:pt>
                <c:pt idx="36">
                  <c:v>12451.7734375</c:v>
                </c:pt>
                <c:pt idx="37">
                  <c:v>12328.43359375</c:v>
                </c:pt>
                <c:pt idx="38">
                  <c:v>12205.0947265625</c:v>
                </c:pt>
                <c:pt idx="39">
                  <c:v>12081.7548828125</c:v>
                </c:pt>
                <c:pt idx="40">
                  <c:v>11958.416015625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1F56-4BA6-86B7-859CD3B04905}"/>
            </c:ext>
          </c:extLst>
        </c:ser>
        <c:ser>
          <c:idx val="33"/>
          <c:order val="33"/>
          <c:tx>
            <c:strRef>
              <c:f>Skymaps!$D$659</c:f>
              <c:strCache>
                <c:ptCount val="1"/>
                <c:pt idx="0">
                  <c:v>33000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Skymaps!$E$659:$BC$659</c:f>
              <c:numCache>
                <c:formatCode>General</c:formatCode>
                <c:ptCount val="51"/>
                <c:pt idx="29">
                  <c:v>12989.91015625</c:v>
                </c:pt>
                <c:pt idx="30">
                  <c:v>12878.578125</c:v>
                </c:pt>
                <c:pt idx="31">
                  <c:v>12769.4248046875</c:v>
                </c:pt>
                <c:pt idx="32">
                  <c:v>12660.2724609375</c:v>
                </c:pt>
                <c:pt idx="33">
                  <c:v>12551.119140625</c:v>
                </c:pt>
                <c:pt idx="34">
                  <c:v>12441.9658203125</c:v>
                </c:pt>
                <c:pt idx="35">
                  <c:v>12332.8134765625</c:v>
                </c:pt>
                <c:pt idx="36">
                  <c:v>12221.1513671875</c:v>
                </c:pt>
                <c:pt idx="37">
                  <c:v>12109.490234375</c:v>
                </c:pt>
                <c:pt idx="38">
                  <c:v>11997.8291015625</c:v>
                </c:pt>
                <c:pt idx="39">
                  <c:v>11886.16796875</c:v>
                </c:pt>
                <c:pt idx="40">
                  <c:v>11774.505859375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1F56-4BA6-86B7-859CD3B04905}"/>
            </c:ext>
          </c:extLst>
        </c:ser>
        <c:ser>
          <c:idx val="34"/>
          <c:order val="34"/>
          <c:tx>
            <c:strRef>
              <c:f>Skymaps!$D$660</c:f>
              <c:strCache>
                <c:ptCount val="1"/>
                <c:pt idx="0">
                  <c:v>34000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Skymaps!$E$660:$BC$660</c:f>
              <c:numCache>
                <c:formatCode>General</c:formatCode>
                <c:ptCount val="51"/>
                <c:pt idx="30">
                  <c:v>12592.3828125</c:v>
                </c:pt>
                <c:pt idx="31">
                  <c:v>12492.0087890625</c:v>
                </c:pt>
                <c:pt idx="32">
                  <c:v>12391.634765625</c:v>
                </c:pt>
                <c:pt idx="33">
                  <c:v>12291.26171875</c:v>
                </c:pt>
                <c:pt idx="34">
                  <c:v>12190.8876953125</c:v>
                </c:pt>
                <c:pt idx="35">
                  <c:v>12090.513671875</c:v>
                </c:pt>
                <c:pt idx="36">
                  <c:v>11990.5302734375</c:v>
                </c:pt>
                <c:pt idx="37">
                  <c:v>11890.546875</c:v>
                </c:pt>
                <c:pt idx="38">
                  <c:v>11790.5634765625</c:v>
                </c:pt>
                <c:pt idx="39">
                  <c:v>11690.580078125</c:v>
                </c:pt>
                <c:pt idx="40">
                  <c:v>11590.5966796875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1F56-4BA6-86B7-859CD3B04905}"/>
            </c:ext>
          </c:extLst>
        </c:ser>
        <c:ser>
          <c:idx val="35"/>
          <c:order val="35"/>
          <c:tx>
            <c:strRef>
              <c:f>Skymaps!$D$661</c:f>
              <c:strCache>
                <c:ptCount val="1"/>
                <c:pt idx="0">
                  <c:v>35000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Skymaps!$E$661:$BC$661</c:f>
              <c:numCache>
                <c:formatCode>General</c:formatCode>
                <c:ptCount val="51"/>
                <c:pt idx="31">
                  <c:v>12214.5927734375</c:v>
                </c:pt>
                <c:pt idx="32">
                  <c:v>12122.998046875</c:v>
                </c:pt>
                <c:pt idx="33">
                  <c:v>12031.4033203125</c:v>
                </c:pt>
                <c:pt idx="34">
                  <c:v>11939.80859375</c:v>
                </c:pt>
                <c:pt idx="35">
                  <c:v>11848.2138671875</c:v>
                </c:pt>
                <c:pt idx="36">
                  <c:v>11759.9091796875</c:v>
                </c:pt>
                <c:pt idx="37">
                  <c:v>11671.603515625</c:v>
                </c:pt>
                <c:pt idx="38">
                  <c:v>11583.2978515625</c:v>
                </c:pt>
                <c:pt idx="39">
                  <c:v>11494.9931640625</c:v>
                </c:pt>
                <c:pt idx="40">
                  <c:v>11406.6875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1F56-4BA6-86B7-859CD3B04905}"/>
            </c:ext>
          </c:extLst>
        </c:ser>
        <c:ser>
          <c:idx val="36"/>
          <c:order val="36"/>
          <c:tx>
            <c:strRef>
              <c:f>Skymaps!$D$662</c:f>
              <c:strCache>
                <c:ptCount val="1"/>
                <c:pt idx="0">
                  <c:v>36000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Skymaps!$E$662:$BC$662</c:f>
              <c:numCache>
                <c:formatCode>General</c:formatCode>
                <c:ptCount val="51"/>
                <c:pt idx="33">
                  <c:v>11570.3251953125</c:v>
                </c:pt>
                <c:pt idx="34">
                  <c:v>11480.2314453125</c:v>
                </c:pt>
                <c:pt idx="35">
                  <c:v>11390.1376953125</c:v>
                </c:pt>
                <c:pt idx="36">
                  <c:v>11307.30078125</c:v>
                </c:pt>
                <c:pt idx="37">
                  <c:v>11224.46484375</c:v>
                </c:pt>
                <c:pt idx="38">
                  <c:v>11141.6279296875</c:v>
                </c:pt>
                <c:pt idx="39">
                  <c:v>11058.7919921875</c:v>
                </c:pt>
                <c:pt idx="40">
                  <c:v>10975.955078125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1F56-4BA6-86B7-859CD3B04905}"/>
            </c:ext>
          </c:extLst>
        </c:ser>
        <c:ser>
          <c:idx val="37"/>
          <c:order val="37"/>
          <c:tx>
            <c:strRef>
              <c:f>Skymaps!$D$663</c:f>
              <c:strCache>
                <c:ptCount val="1"/>
                <c:pt idx="0">
                  <c:v>37000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Skymaps!$E$663:$BC$663</c:f>
              <c:numCache>
                <c:formatCode>General</c:formatCode>
                <c:ptCount val="51"/>
                <c:pt idx="35">
                  <c:v>10932.060546875</c:v>
                </c:pt>
                <c:pt idx="36">
                  <c:v>10854.693359375</c:v>
                </c:pt>
                <c:pt idx="37">
                  <c:v>10777.3251953125</c:v>
                </c:pt>
                <c:pt idx="38">
                  <c:v>10699.9580078125</c:v>
                </c:pt>
                <c:pt idx="39">
                  <c:v>10622.5908203125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1F56-4BA6-86B7-859CD3B04905}"/>
            </c:ext>
          </c:extLst>
        </c:ser>
        <c:ser>
          <c:idx val="38"/>
          <c:order val="38"/>
          <c:tx>
            <c:strRef>
              <c:f>Skymaps!$D$664</c:f>
              <c:strCache>
                <c:ptCount val="1"/>
                <c:pt idx="0">
                  <c:v>38000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Skymaps!$E$664:$BC$664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6-1F56-4BA6-86B7-859CD3B04905}"/>
            </c:ext>
          </c:extLst>
        </c:ser>
        <c:ser>
          <c:idx val="39"/>
          <c:order val="39"/>
          <c:tx>
            <c:strRef>
              <c:f>Skymaps!$D$665</c:f>
              <c:strCache>
                <c:ptCount val="1"/>
                <c:pt idx="0">
                  <c:v>39000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Skymaps!$E$665:$BC$665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1F56-4BA6-86B7-859CD3B04905}"/>
            </c:ext>
          </c:extLst>
        </c:ser>
        <c:ser>
          <c:idx val="40"/>
          <c:order val="40"/>
          <c:tx>
            <c:strRef>
              <c:f>Skymaps!$D$666</c:f>
              <c:strCache>
                <c:ptCount val="1"/>
                <c:pt idx="0">
                  <c:v>40000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Skymaps!$E$666:$BC$666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1F56-4BA6-86B7-859CD3B04905}"/>
            </c:ext>
          </c:extLst>
        </c:ser>
        <c:ser>
          <c:idx val="41"/>
          <c:order val="41"/>
          <c:tx>
            <c:strRef>
              <c:f>Skymaps!$D$667</c:f>
              <c:strCache>
                <c:ptCount val="1"/>
                <c:pt idx="0">
                  <c:v>41000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Skymaps!$E$667:$BC$667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1F56-4BA6-86B7-859CD3B04905}"/>
            </c:ext>
          </c:extLst>
        </c:ser>
        <c:ser>
          <c:idx val="42"/>
          <c:order val="42"/>
          <c:tx>
            <c:strRef>
              <c:f>Skymaps!$D$668</c:f>
              <c:strCache>
                <c:ptCount val="1"/>
                <c:pt idx="0">
                  <c:v>42000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Skymaps!$E$668:$BC$668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1F56-4BA6-86B7-859CD3B04905}"/>
            </c:ext>
          </c:extLst>
        </c:ser>
        <c:ser>
          <c:idx val="43"/>
          <c:order val="43"/>
          <c:tx>
            <c:strRef>
              <c:f>Skymaps!$D$669</c:f>
              <c:strCache>
                <c:ptCount val="1"/>
                <c:pt idx="0">
                  <c:v>43000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Skymaps!$E$669:$BC$669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1F56-4BA6-86B7-859CD3B04905}"/>
            </c:ext>
          </c:extLst>
        </c:ser>
        <c:ser>
          <c:idx val="44"/>
          <c:order val="44"/>
          <c:tx>
            <c:strRef>
              <c:f>Skymaps!$D$670</c:f>
              <c:strCache>
                <c:ptCount val="1"/>
                <c:pt idx="0">
                  <c:v>44000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Skymaps!$E$670:$BC$670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1F56-4BA6-86B7-859CD3B04905}"/>
            </c:ext>
          </c:extLst>
        </c:ser>
        <c:ser>
          <c:idx val="45"/>
          <c:order val="45"/>
          <c:tx>
            <c:strRef>
              <c:f>Skymaps!$D$671</c:f>
              <c:strCache>
                <c:ptCount val="1"/>
                <c:pt idx="0">
                  <c:v>45000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Skymaps!$E$671:$BC$671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1F56-4BA6-86B7-859CD3B04905}"/>
            </c:ext>
          </c:extLst>
        </c:ser>
        <c:ser>
          <c:idx val="46"/>
          <c:order val="46"/>
          <c:tx>
            <c:strRef>
              <c:f>Skymaps!$D$672</c:f>
              <c:strCache>
                <c:ptCount val="1"/>
                <c:pt idx="0">
                  <c:v>46000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Skymaps!$E$672:$BC$672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1F56-4BA6-86B7-859CD3B04905}"/>
            </c:ext>
          </c:extLst>
        </c:ser>
        <c:ser>
          <c:idx val="47"/>
          <c:order val="47"/>
          <c:tx>
            <c:strRef>
              <c:f>Skymaps!$D$673</c:f>
              <c:strCache>
                <c:ptCount val="1"/>
                <c:pt idx="0">
                  <c:v>47000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Skymaps!$E$673:$BC$673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1F56-4BA6-86B7-859CD3B04905}"/>
            </c:ext>
          </c:extLst>
        </c:ser>
        <c:ser>
          <c:idx val="48"/>
          <c:order val="48"/>
          <c:tx>
            <c:strRef>
              <c:f>Skymaps!$D$674</c:f>
              <c:strCache>
                <c:ptCount val="1"/>
                <c:pt idx="0">
                  <c:v>48000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Skymaps!$E$674:$BC$674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1F56-4BA6-86B7-859CD3B04905}"/>
            </c:ext>
          </c:extLst>
        </c:ser>
        <c:ser>
          <c:idx val="49"/>
          <c:order val="49"/>
          <c:tx>
            <c:strRef>
              <c:f>Skymaps!$D$675</c:f>
              <c:strCache>
                <c:ptCount val="1"/>
                <c:pt idx="0">
                  <c:v>49000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Skymaps!$E$675:$BC$675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1F56-4BA6-86B7-859CD3B04905}"/>
            </c:ext>
          </c:extLst>
        </c:ser>
        <c:ser>
          <c:idx val="50"/>
          <c:order val="50"/>
          <c:tx>
            <c:strRef>
              <c:f>Skymaps!$D$676</c:f>
              <c:strCache>
                <c:ptCount val="1"/>
                <c:pt idx="0">
                  <c:v>50000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Skymaps!$E$676:$BC$676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1F56-4BA6-86B7-859CD3B04905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5"/>
            <c:spPr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74669088"/>
        <c:axId val="674665480"/>
        <c:axId val="619148064"/>
      </c:surfaceChart>
      <c:catAx>
        <c:axId val="67466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65480"/>
        <c:crosses val="autoZero"/>
        <c:auto val="1"/>
        <c:lblAlgn val="ctr"/>
        <c:lblOffset val="100"/>
        <c:noMultiLvlLbl val="0"/>
      </c:catAx>
      <c:valAx>
        <c:axId val="674665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69088"/>
        <c:crosses val="autoZero"/>
        <c:crossBetween val="midCat"/>
        <c:majorUnit val="2000"/>
      </c:valAx>
      <c:serAx>
        <c:axId val="6191480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65480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Skymaps!$D$678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Skymaps!$E$678:$BC$678</c:f>
              <c:numCache>
                <c:formatCode>General</c:formatCode>
                <c:ptCount val="51"/>
                <c:pt idx="13">
                  <c:v>2030.5054931640625</c:v>
                </c:pt>
                <c:pt idx="14">
                  <c:v>2334.690673828125</c:v>
                </c:pt>
                <c:pt idx="15">
                  <c:v>2638.876220703125</c:v>
                </c:pt>
                <c:pt idx="16">
                  <c:v>2429.986572265625</c:v>
                </c:pt>
                <c:pt idx="17">
                  <c:v>2221.096923828125</c:v>
                </c:pt>
                <c:pt idx="18">
                  <c:v>2012.207275390625</c:v>
                </c:pt>
                <c:pt idx="19">
                  <c:v>1803.3177490234375</c:v>
                </c:pt>
                <c:pt idx="20">
                  <c:v>1594.4281005859375</c:v>
                </c:pt>
                <c:pt idx="21">
                  <c:v>1418.845703125</c:v>
                </c:pt>
                <c:pt idx="22">
                  <c:v>1243.26318359375</c:v>
                </c:pt>
                <c:pt idx="23">
                  <c:v>1067.6807861328125</c:v>
                </c:pt>
                <c:pt idx="24">
                  <c:v>892.098388671875</c:v>
                </c:pt>
                <c:pt idx="25">
                  <c:v>716.51593017578125</c:v>
                </c:pt>
                <c:pt idx="26">
                  <c:v>618.13641357421875</c:v>
                </c:pt>
                <c:pt idx="27">
                  <c:v>519.7568359375</c:v>
                </c:pt>
                <c:pt idx="28">
                  <c:v>421.37725830078125</c:v>
                </c:pt>
                <c:pt idx="29">
                  <c:v>322.9976806640625</c:v>
                </c:pt>
                <c:pt idx="30">
                  <c:v>224.61808776855469</c:v>
                </c:pt>
                <c:pt idx="31">
                  <c:v>145.97605895996094</c:v>
                </c:pt>
                <c:pt idx="32">
                  <c:v>67.334037780761719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1C-4722-8999-0FBEE8F97F29}"/>
            </c:ext>
          </c:extLst>
        </c:ser>
        <c:ser>
          <c:idx val="1"/>
          <c:order val="1"/>
          <c:tx>
            <c:strRef>
              <c:f>Skymaps!$D$679</c:f>
              <c:strCache>
                <c:ptCount val="1"/>
                <c:pt idx="0">
                  <c:v>1000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Skymaps!$E$679:$BC$679</c:f>
              <c:numCache>
                <c:formatCode>General</c:formatCode>
                <c:ptCount val="51"/>
                <c:pt idx="14">
                  <c:v>2454.84326171875</c:v>
                </c:pt>
                <c:pt idx="15">
                  <c:v>2750.825439453125</c:v>
                </c:pt>
                <c:pt idx="16">
                  <c:v>2543.21044921875</c:v>
                </c:pt>
                <c:pt idx="17">
                  <c:v>2335.595458984375</c:v>
                </c:pt>
                <c:pt idx="18">
                  <c:v>2127.980712890625</c:v>
                </c:pt>
                <c:pt idx="19">
                  <c:v>1920.36572265625</c:v>
                </c:pt>
                <c:pt idx="20">
                  <c:v>1712.7508544921875</c:v>
                </c:pt>
                <c:pt idx="21">
                  <c:v>1536.8599853515625</c:v>
                </c:pt>
                <c:pt idx="22">
                  <c:v>1360.96923828125</c:v>
                </c:pt>
                <c:pt idx="23">
                  <c:v>1185.078369140625</c:v>
                </c:pt>
                <c:pt idx="24">
                  <c:v>1009.1875610351563</c:v>
                </c:pt>
                <c:pt idx="25">
                  <c:v>833.2967529296875</c:v>
                </c:pt>
                <c:pt idx="26">
                  <c:v>730.887451171875</c:v>
                </c:pt>
                <c:pt idx="27">
                  <c:v>628.47808837890625</c:v>
                </c:pt>
                <c:pt idx="28">
                  <c:v>526.06878662109375</c:v>
                </c:pt>
                <c:pt idx="29">
                  <c:v>423.65945434570313</c:v>
                </c:pt>
                <c:pt idx="30">
                  <c:v>321.25009155273438</c:v>
                </c:pt>
                <c:pt idx="31">
                  <c:v>240.03805541992188</c:v>
                </c:pt>
                <c:pt idx="32">
                  <c:v>158.82603454589844</c:v>
                </c:pt>
                <c:pt idx="33">
                  <c:v>77.614013671875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1C-4722-8999-0FBEE8F97F29}"/>
            </c:ext>
          </c:extLst>
        </c:ser>
        <c:ser>
          <c:idx val="2"/>
          <c:order val="2"/>
          <c:tx>
            <c:strRef>
              <c:f>Skymaps!$D$680</c:f>
              <c:strCache>
                <c:ptCount val="1"/>
                <c:pt idx="0">
                  <c:v>2000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Skymaps!$E$680:$BC$680</c:f>
              <c:numCache>
                <c:formatCode>General</c:formatCode>
                <c:ptCount val="51"/>
                <c:pt idx="14">
                  <c:v>2574.995849609375</c:v>
                </c:pt>
                <c:pt idx="15">
                  <c:v>2862.7744140625</c:v>
                </c:pt>
                <c:pt idx="16">
                  <c:v>2656.434326171875</c:v>
                </c:pt>
                <c:pt idx="17">
                  <c:v>2450.09423828125</c:v>
                </c:pt>
                <c:pt idx="18">
                  <c:v>2243.75390625</c:v>
                </c:pt>
                <c:pt idx="19">
                  <c:v>2037.413818359375</c:v>
                </c:pt>
                <c:pt idx="20">
                  <c:v>1831.0736083984375</c:v>
                </c:pt>
                <c:pt idx="21">
                  <c:v>1654.8743896484375</c:v>
                </c:pt>
                <c:pt idx="22">
                  <c:v>1478.6751708984375</c:v>
                </c:pt>
                <c:pt idx="23">
                  <c:v>1302.4759521484375</c:v>
                </c:pt>
                <c:pt idx="24">
                  <c:v>1126.2767333984375</c:v>
                </c:pt>
                <c:pt idx="25">
                  <c:v>950.07757568359375</c:v>
                </c:pt>
                <c:pt idx="26">
                  <c:v>843.63848876953125</c:v>
                </c:pt>
                <c:pt idx="27">
                  <c:v>737.19940185546875</c:v>
                </c:pt>
                <c:pt idx="28">
                  <c:v>630.76031494140625</c:v>
                </c:pt>
                <c:pt idx="29">
                  <c:v>524.32122802734375</c:v>
                </c:pt>
                <c:pt idx="30">
                  <c:v>417.882080078125</c:v>
                </c:pt>
                <c:pt idx="31">
                  <c:v>334.10006713867188</c:v>
                </c:pt>
                <c:pt idx="32">
                  <c:v>250.31803894042969</c:v>
                </c:pt>
                <c:pt idx="33">
                  <c:v>166.5360107421875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1C-4722-8999-0FBEE8F97F29}"/>
            </c:ext>
          </c:extLst>
        </c:ser>
        <c:ser>
          <c:idx val="3"/>
          <c:order val="3"/>
          <c:tx>
            <c:strRef>
              <c:f>Skymaps!$D$681</c:f>
              <c:strCache>
                <c:ptCount val="1"/>
                <c:pt idx="0">
                  <c:v>3000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Skymaps!$E$681:$BC$681</c:f>
              <c:numCache>
                <c:formatCode>General</c:formatCode>
                <c:ptCount val="51"/>
                <c:pt idx="14">
                  <c:v>2695.1484375</c:v>
                </c:pt>
                <c:pt idx="15">
                  <c:v>2974.7236328125</c:v>
                </c:pt>
                <c:pt idx="16">
                  <c:v>2769.658203125</c:v>
                </c:pt>
                <c:pt idx="17">
                  <c:v>2564.5927734375</c:v>
                </c:pt>
                <c:pt idx="18">
                  <c:v>2359.52734375</c:v>
                </c:pt>
                <c:pt idx="19">
                  <c:v>2154.4619140625</c:v>
                </c:pt>
                <c:pt idx="20">
                  <c:v>1949.3963623046875</c:v>
                </c:pt>
                <c:pt idx="21">
                  <c:v>1772.8887939453125</c:v>
                </c:pt>
                <c:pt idx="22">
                  <c:v>1596.3812255859375</c:v>
                </c:pt>
                <c:pt idx="23">
                  <c:v>1419.87353515625</c:v>
                </c:pt>
                <c:pt idx="24">
                  <c:v>1243.365966796875</c:v>
                </c:pt>
                <c:pt idx="25">
                  <c:v>1066.8583984375</c:v>
                </c:pt>
                <c:pt idx="26">
                  <c:v>956.3895263671875</c:v>
                </c:pt>
                <c:pt idx="27">
                  <c:v>845.920654296875</c:v>
                </c:pt>
                <c:pt idx="28">
                  <c:v>735.4517822265625</c:v>
                </c:pt>
                <c:pt idx="29">
                  <c:v>624.98297119140625</c:v>
                </c:pt>
                <c:pt idx="30">
                  <c:v>514.51409912109375</c:v>
                </c:pt>
                <c:pt idx="31">
                  <c:v>428.16204833984375</c:v>
                </c:pt>
                <c:pt idx="32">
                  <c:v>341.81002807617188</c:v>
                </c:pt>
                <c:pt idx="33">
                  <c:v>255.4580078125</c:v>
                </c:pt>
                <c:pt idx="34">
                  <c:v>169.10597229003906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1C-4722-8999-0FBEE8F97F29}"/>
            </c:ext>
          </c:extLst>
        </c:ser>
        <c:ser>
          <c:idx val="4"/>
          <c:order val="4"/>
          <c:tx>
            <c:strRef>
              <c:f>Skymaps!$D$682</c:f>
              <c:strCache>
                <c:ptCount val="1"/>
                <c:pt idx="0">
                  <c:v>4000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Skymaps!$E$682:$BC$682</c:f>
              <c:numCache>
                <c:formatCode>General</c:formatCode>
                <c:ptCount val="51"/>
                <c:pt idx="14">
                  <c:v>2815.301025390625</c:v>
                </c:pt>
                <c:pt idx="15">
                  <c:v>3086.6728515625</c:v>
                </c:pt>
                <c:pt idx="16">
                  <c:v>2882.882080078125</c:v>
                </c:pt>
                <c:pt idx="17">
                  <c:v>2679.09130859375</c:v>
                </c:pt>
                <c:pt idx="18">
                  <c:v>2475.300537109375</c:v>
                </c:pt>
                <c:pt idx="19">
                  <c:v>2271.510009765625</c:v>
                </c:pt>
                <c:pt idx="20">
                  <c:v>2067.71923828125</c:v>
                </c:pt>
                <c:pt idx="21">
                  <c:v>1890.9031982421875</c:v>
                </c:pt>
                <c:pt idx="22">
                  <c:v>1714.087158203125</c:v>
                </c:pt>
                <c:pt idx="23">
                  <c:v>1537.2711181640625</c:v>
                </c:pt>
                <c:pt idx="24">
                  <c:v>1360.4552001953125</c:v>
                </c:pt>
                <c:pt idx="25">
                  <c:v>1183.63916015625</c:v>
                </c:pt>
                <c:pt idx="26">
                  <c:v>1069.1405029296875</c:v>
                </c:pt>
                <c:pt idx="27">
                  <c:v>954.6419677734375</c:v>
                </c:pt>
                <c:pt idx="28">
                  <c:v>840.143310546875</c:v>
                </c:pt>
                <c:pt idx="29">
                  <c:v>725.64471435546875</c:v>
                </c:pt>
                <c:pt idx="30">
                  <c:v>611.14605712890625</c:v>
                </c:pt>
                <c:pt idx="31">
                  <c:v>522.22406005859375</c:v>
                </c:pt>
                <c:pt idx="32">
                  <c:v>433.30203247070313</c:v>
                </c:pt>
                <c:pt idx="33">
                  <c:v>344.3800048828125</c:v>
                </c:pt>
                <c:pt idx="34">
                  <c:v>255.45797729492188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1C-4722-8999-0FBEE8F97F29}"/>
            </c:ext>
          </c:extLst>
        </c:ser>
        <c:ser>
          <c:idx val="5"/>
          <c:order val="5"/>
          <c:tx>
            <c:strRef>
              <c:f>Skymaps!$D$683</c:f>
              <c:strCache>
                <c:ptCount val="1"/>
                <c:pt idx="0">
                  <c:v>5000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Skymaps!$E$683:$BC$683</c:f>
              <c:numCache>
                <c:formatCode>General</c:formatCode>
                <c:ptCount val="51"/>
                <c:pt idx="15">
                  <c:v>3198.6220703125</c:v>
                </c:pt>
                <c:pt idx="16">
                  <c:v>2996.10595703125</c:v>
                </c:pt>
                <c:pt idx="17">
                  <c:v>2793.58984375</c:v>
                </c:pt>
                <c:pt idx="18">
                  <c:v>2591.073974609375</c:v>
                </c:pt>
                <c:pt idx="19">
                  <c:v>2388.557861328125</c:v>
                </c:pt>
                <c:pt idx="20">
                  <c:v>2186.0419921875</c:v>
                </c:pt>
                <c:pt idx="21">
                  <c:v>2008.91748046875</c:v>
                </c:pt>
                <c:pt idx="22">
                  <c:v>1831.7930908203125</c:v>
                </c:pt>
                <c:pt idx="23">
                  <c:v>1654.668701171875</c:v>
                </c:pt>
                <c:pt idx="24">
                  <c:v>1477.5443115234375</c:v>
                </c:pt>
                <c:pt idx="25">
                  <c:v>1300.419921875</c:v>
                </c:pt>
                <c:pt idx="26">
                  <c:v>1181.8916015625</c:v>
                </c:pt>
                <c:pt idx="27">
                  <c:v>1063.36328125</c:v>
                </c:pt>
                <c:pt idx="28">
                  <c:v>944.8348388671875</c:v>
                </c:pt>
                <c:pt idx="29">
                  <c:v>826.30645751953125</c:v>
                </c:pt>
                <c:pt idx="30">
                  <c:v>707.778076171875</c:v>
                </c:pt>
                <c:pt idx="31">
                  <c:v>616.28607177734375</c:v>
                </c:pt>
                <c:pt idx="32">
                  <c:v>524.79400634765625</c:v>
                </c:pt>
                <c:pt idx="33">
                  <c:v>433.302001953125</c:v>
                </c:pt>
                <c:pt idx="34">
                  <c:v>341.80996704101563</c:v>
                </c:pt>
                <c:pt idx="35">
                  <c:v>250.31794738769531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1C-4722-8999-0FBEE8F97F29}"/>
            </c:ext>
          </c:extLst>
        </c:ser>
        <c:ser>
          <c:idx val="6"/>
          <c:order val="6"/>
          <c:tx>
            <c:strRef>
              <c:f>Skymaps!$D$684</c:f>
              <c:strCache>
                <c:ptCount val="1"/>
                <c:pt idx="0">
                  <c:v>6000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Skymaps!$E$684:$BC$684</c:f>
              <c:numCache>
                <c:formatCode>General</c:formatCode>
                <c:ptCount val="51"/>
                <c:pt idx="15">
                  <c:v>3281.684326171875</c:v>
                </c:pt>
                <c:pt idx="16">
                  <c:v>3081.820556640625</c:v>
                </c:pt>
                <c:pt idx="17">
                  <c:v>2881.956787109375</c:v>
                </c:pt>
                <c:pt idx="18">
                  <c:v>2682.093017578125</c:v>
                </c:pt>
                <c:pt idx="19">
                  <c:v>2482.229248046875</c:v>
                </c:pt>
                <c:pt idx="20">
                  <c:v>2282.365478515625</c:v>
                </c:pt>
                <c:pt idx="21">
                  <c:v>2106.885986328125</c:v>
                </c:pt>
                <c:pt idx="22">
                  <c:v>1931.4063720703125</c:v>
                </c:pt>
                <c:pt idx="23">
                  <c:v>1755.9267578125</c:v>
                </c:pt>
                <c:pt idx="24">
                  <c:v>1580.4471435546875</c:v>
                </c:pt>
                <c:pt idx="25">
                  <c:v>1404.967529296875</c:v>
                </c:pt>
                <c:pt idx="26">
                  <c:v>1284.40380859375</c:v>
                </c:pt>
                <c:pt idx="27">
                  <c:v>1163.8399658203125</c:v>
                </c:pt>
                <c:pt idx="28">
                  <c:v>1043.276123046875</c:v>
                </c:pt>
                <c:pt idx="29">
                  <c:v>922.71234130859375</c:v>
                </c:pt>
                <c:pt idx="30">
                  <c:v>802.14849853515625</c:v>
                </c:pt>
                <c:pt idx="31">
                  <c:v>708.33319091796875</c:v>
                </c:pt>
                <c:pt idx="32">
                  <c:v>614.51788330078125</c:v>
                </c:pt>
                <c:pt idx="33">
                  <c:v>520.70257568359375</c:v>
                </c:pt>
                <c:pt idx="34">
                  <c:v>426.88723754882813</c:v>
                </c:pt>
                <c:pt idx="35">
                  <c:v>333.07192993164063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C1C-4722-8999-0FBEE8F97F29}"/>
            </c:ext>
          </c:extLst>
        </c:ser>
        <c:ser>
          <c:idx val="7"/>
          <c:order val="7"/>
          <c:tx>
            <c:strRef>
              <c:f>Skymaps!$D$685</c:f>
              <c:strCache>
                <c:ptCount val="1"/>
                <c:pt idx="0">
                  <c:v>7000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Skymaps!$E$685:$BC$685</c:f>
              <c:numCache>
                <c:formatCode>General</c:formatCode>
                <c:ptCount val="51"/>
                <c:pt idx="16">
                  <c:v>3167.53515625</c:v>
                </c:pt>
                <c:pt idx="17">
                  <c:v>2970.32373046875</c:v>
                </c:pt>
                <c:pt idx="18">
                  <c:v>2773.1123046875</c:v>
                </c:pt>
                <c:pt idx="19">
                  <c:v>2575.900634765625</c:v>
                </c:pt>
                <c:pt idx="20">
                  <c:v>2378.689208984375</c:v>
                </c:pt>
                <c:pt idx="21">
                  <c:v>2204.854248046875</c:v>
                </c:pt>
                <c:pt idx="22">
                  <c:v>2031.01953125</c:v>
                </c:pt>
                <c:pt idx="23">
                  <c:v>1857.184814453125</c:v>
                </c:pt>
                <c:pt idx="24">
                  <c:v>1683.3499755859375</c:v>
                </c:pt>
                <c:pt idx="25">
                  <c:v>1509.51513671875</c:v>
                </c:pt>
                <c:pt idx="26">
                  <c:v>1386.9158935546875</c:v>
                </c:pt>
                <c:pt idx="27">
                  <c:v>1264.316650390625</c:v>
                </c:pt>
                <c:pt idx="28">
                  <c:v>1141.7174072265625</c:v>
                </c:pt>
                <c:pt idx="29">
                  <c:v>1019.1181640625</c:v>
                </c:pt>
                <c:pt idx="30">
                  <c:v>896.51885986328125</c:v>
                </c:pt>
                <c:pt idx="31">
                  <c:v>800.38031005859375</c:v>
                </c:pt>
                <c:pt idx="32">
                  <c:v>704.24169921875</c:v>
                </c:pt>
                <c:pt idx="33">
                  <c:v>608.10308837890625</c:v>
                </c:pt>
                <c:pt idx="34">
                  <c:v>511.96450805664063</c:v>
                </c:pt>
                <c:pt idx="35">
                  <c:v>415.825927734375</c:v>
                </c:pt>
                <c:pt idx="36">
                  <c:v>326.63668823242188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C1C-4722-8999-0FBEE8F97F29}"/>
            </c:ext>
          </c:extLst>
        </c:ser>
        <c:ser>
          <c:idx val="8"/>
          <c:order val="8"/>
          <c:tx>
            <c:strRef>
              <c:f>Skymaps!$D$686</c:f>
              <c:strCache>
                <c:ptCount val="1"/>
                <c:pt idx="0">
                  <c:v>8000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Skymaps!$E$686:$BC$686</c:f>
              <c:numCache>
                <c:formatCode>General</c:formatCode>
                <c:ptCount val="51"/>
                <c:pt idx="16">
                  <c:v>3253.249755859375</c:v>
                </c:pt>
                <c:pt idx="17">
                  <c:v>3058.690673828125</c:v>
                </c:pt>
                <c:pt idx="18">
                  <c:v>2864.13134765625</c:v>
                </c:pt>
                <c:pt idx="19">
                  <c:v>2669.572021484375</c:v>
                </c:pt>
                <c:pt idx="20">
                  <c:v>2475.0126953125</c:v>
                </c:pt>
                <c:pt idx="21">
                  <c:v>2302.82275390625</c:v>
                </c:pt>
                <c:pt idx="22">
                  <c:v>2130.6328125</c:v>
                </c:pt>
                <c:pt idx="23">
                  <c:v>1958.4427490234375</c:v>
                </c:pt>
                <c:pt idx="24">
                  <c:v>1786.2528076171875</c:v>
                </c:pt>
                <c:pt idx="25">
                  <c:v>1614.062744140625</c:v>
                </c:pt>
                <c:pt idx="26">
                  <c:v>1489.4281005859375</c:v>
                </c:pt>
                <c:pt idx="27">
                  <c:v>1364.79345703125</c:v>
                </c:pt>
                <c:pt idx="28">
                  <c:v>1240.15869140625</c:v>
                </c:pt>
                <c:pt idx="29">
                  <c:v>1115.5240478515625</c:v>
                </c:pt>
                <c:pt idx="30">
                  <c:v>990.8892822265625</c:v>
                </c:pt>
                <c:pt idx="31">
                  <c:v>892.42742919921875</c:v>
                </c:pt>
                <c:pt idx="32">
                  <c:v>793.96551513671875</c:v>
                </c:pt>
                <c:pt idx="33">
                  <c:v>695.503662109375</c:v>
                </c:pt>
                <c:pt idx="34">
                  <c:v>597.04180908203125</c:v>
                </c:pt>
                <c:pt idx="35">
                  <c:v>498.57992553710938</c:v>
                </c:pt>
                <c:pt idx="36">
                  <c:v>408.79443359375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C1C-4722-8999-0FBEE8F97F29}"/>
            </c:ext>
          </c:extLst>
        </c:ser>
        <c:ser>
          <c:idx val="9"/>
          <c:order val="9"/>
          <c:tx>
            <c:strRef>
              <c:f>Skymaps!$D$687</c:f>
              <c:strCache>
                <c:ptCount val="1"/>
                <c:pt idx="0">
                  <c:v>9000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Skymaps!$E$687:$BC$687</c:f>
              <c:numCache>
                <c:formatCode>General</c:formatCode>
                <c:ptCount val="51"/>
                <c:pt idx="17">
                  <c:v>3147.057373046875</c:v>
                </c:pt>
                <c:pt idx="18">
                  <c:v>2955.150390625</c:v>
                </c:pt>
                <c:pt idx="19">
                  <c:v>2763.243408203125</c:v>
                </c:pt>
                <c:pt idx="20">
                  <c:v>2571.33642578125</c:v>
                </c:pt>
                <c:pt idx="21">
                  <c:v>2400.791259765625</c:v>
                </c:pt>
                <c:pt idx="22">
                  <c:v>2230.24609375</c:v>
                </c:pt>
                <c:pt idx="23">
                  <c:v>2059.70068359375</c:v>
                </c:pt>
                <c:pt idx="24">
                  <c:v>1889.1556396484375</c:v>
                </c:pt>
                <c:pt idx="25">
                  <c:v>1718.6103515625</c:v>
                </c:pt>
                <c:pt idx="26">
                  <c:v>1591.9403076171875</c:v>
                </c:pt>
                <c:pt idx="27">
                  <c:v>1465.2701416015625</c:v>
                </c:pt>
                <c:pt idx="28">
                  <c:v>1338.5999755859375</c:v>
                </c:pt>
                <c:pt idx="29">
                  <c:v>1211.9298095703125</c:v>
                </c:pt>
                <c:pt idx="30">
                  <c:v>1085.2596435546875</c:v>
                </c:pt>
                <c:pt idx="31">
                  <c:v>984.47454833984375</c:v>
                </c:pt>
                <c:pt idx="32">
                  <c:v>883.68939208984375</c:v>
                </c:pt>
                <c:pt idx="33">
                  <c:v>782.90423583984375</c:v>
                </c:pt>
                <c:pt idx="34">
                  <c:v>682.11907958984375</c:v>
                </c:pt>
                <c:pt idx="35">
                  <c:v>581.33392333984375</c:v>
                </c:pt>
                <c:pt idx="36">
                  <c:v>490.95217895507813</c:v>
                </c:pt>
                <c:pt idx="37">
                  <c:v>400.57046508789063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C1C-4722-8999-0FBEE8F97F29}"/>
            </c:ext>
          </c:extLst>
        </c:ser>
        <c:ser>
          <c:idx val="10"/>
          <c:order val="10"/>
          <c:tx>
            <c:strRef>
              <c:f>Skymaps!$D$688</c:f>
              <c:strCache>
                <c:ptCount val="1"/>
                <c:pt idx="0">
                  <c:v>10000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Skymaps!$E$688:$BC$688</c:f>
              <c:numCache>
                <c:formatCode>General</c:formatCode>
                <c:ptCount val="51"/>
                <c:pt idx="17">
                  <c:v>3235.42431640625</c:v>
                </c:pt>
                <c:pt idx="18">
                  <c:v>3046.16943359375</c:v>
                </c:pt>
                <c:pt idx="19">
                  <c:v>2856.914794921875</c:v>
                </c:pt>
                <c:pt idx="20">
                  <c:v>2667.659912109375</c:v>
                </c:pt>
                <c:pt idx="21">
                  <c:v>2498.759521484375</c:v>
                </c:pt>
                <c:pt idx="22">
                  <c:v>2329.859130859375</c:v>
                </c:pt>
                <c:pt idx="23">
                  <c:v>2160.958740234375</c:v>
                </c:pt>
                <c:pt idx="24">
                  <c:v>1992.058349609375</c:v>
                </c:pt>
                <c:pt idx="25">
                  <c:v>1823.157958984375</c:v>
                </c:pt>
                <c:pt idx="26">
                  <c:v>1694.452392578125</c:v>
                </c:pt>
                <c:pt idx="27">
                  <c:v>1565.746826171875</c:v>
                </c:pt>
                <c:pt idx="28">
                  <c:v>1437.041259765625</c:v>
                </c:pt>
                <c:pt idx="29">
                  <c:v>1308.335693359375</c:v>
                </c:pt>
                <c:pt idx="30">
                  <c:v>1179.630126953125</c:v>
                </c:pt>
                <c:pt idx="31">
                  <c:v>1076.5216064453125</c:v>
                </c:pt>
                <c:pt idx="32">
                  <c:v>973.4132080078125</c:v>
                </c:pt>
                <c:pt idx="33">
                  <c:v>870.3048095703125</c:v>
                </c:pt>
                <c:pt idx="34">
                  <c:v>767.19635009765625</c:v>
                </c:pt>
                <c:pt idx="35">
                  <c:v>664.087890625</c:v>
                </c:pt>
                <c:pt idx="36">
                  <c:v>573.10992431640625</c:v>
                </c:pt>
                <c:pt idx="37">
                  <c:v>482.1319580078125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C1C-4722-8999-0FBEE8F97F29}"/>
            </c:ext>
          </c:extLst>
        </c:ser>
        <c:ser>
          <c:idx val="11"/>
          <c:order val="11"/>
          <c:tx>
            <c:strRef>
              <c:f>Skymaps!$D$689</c:f>
              <c:strCache>
                <c:ptCount val="1"/>
                <c:pt idx="0">
                  <c:v>11000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Skymaps!$E$689:$BC$689</c:f>
              <c:numCache>
                <c:formatCode>General</c:formatCode>
                <c:ptCount val="51"/>
                <c:pt idx="17">
                  <c:v>3320.2138671875</c:v>
                </c:pt>
                <c:pt idx="18">
                  <c:v>3133.26171875</c:v>
                </c:pt>
                <c:pt idx="19">
                  <c:v>2946.3095703125</c:v>
                </c:pt>
                <c:pt idx="20">
                  <c:v>2759.357666015625</c:v>
                </c:pt>
                <c:pt idx="21">
                  <c:v>2591.855224609375</c:v>
                </c:pt>
                <c:pt idx="22">
                  <c:v>2424.35302734375</c:v>
                </c:pt>
                <c:pt idx="23">
                  <c:v>2256.8505859375</c:v>
                </c:pt>
                <c:pt idx="24">
                  <c:v>2089.348388671875</c:v>
                </c:pt>
                <c:pt idx="25">
                  <c:v>1921.8460693359375</c:v>
                </c:pt>
                <c:pt idx="26">
                  <c:v>1791.4544677734375</c:v>
                </c:pt>
                <c:pt idx="27">
                  <c:v>1661.06298828125</c:v>
                </c:pt>
                <c:pt idx="28">
                  <c:v>1530.6715087890625</c:v>
                </c:pt>
                <c:pt idx="29">
                  <c:v>1400.280029296875</c:v>
                </c:pt>
                <c:pt idx="30">
                  <c:v>1269.888427734375</c:v>
                </c:pt>
                <c:pt idx="31">
                  <c:v>1164.9501953125</c:v>
                </c:pt>
                <c:pt idx="32">
                  <c:v>1060.011962890625</c:v>
                </c:pt>
                <c:pt idx="33">
                  <c:v>955.07366943359375</c:v>
                </c:pt>
                <c:pt idx="34">
                  <c:v>850.1353759765625</c:v>
                </c:pt>
                <c:pt idx="35">
                  <c:v>745.1971435546875</c:v>
                </c:pt>
                <c:pt idx="36">
                  <c:v>653.581787109375</c:v>
                </c:pt>
                <c:pt idx="37">
                  <c:v>561.9664306640625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C1C-4722-8999-0FBEE8F97F29}"/>
            </c:ext>
          </c:extLst>
        </c:ser>
        <c:ser>
          <c:idx val="12"/>
          <c:order val="12"/>
          <c:tx>
            <c:strRef>
              <c:f>Skymaps!$D$690</c:f>
              <c:strCache>
                <c:ptCount val="1"/>
                <c:pt idx="0">
                  <c:v>12000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Skymaps!$E$690:$BC$690</c:f>
              <c:numCache>
                <c:formatCode>General</c:formatCode>
                <c:ptCount val="51"/>
                <c:pt idx="18">
                  <c:v>3220.353759765625</c:v>
                </c:pt>
                <c:pt idx="19">
                  <c:v>3035.70458984375</c:v>
                </c:pt>
                <c:pt idx="20">
                  <c:v>2851.05517578125</c:v>
                </c:pt>
                <c:pt idx="21">
                  <c:v>2684.950927734375</c:v>
                </c:pt>
                <c:pt idx="22">
                  <c:v>2518.8466796875</c:v>
                </c:pt>
                <c:pt idx="23">
                  <c:v>2352.742431640625</c:v>
                </c:pt>
                <c:pt idx="24">
                  <c:v>2186.63818359375</c:v>
                </c:pt>
                <c:pt idx="25">
                  <c:v>2020.5340576171875</c:v>
                </c:pt>
                <c:pt idx="26">
                  <c:v>1888.45654296875</c:v>
                </c:pt>
                <c:pt idx="27">
                  <c:v>1756.379150390625</c:v>
                </c:pt>
                <c:pt idx="28">
                  <c:v>1624.3017578125</c:v>
                </c:pt>
                <c:pt idx="29">
                  <c:v>1492.224365234375</c:v>
                </c:pt>
                <c:pt idx="30">
                  <c:v>1360.1468505859375</c:v>
                </c:pt>
                <c:pt idx="31">
                  <c:v>1253.3787841796875</c:v>
                </c:pt>
                <c:pt idx="32">
                  <c:v>1146.610595703125</c:v>
                </c:pt>
                <c:pt idx="33">
                  <c:v>1039.842529296875</c:v>
                </c:pt>
                <c:pt idx="34">
                  <c:v>933.07440185546875</c:v>
                </c:pt>
                <c:pt idx="35">
                  <c:v>826.30633544921875</c:v>
                </c:pt>
                <c:pt idx="36">
                  <c:v>734.05364990234375</c:v>
                </c:pt>
                <c:pt idx="37">
                  <c:v>641.80096435546875</c:v>
                </c:pt>
                <c:pt idx="38">
                  <c:v>549.5482177734375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C1C-4722-8999-0FBEE8F97F29}"/>
            </c:ext>
          </c:extLst>
        </c:ser>
        <c:ser>
          <c:idx val="13"/>
          <c:order val="13"/>
          <c:tx>
            <c:strRef>
              <c:f>Skymaps!$D$691</c:f>
              <c:strCache>
                <c:ptCount val="1"/>
                <c:pt idx="0">
                  <c:v>13000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Skymaps!$E$691:$BC$691</c:f>
              <c:numCache>
                <c:formatCode>General</c:formatCode>
                <c:ptCount val="51"/>
                <c:pt idx="18">
                  <c:v>3307.446044921875</c:v>
                </c:pt>
                <c:pt idx="19">
                  <c:v>3125.099365234375</c:v>
                </c:pt>
                <c:pt idx="20">
                  <c:v>2942.7529296875</c:v>
                </c:pt>
                <c:pt idx="21">
                  <c:v>2778.046630859375</c:v>
                </c:pt>
                <c:pt idx="22">
                  <c:v>2613.340576171875</c:v>
                </c:pt>
                <c:pt idx="23">
                  <c:v>2448.63427734375</c:v>
                </c:pt>
                <c:pt idx="24">
                  <c:v>2283.92822265625</c:v>
                </c:pt>
                <c:pt idx="25">
                  <c:v>2119.221923828125</c:v>
                </c:pt>
                <c:pt idx="26">
                  <c:v>1985.4586181640625</c:v>
                </c:pt>
                <c:pt idx="27">
                  <c:v>1851.6953125</c:v>
                </c:pt>
                <c:pt idx="28">
                  <c:v>1717.9320068359375</c:v>
                </c:pt>
                <c:pt idx="29">
                  <c:v>1584.1685791015625</c:v>
                </c:pt>
                <c:pt idx="30">
                  <c:v>1450.4052734375</c:v>
                </c:pt>
                <c:pt idx="31">
                  <c:v>1341.8072509765625</c:v>
                </c:pt>
                <c:pt idx="32">
                  <c:v>1233.2093505859375</c:v>
                </c:pt>
                <c:pt idx="33">
                  <c:v>1124.6114501953125</c:v>
                </c:pt>
                <c:pt idx="34">
                  <c:v>1016.0134887695313</c:v>
                </c:pt>
                <c:pt idx="35">
                  <c:v>907.41552734375</c:v>
                </c:pt>
                <c:pt idx="36">
                  <c:v>814.52545166015625</c:v>
                </c:pt>
                <c:pt idx="37">
                  <c:v>721.63543701171875</c:v>
                </c:pt>
                <c:pt idx="38">
                  <c:v>628.745361328125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C1C-4722-8999-0FBEE8F97F29}"/>
            </c:ext>
          </c:extLst>
        </c:ser>
        <c:ser>
          <c:idx val="14"/>
          <c:order val="14"/>
          <c:tx>
            <c:strRef>
              <c:f>Skymaps!$D$692</c:f>
              <c:strCache>
                <c:ptCount val="1"/>
                <c:pt idx="0">
                  <c:v>14000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Skymaps!$E$692:$BC$692</c:f>
              <c:numCache>
                <c:formatCode>General</c:formatCode>
                <c:ptCount val="51"/>
                <c:pt idx="19">
                  <c:v>3214.494384765625</c:v>
                </c:pt>
                <c:pt idx="20">
                  <c:v>3034.450439453125</c:v>
                </c:pt>
                <c:pt idx="21">
                  <c:v>2871.142333984375</c:v>
                </c:pt>
                <c:pt idx="22">
                  <c:v>2707.834228515625</c:v>
                </c:pt>
                <c:pt idx="23">
                  <c:v>2544.526123046875</c:v>
                </c:pt>
                <c:pt idx="24">
                  <c:v>2381.218017578125</c:v>
                </c:pt>
                <c:pt idx="25">
                  <c:v>2217.909912109375</c:v>
                </c:pt>
                <c:pt idx="26">
                  <c:v>2082.460693359375</c:v>
                </c:pt>
                <c:pt idx="27">
                  <c:v>1947.011474609375</c:v>
                </c:pt>
                <c:pt idx="28">
                  <c:v>1811.562255859375</c:v>
                </c:pt>
                <c:pt idx="29">
                  <c:v>1676.1129150390625</c:v>
                </c:pt>
                <c:pt idx="30">
                  <c:v>1540.6636962890625</c:v>
                </c:pt>
                <c:pt idx="31">
                  <c:v>1430.23583984375</c:v>
                </c:pt>
                <c:pt idx="32">
                  <c:v>1319.80810546875</c:v>
                </c:pt>
                <c:pt idx="33">
                  <c:v>1209.3802490234375</c:v>
                </c:pt>
                <c:pt idx="34">
                  <c:v>1098.9525146484375</c:v>
                </c:pt>
                <c:pt idx="35">
                  <c:v>988.52471923828125</c:v>
                </c:pt>
                <c:pt idx="36">
                  <c:v>894.997314453125</c:v>
                </c:pt>
                <c:pt idx="37">
                  <c:v>801.46990966796875</c:v>
                </c:pt>
                <c:pt idx="38">
                  <c:v>707.9425048828125</c:v>
                </c:pt>
                <c:pt idx="39">
                  <c:v>614.4150390625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C1C-4722-8999-0FBEE8F97F29}"/>
            </c:ext>
          </c:extLst>
        </c:ser>
        <c:ser>
          <c:idx val="15"/>
          <c:order val="15"/>
          <c:tx>
            <c:strRef>
              <c:f>Skymaps!$D$693</c:f>
              <c:strCache>
                <c:ptCount val="1"/>
                <c:pt idx="0">
                  <c:v>15000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Skymaps!$E$693:$BC$693</c:f>
              <c:numCache>
                <c:formatCode>General</c:formatCode>
                <c:ptCount val="51"/>
                <c:pt idx="19">
                  <c:v>3303.88916015625</c:v>
                </c:pt>
                <c:pt idx="20">
                  <c:v>3126.14794921875</c:v>
                </c:pt>
                <c:pt idx="21">
                  <c:v>2964.238037109375</c:v>
                </c:pt>
                <c:pt idx="22">
                  <c:v>2802.328125</c:v>
                </c:pt>
                <c:pt idx="23">
                  <c:v>2640.41796875</c:v>
                </c:pt>
                <c:pt idx="24">
                  <c:v>2478.508056640625</c:v>
                </c:pt>
                <c:pt idx="25">
                  <c:v>2316.597900390625</c:v>
                </c:pt>
                <c:pt idx="26">
                  <c:v>2179.462890625</c:v>
                </c:pt>
                <c:pt idx="27">
                  <c:v>2042.32763671875</c:v>
                </c:pt>
                <c:pt idx="28">
                  <c:v>1905.1923828125</c:v>
                </c:pt>
                <c:pt idx="29">
                  <c:v>1768.0572509765625</c:v>
                </c:pt>
                <c:pt idx="30">
                  <c:v>1630.9219970703125</c:v>
                </c:pt>
                <c:pt idx="31">
                  <c:v>1518.6644287109375</c:v>
                </c:pt>
                <c:pt idx="32">
                  <c:v>1406.40673828125</c:v>
                </c:pt>
                <c:pt idx="33">
                  <c:v>1294.149169921875</c:v>
                </c:pt>
                <c:pt idx="34">
                  <c:v>1181.8916015625</c:v>
                </c:pt>
                <c:pt idx="35">
                  <c:v>1069.6339111328125</c:v>
                </c:pt>
                <c:pt idx="36">
                  <c:v>975.46917724609375</c:v>
                </c:pt>
                <c:pt idx="37">
                  <c:v>881.30438232421875</c:v>
                </c:pt>
                <c:pt idx="38">
                  <c:v>787.13958740234375</c:v>
                </c:pt>
                <c:pt idx="39">
                  <c:v>692.97479248046875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C1C-4722-8999-0FBEE8F97F29}"/>
            </c:ext>
          </c:extLst>
        </c:ser>
        <c:ser>
          <c:idx val="16"/>
          <c:order val="16"/>
          <c:tx>
            <c:strRef>
              <c:f>Skymaps!$D$694</c:f>
              <c:strCache>
                <c:ptCount val="1"/>
                <c:pt idx="0">
                  <c:v>16000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Skymaps!$E$694:$BC$694</c:f>
              <c:numCache>
                <c:formatCode>General</c:formatCode>
                <c:ptCount val="51"/>
                <c:pt idx="19">
                  <c:v>3388.94580078125</c:v>
                </c:pt>
                <c:pt idx="20">
                  <c:v>3213.42529296875</c:v>
                </c:pt>
                <c:pt idx="21">
                  <c:v>3052.0498046875</c:v>
                </c:pt>
                <c:pt idx="22">
                  <c:v>2890.67431640625</c:v>
                </c:pt>
                <c:pt idx="23">
                  <c:v>2729.298828125</c:v>
                </c:pt>
                <c:pt idx="24">
                  <c:v>2567.92333984375</c:v>
                </c:pt>
                <c:pt idx="25">
                  <c:v>2406.548095703125</c:v>
                </c:pt>
                <c:pt idx="26">
                  <c:v>2268.508056640625</c:v>
                </c:pt>
                <c:pt idx="27">
                  <c:v>2130.46826171875</c:v>
                </c:pt>
                <c:pt idx="28">
                  <c:v>1992.428466796875</c:v>
                </c:pt>
                <c:pt idx="29">
                  <c:v>1854.388671875</c:v>
                </c:pt>
                <c:pt idx="30">
                  <c:v>1716.348876953125</c:v>
                </c:pt>
                <c:pt idx="31">
                  <c:v>1602.5286865234375</c:v>
                </c:pt>
                <c:pt idx="32">
                  <c:v>1488.70849609375</c:v>
                </c:pt>
                <c:pt idx="33">
                  <c:v>1374.8883056640625</c:v>
                </c:pt>
                <c:pt idx="34">
                  <c:v>1261.068115234375</c:v>
                </c:pt>
                <c:pt idx="35">
                  <c:v>1147.2479248046875</c:v>
                </c:pt>
                <c:pt idx="36">
                  <c:v>1052.7952880859375</c:v>
                </c:pt>
                <c:pt idx="37">
                  <c:v>958.34271240234375</c:v>
                </c:pt>
                <c:pt idx="38">
                  <c:v>863.89007568359375</c:v>
                </c:pt>
                <c:pt idx="39">
                  <c:v>769.43743896484375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C1C-4722-8999-0FBEE8F97F29}"/>
            </c:ext>
          </c:extLst>
        </c:ser>
        <c:ser>
          <c:idx val="17"/>
          <c:order val="17"/>
          <c:tx>
            <c:strRef>
              <c:f>Skymaps!$D$695</c:f>
              <c:strCache>
                <c:ptCount val="1"/>
                <c:pt idx="0">
                  <c:v>17000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Skymaps!$E$695:$BC$695</c:f>
              <c:numCache>
                <c:formatCode>General</c:formatCode>
                <c:ptCount val="51"/>
                <c:pt idx="20">
                  <c:v>3300.702392578125</c:v>
                </c:pt>
                <c:pt idx="21">
                  <c:v>3139.861572265625</c:v>
                </c:pt>
                <c:pt idx="22">
                  <c:v>2979.0205078125</c:v>
                </c:pt>
                <c:pt idx="23">
                  <c:v>2818.1796875</c:v>
                </c:pt>
                <c:pt idx="24">
                  <c:v>2657.3388671875</c:v>
                </c:pt>
                <c:pt idx="25">
                  <c:v>2496.498046875</c:v>
                </c:pt>
                <c:pt idx="26">
                  <c:v>2357.553466796875</c:v>
                </c:pt>
                <c:pt idx="27">
                  <c:v>2218.609130859375</c:v>
                </c:pt>
                <c:pt idx="28">
                  <c:v>2079.66455078125</c:v>
                </c:pt>
                <c:pt idx="29">
                  <c:v>1940.7200927734375</c:v>
                </c:pt>
                <c:pt idx="30">
                  <c:v>1801.775634765625</c:v>
                </c:pt>
                <c:pt idx="31">
                  <c:v>1686.3929443359375</c:v>
                </c:pt>
                <c:pt idx="32">
                  <c:v>1571.0101318359375</c:v>
                </c:pt>
                <c:pt idx="33">
                  <c:v>1455.62744140625</c:v>
                </c:pt>
                <c:pt idx="34">
                  <c:v>1340.24462890625</c:v>
                </c:pt>
                <c:pt idx="35">
                  <c:v>1224.8619384765625</c:v>
                </c:pt>
                <c:pt idx="36">
                  <c:v>1130.1214599609375</c:v>
                </c:pt>
                <c:pt idx="37">
                  <c:v>1035.3809814453125</c:v>
                </c:pt>
                <c:pt idx="38">
                  <c:v>940.64056396484375</c:v>
                </c:pt>
                <c:pt idx="39">
                  <c:v>845.90008544921875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C1C-4722-8999-0FBEE8F97F29}"/>
            </c:ext>
          </c:extLst>
        </c:ser>
        <c:ser>
          <c:idx val="18"/>
          <c:order val="18"/>
          <c:tx>
            <c:strRef>
              <c:f>Skymaps!$D$696</c:f>
              <c:strCache>
                <c:ptCount val="1"/>
                <c:pt idx="0">
                  <c:v>18000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Skymaps!$E$696:$BC$696</c:f>
              <c:numCache>
                <c:formatCode>General</c:formatCode>
                <c:ptCount val="51"/>
                <c:pt idx="20">
                  <c:v>3387.9794921875</c:v>
                </c:pt>
                <c:pt idx="21">
                  <c:v>3227.673095703125</c:v>
                </c:pt>
                <c:pt idx="22">
                  <c:v>3067.366943359375</c:v>
                </c:pt>
                <c:pt idx="23">
                  <c:v>2907.060546875</c:v>
                </c:pt>
                <c:pt idx="24">
                  <c:v>2746.75439453125</c:v>
                </c:pt>
                <c:pt idx="25">
                  <c:v>2586.447998046875</c:v>
                </c:pt>
                <c:pt idx="26">
                  <c:v>2446.598876953125</c:v>
                </c:pt>
                <c:pt idx="27">
                  <c:v>2306.749755859375</c:v>
                </c:pt>
                <c:pt idx="28">
                  <c:v>2166.900634765625</c:v>
                </c:pt>
                <c:pt idx="29">
                  <c:v>2027.0516357421875</c:v>
                </c:pt>
                <c:pt idx="30">
                  <c:v>1887.202392578125</c:v>
                </c:pt>
                <c:pt idx="31">
                  <c:v>1770.2572021484375</c:v>
                </c:pt>
                <c:pt idx="32">
                  <c:v>1653.3118896484375</c:v>
                </c:pt>
                <c:pt idx="33">
                  <c:v>1536.3665771484375</c:v>
                </c:pt>
                <c:pt idx="34">
                  <c:v>1419.4212646484375</c:v>
                </c:pt>
                <c:pt idx="35">
                  <c:v>1302.4759521484375</c:v>
                </c:pt>
                <c:pt idx="36">
                  <c:v>1207.4476318359375</c:v>
                </c:pt>
                <c:pt idx="37">
                  <c:v>1112.4193115234375</c:v>
                </c:pt>
                <c:pt idx="38">
                  <c:v>1017.3910522460938</c:v>
                </c:pt>
                <c:pt idx="39">
                  <c:v>922.36273193359375</c:v>
                </c:pt>
                <c:pt idx="40">
                  <c:v>827.33447265625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C1C-4722-8999-0FBEE8F97F29}"/>
            </c:ext>
          </c:extLst>
        </c:ser>
        <c:ser>
          <c:idx val="19"/>
          <c:order val="19"/>
          <c:tx>
            <c:strRef>
              <c:f>Skymaps!$D$697</c:f>
              <c:strCache>
                <c:ptCount val="1"/>
                <c:pt idx="0">
                  <c:v>19000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Skymaps!$E$697:$BC$697</c:f>
              <c:numCache>
                <c:formatCode>General</c:formatCode>
                <c:ptCount val="51"/>
                <c:pt idx="21">
                  <c:v>3315.48486328125</c:v>
                </c:pt>
                <c:pt idx="22">
                  <c:v>3155.713134765625</c:v>
                </c:pt>
                <c:pt idx="23">
                  <c:v>2995.94140625</c:v>
                </c:pt>
                <c:pt idx="24">
                  <c:v>2836.169677734375</c:v>
                </c:pt>
                <c:pt idx="25">
                  <c:v>2676.39794921875</c:v>
                </c:pt>
                <c:pt idx="26">
                  <c:v>2535.644287109375</c:v>
                </c:pt>
                <c:pt idx="27">
                  <c:v>2394.890625</c:v>
                </c:pt>
                <c:pt idx="28">
                  <c:v>2254.13671875</c:v>
                </c:pt>
                <c:pt idx="29">
                  <c:v>2113.383056640625</c:v>
                </c:pt>
                <c:pt idx="30">
                  <c:v>1972.6292724609375</c:v>
                </c:pt>
                <c:pt idx="31">
                  <c:v>1854.121337890625</c:v>
                </c:pt>
                <c:pt idx="32">
                  <c:v>1735.613525390625</c:v>
                </c:pt>
                <c:pt idx="33">
                  <c:v>1617.105712890625</c:v>
                </c:pt>
                <c:pt idx="34">
                  <c:v>1498.5977783203125</c:v>
                </c:pt>
                <c:pt idx="35">
                  <c:v>1380.0899658203125</c:v>
                </c:pt>
                <c:pt idx="36">
                  <c:v>1284.7738037109375</c:v>
                </c:pt>
                <c:pt idx="37">
                  <c:v>1189.4576416015625</c:v>
                </c:pt>
                <c:pt idx="38">
                  <c:v>1094.1414794921875</c:v>
                </c:pt>
                <c:pt idx="39">
                  <c:v>998.82537841796875</c:v>
                </c:pt>
                <c:pt idx="40">
                  <c:v>903.50927734375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C1C-4722-8999-0FBEE8F97F29}"/>
            </c:ext>
          </c:extLst>
        </c:ser>
        <c:ser>
          <c:idx val="20"/>
          <c:order val="20"/>
          <c:tx>
            <c:strRef>
              <c:f>Skymaps!$D$698</c:f>
              <c:strCache>
                <c:ptCount val="1"/>
                <c:pt idx="0">
                  <c:v>20000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Skymaps!$E$698:$BC$698</c:f>
              <c:numCache>
                <c:formatCode>General</c:formatCode>
                <c:ptCount val="51"/>
                <c:pt idx="21">
                  <c:v>3403.296630859375</c:v>
                </c:pt>
                <c:pt idx="22">
                  <c:v>3244.0595703125</c:v>
                </c:pt>
                <c:pt idx="23">
                  <c:v>3084.822265625</c:v>
                </c:pt>
                <c:pt idx="24">
                  <c:v>2925.585205078125</c:v>
                </c:pt>
                <c:pt idx="25">
                  <c:v>2766.347900390625</c:v>
                </c:pt>
                <c:pt idx="26">
                  <c:v>2624.689697265625</c:v>
                </c:pt>
                <c:pt idx="27">
                  <c:v>2483.03125</c:v>
                </c:pt>
                <c:pt idx="28">
                  <c:v>2341.372802734375</c:v>
                </c:pt>
                <c:pt idx="29">
                  <c:v>2199.71435546875</c:v>
                </c:pt>
                <c:pt idx="30">
                  <c:v>2058.05615234375</c:v>
                </c:pt>
                <c:pt idx="31">
                  <c:v>1937.985595703125</c:v>
                </c:pt>
                <c:pt idx="32">
                  <c:v>1817.9151611328125</c:v>
                </c:pt>
                <c:pt idx="33">
                  <c:v>1697.8447265625</c:v>
                </c:pt>
                <c:pt idx="34">
                  <c:v>1577.7742919921875</c:v>
                </c:pt>
                <c:pt idx="35">
                  <c:v>1457.7039794921875</c:v>
                </c:pt>
                <c:pt idx="36">
                  <c:v>1362.0999755859375</c:v>
                </c:pt>
                <c:pt idx="37">
                  <c:v>1266.4959716796875</c:v>
                </c:pt>
                <c:pt idx="38">
                  <c:v>1170.8919677734375</c:v>
                </c:pt>
                <c:pt idx="39">
                  <c:v>1075.2880859375</c:v>
                </c:pt>
                <c:pt idx="40">
                  <c:v>979.68408203125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C1C-4722-8999-0FBEE8F97F29}"/>
            </c:ext>
          </c:extLst>
        </c:ser>
        <c:ser>
          <c:idx val="21"/>
          <c:order val="21"/>
          <c:tx>
            <c:strRef>
              <c:f>Skymaps!$D$699</c:f>
              <c:strCache>
                <c:ptCount val="1"/>
                <c:pt idx="0">
                  <c:v>21000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Skymaps!$E$699:$BC$699</c:f>
              <c:numCache>
                <c:formatCode>General</c:formatCode>
                <c:ptCount val="51"/>
                <c:pt idx="22">
                  <c:v>3316.944580078125</c:v>
                </c:pt>
                <c:pt idx="23">
                  <c:v>3160.277587890625</c:v>
                </c:pt>
                <c:pt idx="24">
                  <c:v>3003.6103515625</c:v>
                </c:pt>
                <c:pt idx="25">
                  <c:v>2846.943115234375</c:v>
                </c:pt>
                <c:pt idx="26">
                  <c:v>2705.716552734375</c:v>
                </c:pt>
                <c:pt idx="27">
                  <c:v>2564.489990234375</c:v>
                </c:pt>
                <c:pt idx="28">
                  <c:v>2423.263427734375</c:v>
                </c:pt>
                <c:pt idx="29">
                  <c:v>2282.03662109375</c:v>
                </c:pt>
                <c:pt idx="30">
                  <c:v>2140.81005859375</c:v>
                </c:pt>
                <c:pt idx="31">
                  <c:v>2019.526611328125</c:v>
                </c:pt>
                <c:pt idx="32">
                  <c:v>1898.2431640625</c:v>
                </c:pt>
                <c:pt idx="33">
                  <c:v>1776.959716796875</c:v>
                </c:pt>
                <c:pt idx="34">
                  <c:v>1655.6761474609375</c:v>
                </c:pt>
                <c:pt idx="35">
                  <c:v>1534.3927001953125</c:v>
                </c:pt>
                <c:pt idx="36">
                  <c:v>1437.843017578125</c:v>
                </c:pt>
                <c:pt idx="37">
                  <c:v>1341.293212890625</c:v>
                </c:pt>
                <c:pt idx="38">
                  <c:v>1244.7435302734375</c:v>
                </c:pt>
                <c:pt idx="39">
                  <c:v>1148.19384765625</c:v>
                </c:pt>
                <c:pt idx="40">
                  <c:v>1051.64404296875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C1C-4722-8999-0FBEE8F97F29}"/>
            </c:ext>
          </c:extLst>
        </c:ser>
        <c:ser>
          <c:idx val="22"/>
          <c:order val="22"/>
          <c:tx>
            <c:strRef>
              <c:f>Skymaps!$D$700</c:f>
              <c:strCache>
                <c:ptCount val="1"/>
                <c:pt idx="0">
                  <c:v>22000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Skymaps!$E$700:$BC$700</c:f>
              <c:numCache>
                <c:formatCode>General</c:formatCode>
                <c:ptCount val="51"/>
                <c:pt idx="22">
                  <c:v>3389.829833984375</c:v>
                </c:pt>
                <c:pt idx="23">
                  <c:v>3235.732666015625</c:v>
                </c:pt>
                <c:pt idx="24">
                  <c:v>3081.635498046875</c:v>
                </c:pt>
                <c:pt idx="25">
                  <c:v>2927.538330078125</c:v>
                </c:pt>
                <c:pt idx="26">
                  <c:v>2786.743408203125</c:v>
                </c:pt>
                <c:pt idx="27">
                  <c:v>2645.94873046875</c:v>
                </c:pt>
                <c:pt idx="28">
                  <c:v>2505.15380859375</c:v>
                </c:pt>
                <c:pt idx="29">
                  <c:v>2364.35888671875</c:v>
                </c:pt>
                <c:pt idx="30">
                  <c:v>2223.56396484375</c:v>
                </c:pt>
                <c:pt idx="31">
                  <c:v>2101.067626953125</c:v>
                </c:pt>
                <c:pt idx="32">
                  <c:v>1978.571044921875</c:v>
                </c:pt>
                <c:pt idx="33">
                  <c:v>1856.0745849609375</c:v>
                </c:pt>
                <c:pt idx="34">
                  <c:v>1733.5780029296875</c:v>
                </c:pt>
                <c:pt idx="35">
                  <c:v>1611.08154296875</c:v>
                </c:pt>
                <c:pt idx="36">
                  <c:v>1513.5860595703125</c:v>
                </c:pt>
                <c:pt idx="37">
                  <c:v>1416.090576171875</c:v>
                </c:pt>
                <c:pt idx="38">
                  <c:v>1318.5950927734375</c:v>
                </c:pt>
                <c:pt idx="39">
                  <c:v>1221.099609375</c:v>
                </c:pt>
                <c:pt idx="40">
                  <c:v>1123.60400390625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C1C-4722-8999-0FBEE8F97F29}"/>
            </c:ext>
          </c:extLst>
        </c:ser>
        <c:ser>
          <c:idx val="23"/>
          <c:order val="23"/>
          <c:tx>
            <c:strRef>
              <c:f>Skymaps!$D$701</c:f>
              <c:strCache>
                <c:ptCount val="1"/>
                <c:pt idx="0">
                  <c:v>23000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Skymaps!$E$701:$BC$701</c:f>
              <c:numCache>
                <c:formatCode>General</c:formatCode>
                <c:ptCount val="51"/>
                <c:pt idx="23">
                  <c:v>3311.18798828125</c:v>
                </c:pt>
                <c:pt idx="24">
                  <c:v>3159.66064453125</c:v>
                </c:pt>
                <c:pt idx="25">
                  <c:v>3008.133544921875</c:v>
                </c:pt>
                <c:pt idx="26">
                  <c:v>2867.7705078125</c:v>
                </c:pt>
                <c:pt idx="27">
                  <c:v>2727.4072265625</c:v>
                </c:pt>
                <c:pt idx="28">
                  <c:v>2587.044189453125</c:v>
                </c:pt>
                <c:pt idx="29">
                  <c:v>2446.68115234375</c:v>
                </c:pt>
                <c:pt idx="30">
                  <c:v>2306.318115234375</c:v>
                </c:pt>
                <c:pt idx="31">
                  <c:v>2182.6083984375</c:v>
                </c:pt>
                <c:pt idx="32">
                  <c:v>2058.89892578125</c:v>
                </c:pt>
                <c:pt idx="33">
                  <c:v>1935.189453125</c:v>
                </c:pt>
                <c:pt idx="34">
                  <c:v>1811.4798583984375</c:v>
                </c:pt>
                <c:pt idx="35">
                  <c:v>1687.7703857421875</c:v>
                </c:pt>
                <c:pt idx="36">
                  <c:v>1589.3291015625</c:v>
                </c:pt>
                <c:pt idx="37">
                  <c:v>1490.8878173828125</c:v>
                </c:pt>
                <c:pt idx="38">
                  <c:v>1392.446533203125</c:v>
                </c:pt>
                <c:pt idx="39">
                  <c:v>1294.00537109375</c:v>
                </c:pt>
                <c:pt idx="40">
                  <c:v>1195.5640869140625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C1C-4722-8999-0FBEE8F97F29}"/>
            </c:ext>
          </c:extLst>
        </c:ser>
        <c:ser>
          <c:idx val="24"/>
          <c:order val="24"/>
          <c:tx>
            <c:strRef>
              <c:f>Skymaps!$D$702</c:f>
              <c:strCache>
                <c:ptCount val="1"/>
                <c:pt idx="0">
                  <c:v>24000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Skymaps!$E$702:$BC$702</c:f>
              <c:numCache>
                <c:formatCode>General</c:formatCode>
                <c:ptCount val="51"/>
                <c:pt idx="23">
                  <c:v>3386.64306640625</c:v>
                </c:pt>
                <c:pt idx="24">
                  <c:v>3237.685791015625</c:v>
                </c:pt>
                <c:pt idx="25">
                  <c:v>3088.728515625</c:v>
                </c:pt>
                <c:pt idx="26">
                  <c:v>2948.79736328125</c:v>
                </c:pt>
                <c:pt idx="27">
                  <c:v>2808.865966796875</c:v>
                </c:pt>
                <c:pt idx="28">
                  <c:v>2668.934814453125</c:v>
                </c:pt>
                <c:pt idx="29">
                  <c:v>2529.00341796875</c:v>
                </c:pt>
                <c:pt idx="30">
                  <c:v>2389.072021484375</c:v>
                </c:pt>
                <c:pt idx="31">
                  <c:v>2264.1494140625</c:v>
                </c:pt>
                <c:pt idx="32">
                  <c:v>2139.226806640625</c:v>
                </c:pt>
                <c:pt idx="33">
                  <c:v>2014.3043212890625</c:v>
                </c:pt>
                <c:pt idx="34">
                  <c:v>1889.3817138671875</c:v>
                </c:pt>
                <c:pt idx="35">
                  <c:v>1764.4591064453125</c:v>
                </c:pt>
                <c:pt idx="36">
                  <c:v>1665.0721435546875</c:v>
                </c:pt>
                <c:pt idx="37">
                  <c:v>1565.68505859375</c:v>
                </c:pt>
                <c:pt idx="38">
                  <c:v>1466.298095703125</c:v>
                </c:pt>
                <c:pt idx="39">
                  <c:v>1366.9111328125</c:v>
                </c:pt>
                <c:pt idx="40">
                  <c:v>1267.5240478515625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C1C-4722-8999-0FBEE8F97F29}"/>
            </c:ext>
          </c:extLst>
        </c:ser>
        <c:ser>
          <c:idx val="25"/>
          <c:order val="25"/>
          <c:tx>
            <c:strRef>
              <c:f>Skymaps!$D$703</c:f>
              <c:strCache>
                <c:ptCount val="1"/>
                <c:pt idx="0">
                  <c:v>25000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Skymaps!$E$703:$BC$703</c:f>
              <c:numCache>
                <c:formatCode>General</c:formatCode>
                <c:ptCount val="51"/>
                <c:pt idx="24">
                  <c:v>3315.7109375</c:v>
                </c:pt>
                <c:pt idx="25">
                  <c:v>3169.32373046875</c:v>
                </c:pt>
                <c:pt idx="26">
                  <c:v>3029.82421875</c:v>
                </c:pt>
                <c:pt idx="27">
                  <c:v>2890.32470703125</c:v>
                </c:pt>
                <c:pt idx="28">
                  <c:v>2750.8251953125</c:v>
                </c:pt>
                <c:pt idx="29">
                  <c:v>2611.32568359375</c:v>
                </c:pt>
                <c:pt idx="30">
                  <c:v>2471.826171875</c:v>
                </c:pt>
                <c:pt idx="31">
                  <c:v>2345.6904296875</c:v>
                </c:pt>
                <c:pt idx="32">
                  <c:v>2219.5546875</c:v>
                </c:pt>
                <c:pt idx="33">
                  <c:v>2093.419189453125</c:v>
                </c:pt>
                <c:pt idx="34">
                  <c:v>1967.2835693359375</c:v>
                </c:pt>
                <c:pt idx="35">
                  <c:v>1841.14794921875</c:v>
                </c:pt>
                <c:pt idx="36">
                  <c:v>1740.815185546875</c:v>
                </c:pt>
                <c:pt idx="37">
                  <c:v>1640.482421875</c:v>
                </c:pt>
                <c:pt idx="38">
                  <c:v>1540.149658203125</c:v>
                </c:pt>
                <c:pt idx="39">
                  <c:v>1439.81689453125</c:v>
                </c:pt>
                <c:pt idx="40">
                  <c:v>1339.4840087890625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C1C-4722-8999-0FBEE8F97F29}"/>
            </c:ext>
          </c:extLst>
        </c:ser>
        <c:ser>
          <c:idx val="26"/>
          <c:order val="26"/>
          <c:tx>
            <c:strRef>
              <c:f>Skymaps!$D$704</c:f>
              <c:strCache>
                <c:ptCount val="1"/>
                <c:pt idx="0">
                  <c:v>26000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Skymaps!$E$704:$BC$704</c:f>
              <c:numCache>
                <c:formatCode>General</c:formatCode>
                <c:ptCount val="51"/>
                <c:pt idx="24">
                  <c:v>3373.3818359375</c:v>
                </c:pt>
                <c:pt idx="25">
                  <c:v>3229.770263671875</c:v>
                </c:pt>
                <c:pt idx="26">
                  <c:v>3092.779052734375</c:v>
                </c:pt>
                <c:pt idx="27">
                  <c:v>2955.787841796875</c:v>
                </c:pt>
                <c:pt idx="28">
                  <c:v>2818.796630859375</c:v>
                </c:pt>
                <c:pt idx="29">
                  <c:v>2681.805419921875</c:v>
                </c:pt>
                <c:pt idx="30">
                  <c:v>2544.81396484375</c:v>
                </c:pt>
                <c:pt idx="31">
                  <c:v>2420.199951171875</c:v>
                </c:pt>
                <c:pt idx="32">
                  <c:v>2295.585693359375</c:v>
                </c:pt>
                <c:pt idx="33">
                  <c:v>2170.971435546875</c:v>
                </c:pt>
                <c:pt idx="34">
                  <c:v>2046.3572998046875</c:v>
                </c:pt>
                <c:pt idx="35">
                  <c:v>1921.7431640625</c:v>
                </c:pt>
                <c:pt idx="36">
                  <c:v>1820.6085205078125</c:v>
                </c:pt>
                <c:pt idx="37">
                  <c:v>1719.473876953125</c:v>
                </c:pt>
                <c:pt idx="38">
                  <c:v>1618.3392333984375</c:v>
                </c:pt>
                <c:pt idx="39">
                  <c:v>1517.2047119140625</c:v>
                </c:pt>
                <c:pt idx="40">
                  <c:v>1416.070068359375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C1C-4722-8999-0FBEE8F97F29}"/>
            </c:ext>
          </c:extLst>
        </c:ser>
        <c:ser>
          <c:idx val="27"/>
          <c:order val="27"/>
          <c:tx>
            <c:strRef>
              <c:f>Skymaps!$D$705</c:f>
              <c:strCache>
                <c:ptCount val="1"/>
                <c:pt idx="0">
                  <c:v>27000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Skymaps!$E$705:$BC$705</c:f>
              <c:numCache>
                <c:formatCode>General</c:formatCode>
                <c:ptCount val="51"/>
                <c:pt idx="25">
                  <c:v>3290.216796875</c:v>
                </c:pt>
                <c:pt idx="26">
                  <c:v>3155.73388671875</c:v>
                </c:pt>
                <c:pt idx="27">
                  <c:v>3021.2509765625</c:v>
                </c:pt>
                <c:pt idx="28">
                  <c:v>2886.76806640625</c:v>
                </c:pt>
                <c:pt idx="29">
                  <c:v>2752.28515625</c:v>
                </c:pt>
                <c:pt idx="30">
                  <c:v>2617.802001953125</c:v>
                </c:pt>
                <c:pt idx="31">
                  <c:v>2494.70947265625</c:v>
                </c:pt>
                <c:pt idx="32">
                  <c:v>2371.61669921875</c:v>
                </c:pt>
                <c:pt idx="33">
                  <c:v>2248.52392578125</c:v>
                </c:pt>
                <c:pt idx="34">
                  <c:v>2125.43115234375</c:v>
                </c:pt>
                <c:pt idx="35">
                  <c:v>2002.33837890625</c:v>
                </c:pt>
                <c:pt idx="36">
                  <c:v>1900.40185546875</c:v>
                </c:pt>
                <c:pt idx="37">
                  <c:v>1798.4654541015625</c:v>
                </c:pt>
                <c:pt idx="38">
                  <c:v>1696.5289306640625</c:v>
                </c:pt>
                <c:pt idx="39">
                  <c:v>1594.592529296875</c:v>
                </c:pt>
                <c:pt idx="40">
                  <c:v>1492.656005859375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C1C-4722-8999-0FBEE8F97F29}"/>
            </c:ext>
          </c:extLst>
        </c:ser>
        <c:ser>
          <c:idx val="28"/>
          <c:order val="28"/>
          <c:tx>
            <c:strRef>
              <c:f>Skymaps!$D$706</c:f>
              <c:strCache>
                <c:ptCount val="1"/>
                <c:pt idx="0">
                  <c:v>28000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Skymaps!$E$706:$BC$706</c:f>
              <c:numCache>
                <c:formatCode>General</c:formatCode>
                <c:ptCount val="51"/>
                <c:pt idx="25">
                  <c:v>3350.6630859375</c:v>
                </c:pt>
                <c:pt idx="26">
                  <c:v>3218.6884765625</c:v>
                </c:pt>
                <c:pt idx="27">
                  <c:v>3086.7138671875</c:v>
                </c:pt>
                <c:pt idx="28">
                  <c:v>2954.7392578125</c:v>
                </c:pt>
                <c:pt idx="29">
                  <c:v>2822.7646484375</c:v>
                </c:pt>
                <c:pt idx="30">
                  <c:v>2690.7900390625</c:v>
                </c:pt>
                <c:pt idx="31">
                  <c:v>2569.21875</c:v>
                </c:pt>
                <c:pt idx="32">
                  <c:v>2447.6474609375</c:v>
                </c:pt>
                <c:pt idx="33">
                  <c:v>2326.076171875</c:v>
                </c:pt>
                <c:pt idx="34">
                  <c:v>2204.5048828125</c:v>
                </c:pt>
                <c:pt idx="35">
                  <c:v>2082.93359375</c:v>
                </c:pt>
                <c:pt idx="36">
                  <c:v>1980.1951904296875</c:v>
                </c:pt>
                <c:pt idx="37">
                  <c:v>1877.4569091796875</c:v>
                </c:pt>
                <c:pt idx="38">
                  <c:v>1774.7186279296875</c:v>
                </c:pt>
                <c:pt idx="39">
                  <c:v>1671.9803466796875</c:v>
                </c:pt>
                <c:pt idx="40">
                  <c:v>1569.2420654296875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C1C-4722-8999-0FBEE8F97F29}"/>
            </c:ext>
          </c:extLst>
        </c:ser>
        <c:ser>
          <c:idx val="29"/>
          <c:order val="29"/>
          <c:tx>
            <c:strRef>
              <c:f>Skymaps!$D$707</c:f>
              <c:strCache>
                <c:ptCount val="1"/>
                <c:pt idx="0">
                  <c:v>29000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Skymaps!$E$707:$BC$707</c:f>
              <c:numCache>
                <c:formatCode>General</c:formatCode>
                <c:ptCount val="51"/>
                <c:pt idx="26">
                  <c:v>3281.643310546875</c:v>
                </c:pt>
                <c:pt idx="27">
                  <c:v>3152.177001953125</c:v>
                </c:pt>
                <c:pt idx="28">
                  <c:v>3022.710693359375</c:v>
                </c:pt>
                <c:pt idx="29">
                  <c:v>2893.244384765625</c:v>
                </c:pt>
                <c:pt idx="30">
                  <c:v>2763.778076171875</c:v>
                </c:pt>
                <c:pt idx="31">
                  <c:v>2643.728271484375</c:v>
                </c:pt>
                <c:pt idx="32">
                  <c:v>2523.678466796875</c:v>
                </c:pt>
                <c:pt idx="33">
                  <c:v>2403.62841796875</c:v>
                </c:pt>
                <c:pt idx="34">
                  <c:v>2283.57861328125</c:v>
                </c:pt>
                <c:pt idx="35">
                  <c:v>2163.52880859375</c:v>
                </c:pt>
                <c:pt idx="36">
                  <c:v>2059.988525390625</c:v>
                </c:pt>
                <c:pt idx="37">
                  <c:v>1956.448486328125</c:v>
                </c:pt>
                <c:pt idx="38">
                  <c:v>1852.9083251953125</c:v>
                </c:pt>
                <c:pt idx="39">
                  <c:v>1749.3681640625</c:v>
                </c:pt>
                <c:pt idx="40">
                  <c:v>1645.8280029296875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C1C-4722-8999-0FBEE8F97F29}"/>
            </c:ext>
          </c:extLst>
        </c:ser>
        <c:ser>
          <c:idx val="30"/>
          <c:order val="30"/>
          <c:tx>
            <c:strRef>
              <c:f>Skymaps!$D$708</c:f>
              <c:strCache>
                <c:ptCount val="1"/>
                <c:pt idx="0">
                  <c:v>30000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Skymaps!$E$708:$BC$708</c:f>
              <c:numCache>
                <c:formatCode>General</c:formatCode>
                <c:ptCount val="51"/>
                <c:pt idx="27">
                  <c:v>3217.64013671875</c:v>
                </c:pt>
                <c:pt idx="28">
                  <c:v>3090.68212890625</c:v>
                </c:pt>
                <c:pt idx="29">
                  <c:v>2963.72412109375</c:v>
                </c:pt>
                <c:pt idx="30">
                  <c:v>2836.76611328125</c:v>
                </c:pt>
                <c:pt idx="31">
                  <c:v>2718.23779296875</c:v>
                </c:pt>
                <c:pt idx="32">
                  <c:v>2599.709228515625</c:v>
                </c:pt>
                <c:pt idx="33">
                  <c:v>2481.180908203125</c:v>
                </c:pt>
                <c:pt idx="34">
                  <c:v>2362.65234375</c:v>
                </c:pt>
                <c:pt idx="35">
                  <c:v>2244.1240234375</c:v>
                </c:pt>
                <c:pt idx="36">
                  <c:v>2139.781982421875</c:v>
                </c:pt>
                <c:pt idx="37">
                  <c:v>2035.43994140625</c:v>
                </c:pt>
                <c:pt idx="38">
                  <c:v>1931.0980224609375</c:v>
                </c:pt>
                <c:pt idx="39">
                  <c:v>1826.7559814453125</c:v>
                </c:pt>
                <c:pt idx="40">
                  <c:v>1722.4140625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C1C-4722-8999-0FBEE8F97F29}"/>
            </c:ext>
          </c:extLst>
        </c:ser>
        <c:ser>
          <c:idx val="31"/>
          <c:order val="31"/>
          <c:tx>
            <c:strRef>
              <c:f>Skymaps!$D$709</c:f>
              <c:strCache>
                <c:ptCount val="1"/>
                <c:pt idx="0">
                  <c:v>31000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Skymaps!$E$709:$BC$709</c:f>
              <c:numCache>
                <c:formatCode>General</c:formatCode>
                <c:ptCount val="51"/>
                <c:pt idx="27">
                  <c:v>3261.49462890625</c:v>
                </c:pt>
                <c:pt idx="28">
                  <c:v>3137.702880859375</c:v>
                </c:pt>
                <c:pt idx="29">
                  <c:v>3013.9111328125</c:v>
                </c:pt>
                <c:pt idx="30">
                  <c:v>2890.119384765625</c:v>
                </c:pt>
                <c:pt idx="31">
                  <c:v>2774.2841796875</c:v>
                </c:pt>
                <c:pt idx="32">
                  <c:v>2658.44921875</c:v>
                </c:pt>
                <c:pt idx="33">
                  <c:v>2542.614013671875</c:v>
                </c:pt>
                <c:pt idx="34">
                  <c:v>2426.779052734375</c:v>
                </c:pt>
                <c:pt idx="35">
                  <c:v>2310.94384765625</c:v>
                </c:pt>
                <c:pt idx="36">
                  <c:v>2208.041015625</c:v>
                </c:pt>
                <c:pt idx="37">
                  <c:v>2105.138427734375</c:v>
                </c:pt>
                <c:pt idx="38">
                  <c:v>2002.235595703125</c:v>
                </c:pt>
                <c:pt idx="39">
                  <c:v>1899.332763671875</c:v>
                </c:pt>
                <c:pt idx="40">
                  <c:v>1796.4300537109375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FC1C-4722-8999-0FBEE8F97F29}"/>
            </c:ext>
          </c:extLst>
        </c:ser>
        <c:ser>
          <c:idx val="32"/>
          <c:order val="32"/>
          <c:tx>
            <c:strRef>
              <c:f>Skymaps!$D$710</c:f>
              <c:strCache>
                <c:ptCount val="1"/>
                <c:pt idx="0">
                  <c:v>32000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Skymaps!$E$710:$BC$710</c:f>
              <c:numCache>
                <c:formatCode>General</c:formatCode>
                <c:ptCount val="51"/>
                <c:pt idx="28">
                  <c:v>3184.7236328125</c:v>
                </c:pt>
                <c:pt idx="29">
                  <c:v>3064.097900390625</c:v>
                </c:pt>
                <c:pt idx="30">
                  <c:v>2943.472412109375</c:v>
                </c:pt>
                <c:pt idx="31">
                  <c:v>2830.330810546875</c:v>
                </c:pt>
                <c:pt idx="32">
                  <c:v>2717.18896484375</c:v>
                </c:pt>
                <c:pt idx="33">
                  <c:v>2604.04736328125</c:v>
                </c:pt>
                <c:pt idx="34">
                  <c:v>2490.905517578125</c:v>
                </c:pt>
                <c:pt idx="35">
                  <c:v>2377.763916015625</c:v>
                </c:pt>
                <c:pt idx="36">
                  <c:v>2276.30029296875</c:v>
                </c:pt>
                <c:pt idx="37">
                  <c:v>2174.836669921875</c:v>
                </c:pt>
                <c:pt idx="38">
                  <c:v>2073.373291015625</c:v>
                </c:pt>
                <c:pt idx="39">
                  <c:v>1971.90966796875</c:v>
                </c:pt>
                <c:pt idx="40">
                  <c:v>1870.446044921875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FC1C-4722-8999-0FBEE8F97F29}"/>
            </c:ext>
          </c:extLst>
        </c:ser>
        <c:ser>
          <c:idx val="33"/>
          <c:order val="33"/>
          <c:tx>
            <c:strRef>
              <c:f>Skymaps!$D$711</c:f>
              <c:strCache>
                <c:ptCount val="1"/>
                <c:pt idx="0">
                  <c:v>33000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Skymaps!$E$711:$BC$711</c:f>
              <c:numCache>
                <c:formatCode>General</c:formatCode>
                <c:ptCount val="51"/>
                <c:pt idx="29">
                  <c:v>3114.284912109375</c:v>
                </c:pt>
                <c:pt idx="30">
                  <c:v>2996.82568359375</c:v>
                </c:pt>
                <c:pt idx="31">
                  <c:v>2886.377197265625</c:v>
                </c:pt>
                <c:pt idx="32">
                  <c:v>2775.928955078125</c:v>
                </c:pt>
                <c:pt idx="33">
                  <c:v>2665.480712890625</c:v>
                </c:pt>
                <c:pt idx="34">
                  <c:v>2555.0322265625</c:v>
                </c:pt>
                <c:pt idx="35">
                  <c:v>2444.583984375</c:v>
                </c:pt>
                <c:pt idx="36">
                  <c:v>2344.5595703125</c:v>
                </c:pt>
                <c:pt idx="37">
                  <c:v>2244.53515625</c:v>
                </c:pt>
                <c:pt idx="38">
                  <c:v>2144.5107421875</c:v>
                </c:pt>
                <c:pt idx="39">
                  <c:v>2044.4864501953125</c:v>
                </c:pt>
                <c:pt idx="40">
                  <c:v>1944.4620361328125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FC1C-4722-8999-0FBEE8F97F29}"/>
            </c:ext>
          </c:extLst>
        </c:ser>
        <c:ser>
          <c:idx val="34"/>
          <c:order val="34"/>
          <c:tx>
            <c:strRef>
              <c:f>Skymaps!$D$712</c:f>
              <c:strCache>
                <c:ptCount val="1"/>
                <c:pt idx="0">
                  <c:v>34000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Skymaps!$E$712:$BC$712</c:f>
              <c:numCache>
                <c:formatCode>General</c:formatCode>
                <c:ptCount val="51"/>
                <c:pt idx="30">
                  <c:v>3050.1787109375</c:v>
                </c:pt>
                <c:pt idx="31">
                  <c:v>2942.423828125</c:v>
                </c:pt>
                <c:pt idx="32">
                  <c:v>2834.6689453125</c:v>
                </c:pt>
                <c:pt idx="33">
                  <c:v>2726.913818359375</c:v>
                </c:pt>
                <c:pt idx="34">
                  <c:v>2619.158935546875</c:v>
                </c:pt>
                <c:pt idx="35">
                  <c:v>2511.40380859375</c:v>
                </c:pt>
                <c:pt idx="36">
                  <c:v>2412.81884765625</c:v>
                </c:pt>
                <c:pt idx="37">
                  <c:v>2314.233642578125</c:v>
                </c:pt>
                <c:pt idx="38">
                  <c:v>2215.6484375</c:v>
                </c:pt>
                <c:pt idx="39">
                  <c:v>2117.063232421875</c:v>
                </c:pt>
                <c:pt idx="40">
                  <c:v>2018.47802734375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FC1C-4722-8999-0FBEE8F97F29}"/>
            </c:ext>
          </c:extLst>
        </c:ser>
        <c:ser>
          <c:idx val="35"/>
          <c:order val="35"/>
          <c:tx>
            <c:strRef>
              <c:f>Skymaps!$D$713</c:f>
              <c:strCache>
                <c:ptCount val="1"/>
                <c:pt idx="0">
                  <c:v>35000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Skymaps!$E$713:$BC$713</c:f>
              <c:numCache>
                <c:formatCode>General</c:formatCode>
                <c:ptCount val="51"/>
                <c:pt idx="31">
                  <c:v>2998.470458984375</c:v>
                </c:pt>
                <c:pt idx="32">
                  <c:v>2893.40869140625</c:v>
                </c:pt>
                <c:pt idx="33">
                  <c:v>2788.34716796875</c:v>
                </c:pt>
                <c:pt idx="34">
                  <c:v>2683.285400390625</c:v>
                </c:pt>
                <c:pt idx="35">
                  <c:v>2578.223876953125</c:v>
                </c:pt>
                <c:pt idx="36">
                  <c:v>2481.077880859375</c:v>
                </c:pt>
                <c:pt idx="37">
                  <c:v>2383.931884765625</c:v>
                </c:pt>
                <c:pt idx="38">
                  <c:v>2286.785888671875</c:v>
                </c:pt>
                <c:pt idx="39">
                  <c:v>2189.639892578125</c:v>
                </c:pt>
                <c:pt idx="40">
                  <c:v>2092.494140625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FC1C-4722-8999-0FBEE8F97F29}"/>
            </c:ext>
          </c:extLst>
        </c:ser>
        <c:ser>
          <c:idx val="36"/>
          <c:order val="36"/>
          <c:tx>
            <c:strRef>
              <c:f>Skymaps!$D$714</c:f>
              <c:strCache>
                <c:ptCount val="1"/>
                <c:pt idx="0">
                  <c:v>36000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Skymaps!$E$714:$BC$714</c:f>
              <c:numCache>
                <c:formatCode>General</c:formatCode>
                <c:ptCount val="51"/>
                <c:pt idx="33">
                  <c:v>2701.6044921875</c:v>
                </c:pt>
                <c:pt idx="34">
                  <c:v>2600.59326171875</c:v>
                </c:pt>
                <c:pt idx="35">
                  <c:v>2499.58203125</c:v>
                </c:pt>
                <c:pt idx="36">
                  <c:v>2406.198486328125</c:v>
                </c:pt>
                <c:pt idx="37">
                  <c:v>2312.81494140625</c:v>
                </c:pt>
                <c:pt idx="38">
                  <c:v>2219.431396484375</c:v>
                </c:pt>
                <c:pt idx="39">
                  <c:v>2126.0478515625</c:v>
                </c:pt>
                <c:pt idx="40">
                  <c:v>2032.6644287109375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FC1C-4722-8999-0FBEE8F97F29}"/>
            </c:ext>
          </c:extLst>
        </c:ser>
        <c:ser>
          <c:idx val="37"/>
          <c:order val="37"/>
          <c:tx>
            <c:strRef>
              <c:f>Skymaps!$D$715</c:f>
              <c:strCache>
                <c:ptCount val="1"/>
                <c:pt idx="0">
                  <c:v>37000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Skymaps!$E$715:$BC$715</c:f>
              <c:numCache>
                <c:formatCode>General</c:formatCode>
                <c:ptCount val="51"/>
                <c:pt idx="35">
                  <c:v>2420.93994140625</c:v>
                </c:pt>
                <c:pt idx="36">
                  <c:v>2331.31884765625</c:v>
                </c:pt>
                <c:pt idx="37">
                  <c:v>2241.69775390625</c:v>
                </c:pt>
                <c:pt idx="38">
                  <c:v>2152.076904296875</c:v>
                </c:pt>
                <c:pt idx="39">
                  <c:v>2062.455810546875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FC1C-4722-8999-0FBEE8F97F29}"/>
            </c:ext>
          </c:extLst>
        </c:ser>
        <c:ser>
          <c:idx val="38"/>
          <c:order val="38"/>
          <c:tx>
            <c:strRef>
              <c:f>Skymaps!$D$716</c:f>
              <c:strCache>
                <c:ptCount val="1"/>
                <c:pt idx="0">
                  <c:v>38000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Skymaps!$E$716:$BC$716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6-FC1C-4722-8999-0FBEE8F97F29}"/>
            </c:ext>
          </c:extLst>
        </c:ser>
        <c:ser>
          <c:idx val="39"/>
          <c:order val="39"/>
          <c:tx>
            <c:strRef>
              <c:f>Skymaps!$D$717</c:f>
              <c:strCache>
                <c:ptCount val="1"/>
                <c:pt idx="0">
                  <c:v>39000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Skymaps!$E$717:$BC$717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FC1C-4722-8999-0FBEE8F97F29}"/>
            </c:ext>
          </c:extLst>
        </c:ser>
        <c:ser>
          <c:idx val="40"/>
          <c:order val="40"/>
          <c:tx>
            <c:strRef>
              <c:f>Skymaps!$D$718</c:f>
              <c:strCache>
                <c:ptCount val="1"/>
                <c:pt idx="0">
                  <c:v>40000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Skymaps!$E$718:$BC$718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FC1C-4722-8999-0FBEE8F97F29}"/>
            </c:ext>
          </c:extLst>
        </c:ser>
        <c:ser>
          <c:idx val="41"/>
          <c:order val="41"/>
          <c:tx>
            <c:strRef>
              <c:f>Skymaps!$D$719</c:f>
              <c:strCache>
                <c:ptCount val="1"/>
                <c:pt idx="0">
                  <c:v>41000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Skymaps!$E$719:$BC$719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FC1C-4722-8999-0FBEE8F97F29}"/>
            </c:ext>
          </c:extLst>
        </c:ser>
        <c:ser>
          <c:idx val="42"/>
          <c:order val="42"/>
          <c:tx>
            <c:strRef>
              <c:f>Skymaps!$D$720</c:f>
              <c:strCache>
                <c:ptCount val="1"/>
                <c:pt idx="0">
                  <c:v>42000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Skymaps!$E$720:$BC$720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FC1C-4722-8999-0FBEE8F97F29}"/>
            </c:ext>
          </c:extLst>
        </c:ser>
        <c:ser>
          <c:idx val="43"/>
          <c:order val="43"/>
          <c:tx>
            <c:strRef>
              <c:f>Skymaps!$D$721</c:f>
              <c:strCache>
                <c:ptCount val="1"/>
                <c:pt idx="0">
                  <c:v>43000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Skymaps!$E$721:$BC$721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FC1C-4722-8999-0FBEE8F97F29}"/>
            </c:ext>
          </c:extLst>
        </c:ser>
        <c:ser>
          <c:idx val="44"/>
          <c:order val="44"/>
          <c:tx>
            <c:strRef>
              <c:f>Skymaps!$D$722</c:f>
              <c:strCache>
                <c:ptCount val="1"/>
                <c:pt idx="0">
                  <c:v>44000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Skymaps!$E$722:$BC$722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FC1C-4722-8999-0FBEE8F97F29}"/>
            </c:ext>
          </c:extLst>
        </c:ser>
        <c:ser>
          <c:idx val="45"/>
          <c:order val="45"/>
          <c:tx>
            <c:strRef>
              <c:f>Skymaps!$D$723</c:f>
              <c:strCache>
                <c:ptCount val="1"/>
                <c:pt idx="0">
                  <c:v>45000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Skymaps!$E$723:$BC$723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FC1C-4722-8999-0FBEE8F97F29}"/>
            </c:ext>
          </c:extLst>
        </c:ser>
        <c:ser>
          <c:idx val="46"/>
          <c:order val="46"/>
          <c:tx>
            <c:strRef>
              <c:f>Skymaps!$D$724</c:f>
              <c:strCache>
                <c:ptCount val="1"/>
                <c:pt idx="0">
                  <c:v>46000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Skymaps!$E$724:$BC$724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FC1C-4722-8999-0FBEE8F97F29}"/>
            </c:ext>
          </c:extLst>
        </c:ser>
        <c:ser>
          <c:idx val="47"/>
          <c:order val="47"/>
          <c:tx>
            <c:strRef>
              <c:f>Skymaps!$D$725</c:f>
              <c:strCache>
                <c:ptCount val="1"/>
                <c:pt idx="0">
                  <c:v>47000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Skymaps!$E$725:$BC$725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FC1C-4722-8999-0FBEE8F97F29}"/>
            </c:ext>
          </c:extLst>
        </c:ser>
        <c:ser>
          <c:idx val="48"/>
          <c:order val="48"/>
          <c:tx>
            <c:strRef>
              <c:f>Skymaps!$D$726</c:f>
              <c:strCache>
                <c:ptCount val="1"/>
                <c:pt idx="0">
                  <c:v>48000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Skymaps!$E$726:$BC$726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FC1C-4722-8999-0FBEE8F97F29}"/>
            </c:ext>
          </c:extLst>
        </c:ser>
        <c:ser>
          <c:idx val="49"/>
          <c:order val="49"/>
          <c:tx>
            <c:strRef>
              <c:f>Skymaps!$D$727</c:f>
              <c:strCache>
                <c:ptCount val="1"/>
                <c:pt idx="0">
                  <c:v>49000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Skymaps!$E$727:$BC$727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FC1C-4722-8999-0FBEE8F97F29}"/>
            </c:ext>
          </c:extLst>
        </c:ser>
        <c:ser>
          <c:idx val="50"/>
          <c:order val="50"/>
          <c:tx>
            <c:strRef>
              <c:f>Skymaps!$D$728</c:f>
              <c:strCache>
                <c:ptCount val="1"/>
                <c:pt idx="0">
                  <c:v>50000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Skymaps!$E$728:$BC$728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FC1C-4722-8999-0FBEE8F97F29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5"/>
            <c:spPr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24885528"/>
        <c:axId val="624885856"/>
        <c:axId val="619154184"/>
      </c:surfaceChart>
      <c:catAx>
        <c:axId val="624885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885856"/>
        <c:crosses val="autoZero"/>
        <c:auto val="1"/>
        <c:lblAlgn val="ctr"/>
        <c:lblOffset val="100"/>
        <c:noMultiLvlLbl val="0"/>
      </c:catAx>
      <c:valAx>
        <c:axId val="62488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885528"/>
        <c:crosses val="autoZero"/>
        <c:crossBetween val="midCat"/>
        <c:majorUnit val="500"/>
      </c:valAx>
      <c:serAx>
        <c:axId val="6191541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885856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Skymaps!$D$730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Skymaps!$E$730:$BC$730</c:f>
              <c:numCache>
                <c:formatCode>General</c:formatCode>
                <c:ptCount val="51"/>
                <c:pt idx="13">
                  <c:v>3.7166032940149307E-2</c:v>
                </c:pt>
                <c:pt idx="14">
                  <c:v>0.18551371991634369</c:v>
                </c:pt>
                <c:pt idx="15">
                  <c:v>0.25052818655967712</c:v>
                </c:pt>
                <c:pt idx="16">
                  <c:v>0.25878855586051941</c:v>
                </c:pt>
                <c:pt idx="17">
                  <c:v>0.25753501057624817</c:v>
                </c:pt>
                <c:pt idx="18">
                  <c:v>0.25438407063484192</c:v>
                </c:pt>
                <c:pt idx="19">
                  <c:v>0.25012978911399841</c:v>
                </c:pt>
                <c:pt idx="20">
                  <c:v>0.2455613911151886</c:v>
                </c:pt>
                <c:pt idx="21">
                  <c:v>0.21081581711769104</c:v>
                </c:pt>
                <c:pt idx="22">
                  <c:v>0.17624227702617645</c:v>
                </c:pt>
                <c:pt idx="23">
                  <c:v>0.14174759387969971</c:v>
                </c:pt>
                <c:pt idx="24">
                  <c:v>0.10602308809757233</c:v>
                </c:pt>
                <c:pt idx="25">
                  <c:v>7.04507976770401E-2</c:v>
                </c:pt>
                <c:pt idx="26">
                  <c:v>6.253080815076828E-2</c:v>
                </c:pt>
                <c:pt idx="27">
                  <c:v>5.5115863680839539E-2</c:v>
                </c:pt>
                <c:pt idx="28">
                  <c:v>4.6272173523902893E-2</c:v>
                </c:pt>
                <c:pt idx="29">
                  <c:v>3.7934355437755585E-2</c:v>
                </c:pt>
                <c:pt idx="30">
                  <c:v>2.9079794883728027E-2</c:v>
                </c:pt>
                <c:pt idx="31">
                  <c:v>1.94687619805336E-2</c:v>
                </c:pt>
                <c:pt idx="32">
                  <c:v>8.9633641764521599E-3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9A-457B-8D12-5BB784A3F444}"/>
            </c:ext>
          </c:extLst>
        </c:ser>
        <c:ser>
          <c:idx val="1"/>
          <c:order val="1"/>
          <c:tx>
            <c:strRef>
              <c:f>Skymaps!$D$731</c:f>
              <c:strCache>
                <c:ptCount val="1"/>
                <c:pt idx="0">
                  <c:v>1000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Skymaps!$E$731:$BC$731</c:f>
              <c:numCache>
                <c:formatCode>General</c:formatCode>
                <c:ptCount val="51"/>
                <c:pt idx="14">
                  <c:v>0.14843809604644775</c:v>
                </c:pt>
                <c:pt idx="15">
                  <c:v>0.23152180016040802</c:v>
                </c:pt>
                <c:pt idx="16">
                  <c:v>0.24901989102363586</c:v>
                </c:pt>
                <c:pt idx="17">
                  <c:v>0.24962152540683746</c:v>
                </c:pt>
                <c:pt idx="18">
                  <c:v>0.24799562990665436</c:v>
                </c:pt>
                <c:pt idx="19">
                  <c:v>0.24451082944869995</c:v>
                </c:pt>
                <c:pt idx="20">
                  <c:v>0.24011619389057159</c:v>
                </c:pt>
                <c:pt idx="21">
                  <c:v>0.20730426907539368</c:v>
                </c:pt>
                <c:pt idx="22">
                  <c:v>0.17413227260112762</c:v>
                </c:pt>
                <c:pt idx="23">
                  <c:v>0.14032672345638275</c:v>
                </c:pt>
                <c:pt idx="24">
                  <c:v>0.10624707490205765</c:v>
                </c:pt>
                <c:pt idx="25">
                  <c:v>7.2564311325550079E-2</c:v>
                </c:pt>
                <c:pt idx="26">
                  <c:v>6.4507000148296356E-2</c:v>
                </c:pt>
                <c:pt idx="27">
                  <c:v>5.7593613862991333E-2</c:v>
                </c:pt>
                <c:pt idx="28">
                  <c:v>4.9583330750465393E-2</c:v>
                </c:pt>
                <c:pt idx="29">
                  <c:v>4.0984231978654861E-2</c:v>
                </c:pt>
                <c:pt idx="30">
                  <c:v>3.2633237540721893E-2</c:v>
                </c:pt>
                <c:pt idx="31">
                  <c:v>2.3523716256022453E-2</c:v>
                </c:pt>
                <c:pt idx="32">
                  <c:v>1.3217736966907978E-2</c:v>
                </c:pt>
                <c:pt idx="33">
                  <c:v>3.1964736990630627E-3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9A-457B-8D12-5BB784A3F444}"/>
            </c:ext>
          </c:extLst>
        </c:ser>
        <c:ser>
          <c:idx val="2"/>
          <c:order val="2"/>
          <c:tx>
            <c:strRef>
              <c:f>Skymaps!$D$732</c:f>
              <c:strCache>
                <c:ptCount val="1"/>
                <c:pt idx="0">
                  <c:v>2000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Skymaps!$E$732:$BC$732</c:f>
              <c:numCache>
                <c:formatCode>General</c:formatCode>
                <c:ptCount val="51"/>
                <c:pt idx="14">
                  <c:v>0.10625190287828445</c:v>
                </c:pt>
                <c:pt idx="15">
                  <c:v>0.20756019651889801</c:v>
                </c:pt>
                <c:pt idx="16">
                  <c:v>0.24203072488307953</c:v>
                </c:pt>
                <c:pt idx="17">
                  <c:v>0.24259079992771149</c:v>
                </c:pt>
                <c:pt idx="18">
                  <c:v>0.24029234051704407</c:v>
                </c:pt>
                <c:pt idx="19">
                  <c:v>0.2378418892621994</c:v>
                </c:pt>
                <c:pt idx="20">
                  <c:v>0.23430591821670532</c:v>
                </c:pt>
                <c:pt idx="21">
                  <c:v>0.20327126979827881</c:v>
                </c:pt>
                <c:pt idx="22">
                  <c:v>0.17123804986476898</c:v>
                </c:pt>
                <c:pt idx="23">
                  <c:v>0.138498455286026</c:v>
                </c:pt>
                <c:pt idx="24">
                  <c:v>0.10712680965662003</c:v>
                </c:pt>
                <c:pt idx="25">
                  <c:v>7.4195414781570435E-2</c:v>
                </c:pt>
                <c:pt idx="26">
                  <c:v>6.7280150949954987E-2</c:v>
                </c:pt>
                <c:pt idx="27">
                  <c:v>5.9705447405576706E-2</c:v>
                </c:pt>
                <c:pt idx="28">
                  <c:v>5.2529547363519669E-2</c:v>
                </c:pt>
                <c:pt idx="29">
                  <c:v>4.4026471674442291E-2</c:v>
                </c:pt>
                <c:pt idx="30">
                  <c:v>3.5976830869913101E-2</c:v>
                </c:pt>
                <c:pt idx="31">
                  <c:v>2.7365826070308685E-2</c:v>
                </c:pt>
                <c:pt idx="32">
                  <c:v>1.8145166337490082E-2</c:v>
                </c:pt>
                <c:pt idx="33">
                  <c:v>7.6517616398632526E-3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9A-457B-8D12-5BB784A3F444}"/>
            </c:ext>
          </c:extLst>
        </c:ser>
        <c:ser>
          <c:idx val="3"/>
          <c:order val="3"/>
          <c:tx>
            <c:strRef>
              <c:f>Skymaps!$D$733</c:f>
              <c:strCache>
                <c:ptCount val="1"/>
                <c:pt idx="0">
                  <c:v>3000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Skymaps!$E$733:$BC$733</c:f>
              <c:numCache>
                <c:formatCode>General</c:formatCode>
                <c:ptCount val="51"/>
                <c:pt idx="14">
                  <c:v>5.8802984654903412E-2</c:v>
                </c:pt>
                <c:pt idx="15">
                  <c:v>0.1785179078578949</c:v>
                </c:pt>
                <c:pt idx="16">
                  <c:v>0.23052480816841125</c:v>
                </c:pt>
                <c:pt idx="17">
                  <c:v>0.23475612699985504</c:v>
                </c:pt>
                <c:pt idx="18">
                  <c:v>0.23401336371898651</c:v>
                </c:pt>
                <c:pt idx="19">
                  <c:v>0.23114797472953796</c:v>
                </c:pt>
                <c:pt idx="20">
                  <c:v>0.22697457671165466</c:v>
                </c:pt>
                <c:pt idx="21">
                  <c:v>0.19825288653373718</c:v>
                </c:pt>
                <c:pt idx="22">
                  <c:v>0.16821643710136414</c:v>
                </c:pt>
                <c:pt idx="23">
                  <c:v>0.13810481131076813</c:v>
                </c:pt>
                <c:pt idx="24">
                  <c:v>0.10730165988206863</c:v>
                </c:pt>
                <c:pt idx="25">
                  <c:v>7.562623918056488E-2</c:v>
                </c:pt>
                <c:pt idx="26">
                  <c:v>6.9566026329994202E-2</c:v>
                </c:pt>
                <c:pt idx="27">
                  <c:v>6.1701789498329163E-2</c:v>
                </c:pt>
                <c:pt idx="28">
                  <c:v>5.5105380713939667E-2</c:v>
                </c:pt>
                <c:pt idx="29">
                  <c:v>4.7418948262929916E-2</c:v>
                </c:pt>
                <c:pt idx="30">
                  <c:v>3.9108611643314362E-2</c:v>
                </c:pt>
                <c:pt idx="31">
                  <c:v>3.0993638560175896E-2</c:v>
                </c:pt>
                <c:pt idx="32">
                  <c:v>2.2266201674938202E-2</c:v>
                </c:pt>
                <c:pt idx="33">
                  <c:v>1.2967335060238838E-2</c:v>
                </c:pt>
                <c:pt idx="34">
                  <c:v>2.3377735633403063E-3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9A-457B-8D12-5BB784A3F444}"/>
            </c:ext>
          </c:extLst>
        </c:ser>
        <c:ser>
          <c:idx val="4"/>
          <c:order val="4"/>
          <c:tx>
            <c:strRef>
              <c:f>Skymaps!$D$734</c:f>
              <c:strCache>
                <c:ptCount val="1"/>
                <c:pt idx="0">
                  <c:v>4000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Skymaps!$E$734:$BC$734</c:f>
              <c:numCache>
                <c:formatCode>General</c:formatCode>
                <c:ptCount val="51"/>
                <c:pt idx="14">
                  <c:v>5.9279049746692181E-3</c:v>
                </c:pt>
                <c:pt idx="15">
                  <c:v>0.14425930380821228</c:v>
                </c:pt>
                <c:pt idx="16">
                  <c:v>0.21400047838687897</c:v>
                </c:pt>
                <c:pt idx="17">
                  <c:v>0.22642213106155396</c:v>
                </c:pt>
                <c:pt idx="18">
                  <c:v>0.22590142488479614</c:v>
                </c:pt>
                <c:pt idx="19">
                  <c:v>0.22478871047496796</c:v>
                </c:pt>
                <c:pt idx="20">
                  <c:v>0.22191724181175232</c:v>
                </c:pt>
                <c:pt idx="21">
                  <c:v>0.19462665915489197</c:v>
                </c:pt>
                <c:pt idx="22">
                  <c:v>0.16607494652271271</c:v>
                </c:pt>
                <c:pt idx="23">
                  <c:v>0.13690692186355591</c:v>
                </c:pt>
                <c:pt idx="24">
                  <c:v>0.10675764083862305</c:v>
                </c:pt>
                <c:pt idx="25">
                  <c:v>7.8067988157272339E-2</c:v>
                </c:pt>
                <c:pt idx="26">
                  <c:v>7.1356073021888733E-2</c:v>
                </c:pt>
                <c:pt idx="27">
                  <c:v>6.4608193933963776E-2</c:v>
                </c:pt>
                <c:pt idx="28">
                  <c:v>5.7304810732603073E-2</c:v>
                </c:pt>
                <c:pt idx="29">
                  <c:v>5.043599009513855E-2</c:v>
                </c:pt>
                <c:pt idx="30">
                  <c:v>4.2361084371805191E-2</c:v>
                </c:pt>
                <c:pt idx="31">
                  <c:v>3.4405354410409927E-2</c:v>
                </c:pt>
                <c:pt idx="32">
                  <c:v>2.6168264448642731E-2</c:v>
                </c:pt>
                <c:pt idx="33">
                  <c:v>1.7357662320137024E-2</c:v>
                </c:pt>
                <c:pt idx="34">
                  <c:v>6.891278550028801E-3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9A-457B-8D12-5BB784A3F444}"/>
            </c:ext>
          </c:extLst>
        </c:ser>
        <c:ser>
          <c:idx val="5"/>
          <c:order val="5"/>
          <c:tx>
            <c:strRef>
              <c:f>Skymaps!$D$735</c:f>
              <c:strCache>
                <c:ptCount val="1"/>
                <c:pt idx="0">
                  <c:v>5000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Skymaps!$E$735:$BC$735</c:f>
              <c:numCache>
                <c:formatCode>General</c:formatCode>
                <c:ptCount val="51"/>
                <c:pt idx="15">
                  <c:v>0.10463765263557434</c:v>
                </c:pt>
                <c:pt idx="16">
                  <c:v>0.19234529137611389</c:v>
                </c:pt>
                <c:pt idx="17">
                  <c:v>0.2186451256275177</c:v>
                </c:pt>
                <c:pt idx="18">
                  <c:v>0.21935984492301941</c:v>
                </c:pt>
                <c:pt idx="19">
                  <c:v>0.21744254231452942</c:v>
                </c:pt>
                <c:pt idx="20">
                  <c:v>0.21497410535812378</c:v>
                </c:pt>
                <c:pt idx="21">
                  <c:v>0.18962511420249939</c:v>
                </c:pt>
                <c:pt idx="22">
                  <c:v>0.16293196380138397</c:v>
                </c:pt>
                <c:pt idx="23">
                  <c:v>0.13490201532840729</c:v>
                </c:pt>
                <c:pt idx="24">
                  <c:v>0.10757406055927277</c:v>
                </c:pt>
                <c:pt idx="25">
                  <c:v>7.9824343323707581E-2</c:v>
                </c:pt>
                <c:pt idx="26">
                  <c:v>7.2781085968017578E-2</c:v>
                </c:pt>
                <c:pt idx="27">
                  <c:v>6.702578067779541E-2</c:v>
                </c:pt>
                <c:pt idx="28">
                  <c:v>5.9465289115905762E-2</c:v>
                </c:pt>
                <c:pt idx="29">
                  <c:v>5.3100306540727615E-2</c:v>
                </c:pt>
                <c:pt idx="30">
                  <c:v>4.58042211830616E-2</c:v>
                </c:pt>
                <c:pt idx="31">
                  <c:v>3.7607021629810333E-2</c:v>
                </c:pt>
                <c:pt idx="32">
                  <c:v>2.9867030680179596E-2</c:v>
                </c:pt>
                <c:pt idx="33">
                  <c:v>2.1551808342337608E-2</c:v>
                </c:pt>
                <c:pt idx="34">
                  <c:v>1.2699215672910213E-2</c:v>
                </c:pt>
                <c:pt idx="35">
                  <c:v>3.52895213291049E-3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9A-457B-8D12-5BB784A3F444}"/>
            </c:ext>
          </c:extLst>
        </c:ser>
        <c:ser>
          <c:idx val="6"/>
          <c:order val="6"/>
          <c:tx>
            <c:strRef>
              <c:f>Skymaps!$D$736</c:f>
              <c:strCache>
                <c:ptCount val="1"/>
                <c:pt idx="0">
                  <c:v>6000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Skymaps!$E$736:$BC$736</c:f>
              <c:numCache>
                <c:formatCode>General</c:formatCode>
                <c:ptCount val="51"/>
                <c:pt idx="15">
                  <c:v>4.4151406735181808E-2</c:v>
                </c:pt>
                <c:pt idx="16">
                  <c:v>0.14988909661769867</c:v>
                </c:pt>
                <c:pt idx="17">
                  <c:v>0.1928078830242157</c:v>
                </c:pt>
                <c:pt idx="18">
                  <c:v>0.19557814300060272</c:v>
                </c:pt>
                <c:pt idx="19">
                  <c:v>0.19496539235115051</c:v>
                </c:pt>
                <c:pt idx="20">
                  <c:v>0.19270274043083191</c:v>
                </c:pt>
                <c:pt idx="21">
                  <c:v>0.17140085995197296</c:v>
                </c:pt>
                <c:pt idx="22">
                  <c:v>0.14994391798973083</c:v>
                </c:pt>
                <c:pt idx="23">
                  <c:v>0.12733902037143707</c:v>
                </c:pt>
                <c:pt idx="24">
                  <c:v>0.1042376235127449</c:v>
                </c:pt>
                <c:pt idx="25">
                  <c:v>8.0285370349884033E-2</c:v>
                </c:pt>
                <c:pt idx="26">
                  <c:v>7.4832402169704437E-2</c:v>
                </c:pt>
                <c:pt idx="27">
                  <c:v>6.8388096988201141E-2</c:v>
                </c:pt>
                <c:pt idx="28">
                  <c:v>6.1951823532581329E-2</c:v>
                </c:pt>
                <c:pt idx="29">
                  <c:v>5.4879218339920044E-2</c:v>
                </c:pt>
                <c:pt idx="30">
                  <c:v>4.8431199043989182E-2</c:v>
                </c:pt>
                <c:pt idx="31">
                  <c:v>4.0704939514398575E-2</c:v>
                </c:pt>
                <c:pt idx="32">
                  <c:v>3.2936152070760727E-2</c:v>
                </c:pt>
                <c:pt idx="33">
                  <c:v>2.5122888386249542E-2</c:v>
                </c:pt>
                <c:pt idx="34">
                  <c:v>1.6770008951425552E-2</c:v>
                </c:pt>
                <c:pt idx="35">
                  <c:v>7.9212551936507225E-3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9A-457B-8D12-5BB784A3F444}"/>
            </c:ext>
          </c:extLst>
        </c:ser>
        <c:ser>
          <c:idx val="7"/>
          <c:order val="7"/>
          <c:tx>
            <c:strRef>
              <c:f>Skymaps!$D$737</c:f>
              <c:strCache>
                <c:ptCount val="1"/>
                <c:pt idx="0">
                  <c:v>7000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Skymaps!$E$737:$BC$737</c:f>
              <c:numCache>
                <c:formatCode>General</c:formatCode>
                <c:ptCount val="51"/>
                <c:pt idx="16">
                  <c:v>0.10202571749687195</c:v>
                </c:pt>
                <c:pt idx="17">
                  <c:v>0.16174879670143127</c:v>
                </c:pt>
                <c:pt idx="18">
                  <c:v>0.17170427739620209</c:v>
                </c:pt>
                <c:pt idx="19">
                  <c:v>0.17121557891368866</c:v>
                </c:pt>
                <c:pt idx="20">
                  <c:v>0.16960325837135315</c:v>
                </c:pt>
                <c:pt idx="21">
                  <c:v>0.15382638573646545</c:v>
                </c:pt>
                <c:pt idx="22">
                  <c:v>0.13705015182495117</c:v>
                </c:pt>
                <c:pt idx="23">
                  <c:v>0.11905626207590103</c:v>
                </c:pt>
                <c:pt idx="24">
                  <c:v>0.10005992650985718</c:v>
                </c:pt>
                <c:pt idx="25">
                  <c:v>8.1402584910392761E-2</c:v>
                </c:pt>
                <c:pt idx="26">
                  <c:v>7.6179713010787964E-2</c:v>
                </c:pt>
                <c:pt idx="27">
                  <c:v>6.941579282283783E-2</c:v>
                </c:pt>
                <c:pt idx="28">
                  <c:v>6.3923552632331848E-2</c:v>
                </c:pt>
                <c:pt idx="29">
                  <c:v>5.6811217218637466E-2</c:v>
                </c:pt>
                <c:pt idx="30">
                  <c:v>5.0665859133005142E-2</c:v>
                </c:pt>
                <c:pt idx="31">
                  <c:v>4.3754015117883682E-2</c:v>
                </c:pt>
                <c:pt idx="32">
                  <c:v>3.5781186074018478E-2</c:v>
                </c:pt>
                <c:pt idx="33">
                  <c:v>2.8467651456594467E-2</c:v>
                </c:pt>
                <c:pt idx="34">
                  <c:v>2.0611502230167389E-2</c:v>
                </c:pt>
                <c:pt idx="35">
                  <c:v>1.2266966514289379E-2</c:v>
                </c:pt>
                <c:pt idx="36">
                  <c:v>1.7680090386420488E-3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9A-457B-8D12-5BB784A3F444}"/>
            </c:ext>
          </c:extLst>
        </c:ser>
        <c:ser>
          <c:idx val="8"/>
          <c:order val="8"/>
          <c:tx>
            <c:strRef>
              <c:f>Skymaps!$D$738</c:f>
              <c:strCache>
                <c:ptCount val="1"/>
                <c:pt idx="0">
                  <c:v>8000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Skymaps!$E$738:$BC$738</c:f>
              <c:numCache>
                <c:formatCode>General</c:formatCode>
                <c:ptCount val="51"/>
                <c:pt idx="16">
                  <c:v>4.8602629452943802E-2</c:v>
                </c:pt>
                <c:pt idx="17">
                  <c:v>0.12534299492835999</c:v>
                </c:pt>
                <c:pt idx="18">
                  <c:v>0.14797350764274597</c:v>
                </c:pt>
                <c:pt idx="19">
                  <c:v>0.14824576675891876</c:v>
                </c:pt>
                <c:pt idx="20">
                  <c:v>0.14678202569484711</c:v>
                </c:pt>
                <c:pt idx="21">
                  <c:v>0.13463909924030304</c:v>
                </c:pt>
                <c:pt idx="22">
                  <c:v>0.12252707034349442</c:v>
                </c:pt>
                <c:pt idx="23">
                  <c:v>0.10997550189495087</c:v>
                </c:pt>
                <c:pt idx="24">
                  <c:v>9.6593879163265228E-2</c:v>
                </c:pt>
                <c:pt idx="25">
                  <c:v>8.2711555063724518E-2</c:v>
                </c:pt>
                <c:pt idx="26">
                  <c:v>7.6809100806713104E-2</c:v>
                </c:pt>
                <c:pt idx="27">
                  <c:v>7.1599766612052917E-2</c:v>
                </c:pt>
                <c:pt idx="28">
                  <c:v>6.5371118485927582E-2</c:v>
                </c:pt>
                <c:pt idx="29">
                  <c:v>5.9360899031162262E-2</c:v>
                </c:pt>
                <c:pt idx="30">
                  <c:v>5.2501481026411057E-2</c:v>
                </c:pt>
                <c:pt idx="31">
                  <c:v>4.640505462884903E-2</c:v>
                </c:pt>
                <c:pt idx="32">
                  <c:v>3.9185371249914169E-2</c:v>
                </c:pt>
                <c:pt idx="33">
                  <c:v>3.1584005802869797E-2</c:v>
                </c:pt>
                <c:pt idx="34">
                  <c:v>2.4222042411565781E-2</c:v>
                </c:pt>
                <c:pt idx="35">
                  <c:v>1.6377789899706841E-2</c:v>
                </c:pt>
                <c:pt idx="36">
                  <c:v>7.1257352828979492E-3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9A-457B-8D12-5BB784A3F444}"/>
            </c:ext>
          </c:extLst>
        </c:ser>
        <c:ser>
          <c:idx val="9"/>
          <c:order val="9"/>
          <c:tx>
            <c:strRef>
              <c:f>Skymaps!$D$739</c:f>
              <c:strCache>
                <c:ptCount val="1"/>
                <c:pt idx="0">
                  <c:v>9000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Skymaps!$E$739:$BC$739</c:f>
              <c:numCache>
                <c:formatCode>General</c:formatCode>
                <c:ptCount val="51"/>
                <c:pt idx="17">
                  <c:v>8.3454221487045288E-2</c:v>
                </c:pt>
                <c:pt idx="18">
                  <c:v>0.12208345532417297</c:v>
                </c:pt>
                <c:pt idx="19">
                  <c:v>0.12480407208204269</c:v>
                </c:pt>
                <c:pt idx="20">
                  <c:v>0.12336207181215286</c:v>
                </c:pt>
                <c:pt idx="21">
                  <c:v>0.11739910393953323</c:v>
                </c:pt>
                <c:pt idx="22">
                  <c:v>0.11000898480415344</c:v>
                </c:pt>
                <c:pt idx="23">
                  <c:v>0.10212694108486176</c:v>
                </c:pt>
                <c:pt idx="24">
                  <c:v>9.3057520687580109E-2</c:v>
                </c:pt>
                <c:pt idx="25">
                  <c:v>8.3155013620853424E-2</c:v>
                </c:pt>
                <c:pt idx="26">
                  <c:v>7.7949024736881256E-2</c:v>
                </c:pt>
                <c:pt idx="27">
                  <c:v>7.3059163987636566E-2</c:v>
                </c:pt>
                <c:pt idx="28">
                  <c:v>6.671510636806488E-2</c:v>
                </c:pt>
                <c:pt idx="29">
                  <c:v>6.1380375176668167E-2</c:v>
                </c:pt>
                <c:pt idx="30">
                  <c:v>5.4848458617925644E-2</c:v>
                </c:pt>
                <c:pt idx="31">
                  <c:v>4.8651635646820068E-2</c:v>
                </c:pt>
                <c:pt idx="32">
                  <c:v>4.223296046257019E-2</c:v>
                </c:pt>
                <c:pt idx="33">
                  <c:v>3.476894274353981E-2</c:v>
                </c:pt>
                <c:pt idx="34">
                  <c:v>2.7599673718214035E-2</c:v>
                </c:pt>
                <c:pt idx="35">
                  <c:v>2.025223895907402E-2</c:v>
                </c:pt>
                <c:pt idx="36">
                  <c:v>1.1498247273266315E-2</c:v>
                </c:pt>
                <c:pt idx="37">
                  <c:v>2.1778482478111982E-3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9A-457B-8D12-5BB784A3F444}"/>
            </c:ext>
          </c:extLst>
        </c:ser>
        <c:ser>
          <c:idx val="10"/>
          <c:order val="10"/>
          <c:tx>
            <c:strRef>
              <c:f>Skymaps!$D$740</c:f>
              <c:strCache>
                <c:ptCount val="1"/>
                <c:pt idx="0">
                  <c:v>10000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Skymaps!$E$740:$BC$740</c:f>
              <c:numCache>
                <c:formatCode>General</c:formatCode>
                <c:ptCount val="51"/>
                <c:pt idx="17">
                  <c:v>3.5938557237386703E-2</c:v>
                </c:pt>
                <c:pt idx="18">
                  <c:v>9.0749450027942657E-2</c:v>
                </c:pt>
                <c:pt idx="19">
                  <c:v>0.10004629194736481</c:v>
                </c:pt>
                <c:pt idx="20">
                  <c:v>0.10040952265262604</c:v>
                </c:pt>
                <c:pt idx="21">
                  <c:v>9.7665958106517792E-2</c:v>
                </c:pt>
                <c:pt idx="22">
                  <c:v>9.5796413719654083E-2</c:v>
                </c:pt>
                <c:pt idx="23">
                  <c:v>9.262770414352417E-2</c:v>
                </c:pt>
                <c:pt idx="24">
                  <c:v>8.8467270135879517E-2</c:v>
                </c:pt>
                <c:pt idx="25">
                  <c:v>8.3981655538082123E-2</c:v>
                </c:pt>
                <c:pt idx="26">
                  <c:v>7.9433798789978027E-2</c:v>
                </c:pt>
                <c:pt idx="27">
                  <c:v>7.3799751698970795E-2</c:v>
                </c:pt>
                <c:pt idx="28">
                  <c:v>6.8989895284175873E-2</c:v>
                </c:pt>
                <c:pt idx="29">
                  <c:v>6.290668249130249E-2</c:v>
                </c:pt>
                <c:pt idx="30">
                  <c:v>5.7457540184259415E-2</c:v>
                </c:pt>
                <c:pt idx="31">
                  <c:v>5.0493322312831879E-2</c:v>
                </c:pt>
                <c:pt idx="32">
                  <c:v>4.488450288772583E-2</c:v>
                </c:pt>
                <c:pt idx="33">
                  <c:v>3.8216762244701385E-2</c:v>
                </c:pt>
                <c:pt idx="34">
                  <c:v>3.07743139564991E-2</c:v>
                </c:pt>
                <c:pt idx="35">
                  <c:v>2.3888466879725456E-2</c:v>
                </c:pt>
                <c:pt idx="36">
                  <c:v>1.5610168687999249E-2</c:v>
                </c:pt>
                <c:pt idx="37">
                  <c:v>6.7662526853382587E-3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9A-457B-8D12-5BB784A3F444}"/>
            </c:ext>
          </c:extLst>
        </c:ser>
        <c:ser>
          <c:idx val="11"/>
          <c:order val="11"/>
          <c:tx>
            <c:strRef>
              <c:f>Skymaps!$D$741</c:f>
              <c:strCache>
                <c:ptCount val="1"/>
                <c:pt idx="0">
                  <c:v>11000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Skymaps!$E$741:$BC$741</c:f>
              <c:numCache>
                <c:formatCode>General</c:formatCode>
                <c:ptCount val="51"/>
                <c:pt idx="17">
                  <c:v>4.6328417956829071E-3</c:v>
                </c:pt>
                <c:pt idx="18">
                  <c:v>7.5926922261714935E-2</c:v>
                </c:pt>
                <c:pt idx="19">
                  <c:v>9.8938882350921631E-2</c:v>
                </c:pt>
                <c:pt idx="20">
                  <c:v>9.8539352416992188E-2</c:v>
                </c:pt>
                <c:pt idx="21">
                  <c:v>9.8187290132045746E-2</c:v>
                </c:pt>
                <c:pt idx="22">
                  <c:v>9.5851771533489227E-2</c:v>
                </c:pt>
                <c:pt idx="23">
                  <c:v>9.280029684305191E-2</c:v>
                </c:pt>
                <c:pt idx="24">
                  <c:v>8.9510433375835419E-2</c:v>
                </c:pt>
                <c:pt idx="25">
                  <c:v>8.5011228919029236E-2</c:v>
                </c:pt>
                <c:pt idx="26">
                  <c:v>7.9874083399772644E-2</c:v>
                </c:pt>
                <c:pt idx="27">
                  <c:v>7.4910789728164673E-2</c:v>
                </c:pt>
                <c:pt idx="28">
                  <c:v>7.0179052650928497E-2</c:v>
                </c:pt>
                <c:pt idx="29">
                  <c:v>6.430710107088089E-2</c:v>
                </c:pt>
                <c:pt idx="30">
                  <c:v>5.9083178639411926E-2</c:v>
                </c:pt>
                <c:pt idx="31">
                  <c:v>5.2833136171102524E-2</c:v>
                </c:pt>
                <c:pt idx="32">
                  <c:v>4.6581942588090897E-2</c:v>
                </c:pt>
                <c:pt idx="33">
                  <c:v>4.0677528828382492E-2</c:v>
                </c:pt>
                <c:pt idx="34">
                  <c:v>3.3785168081521988E-2</c:v>
                </c:pt>
                <c:pt idx="35">
                  <c:v>2.6687899604439735E-2</c:v>
                </c:pt>
                <c:pt idx="36">
                  <c:v>1.8941815942525864E-2</c:v>
                </c:pt>
                <c:pt idx="37">
                  <c:v>1.0632171295583248E-2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9A-457B-8D12-5BB784A3F444}"/>
            </c:ext>
          </c:extLst>
        </c:ser>
        <c:ser>
          <c:idx val="12"/>
          <c:order val="12"/>
          <c:tx>
            <c:strRef>
              <c:f>Skymaps!$D$742</c:f>
              <c:strCache>
                <c:ptCount val="1"/>
                <c:pt idx="0">
                  <c:v>12000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Skymaps!$E$742:$BC$742</c:f>
              <c:numCache>
                <c:formatCode>General</c:formatCode>
                <c:ptCount val="51"/>
                <c:pt idx="18">
                  <c:v>5.5375184863805771E-2</c:v>
                </c:pt>
                <c:pt idx="19">
                  <c:v>9.3955233693122864E-2</c:v>
                </c:pt>
                <c:pt idx="20">
                  <c:v>9.7970403730869293E-2</c:v>
                </c:pt>
                <c:pt idx="21">
                  <c:v>9.6147149801254272E-2</c:v>
                </c:pt>
                <c:pt idx="22">
                  <c:v>9.4929106533527374E-2</c:v>
                </c:pt>
                <c:pt idx="23">
                  <c:v>9.2523716390132904E-2</c:v>
                </c:pt>
                <c:pt idx="24">
                  <c:v>8.9196391403675079E-2</c:v>
                </c:pt>
                <c:pt idx="25">
                  <c:v>8.492346853017807E-2</c:v>
                </c:pt>
                <c:pt idx="26">
                  <c:v>8.0606423318386078E-2</c:v>
                </c:pt>
                <c:pt idx="27">
                  <c:v>7.6233603060245514E-2</c:v>
                </c:pt>
                <c:pt idx="28">
                  <c:v>7.0607289671897888E-2</c:v>
                </c:pt>
                <c:pt idx="29">
                  <c:v>6.6145658493041992E-2</c:v>
                </c:pt>
                <c:pt idx="30">
                  <c:v>6.0189802199602127E-2</c:v>
                </c:pt>
                <c:pt idx="31">
                  <c:v>5.4910622537136078E-2</c:v>
                </c:pt>
                <c:pt idx="32">
                  <c:v>4.8243165016174316E-2</c:v>
                </c:pt>
                <c:pt idx="33">
                  <c:v>4.2716696858406067E-2</c:v>
                </c:pt>
                <c:pt idx="34">
                  <c:v>3.6574907600879669E-2</c:v>
                </c:pt>
                <c:pt idx="35">
                  <c:v>2.9524419456720352E-2</c:v>
                </c:pt>
                <c:pt idx="36">
                  <c:v>2.2029265761375427E-2</c:v>
                </c:pt>
                <c:pt idx="37">
                  <c:v>1.4249884523451328E-2</c:v>
                </c:pt>
                <c:pt idx="38">
                  <c:v>4.1083763353526592E-3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9A-457B-8D12-5BB784A3F444}"/>
            </c:ext>
          </c:extLst>
        </c:ser>
        <c:ser>
          <c:idx val="13"/>
          <c:order val="13"/>
          <c:tx>
            <c:strRef>
              <c:f>Skymaps!$D$743</c:f>
              <c:strCache>
                <c:ptCount val="1"/>
                <c:pt idx="0">
                  <c:v>13000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Skymaps!$E$743:$BC$743</c:f>
              <c:numCache>
                <c:formatCode>General</c:formatCode>
                <c:ptCount val="51"/>
                <c:pt idx="18">
                  <c:v>2.893560379743576E-2</c:v>
                </c:pt>
                <c:pt idx="19">
                  <c:v>8.3265341818332672E-2</c:v>
                </c:pt>
                <c:pt idx="20">
                  <c:v>9.503135085105896E-2</c:v>
                </c:pt>
                <c:pt idx="21">
                  <c:v>9.6088506281375885E-2</c:v>
                </c:pt>
                <c:pt idx="22">
                  <c:v>9.4601079821586609E-2</c:v>
                </c:pt>
                <c:pt idx="23">
                  <c:v>9.1958343982696533E-2</c:v>
                </c:pt>
                <c:pt idx="24">
                  <c:v>8.8984638452529907E-2</c:v>
                </c:pt>
                <c:pt idx="25">
                  <c:v>8.5874207317829132E-2</c:v>
                </c:pt>
                <c:pt idx="26">
                  <c:v>8.1682324409484863E-2</c:v>
                </c:pt>
                <c:pt idx="27">
                  <c:v>7.6639190316200256E-2</c:v>
                </c:pt>
                <c:pt idx="28">
                  <c:v>7.1995355188846588E-2</c:v>
                </c:pt>
                <c:pt idx="29">
                  <c:v>6.7215465009212494E-2</c:v>
                </c:pt>
                <c:pt idx="30">
                  <c:v>6.1840493232011795E-2</c:v>
                </c:pt>
                <c:pt idx="31">
                  <c:v>5.646243691444397E-2</c:v>
                </c:pt>
                <c:pt idx="32">
                  <c:v>5.0746757537126541E-2</c:v>
                </c:pt>
                <c:pt idx="33">
                  <c:v>4.4326741248369217E-2</c:v>
                </c:pt>
                <c:pt idx="34">
                  <c:v>3.8936637341976166E-2</c:v>
                </c:pt>
                <c:pt idx="35">
                  <c:v>3.2631821930408478E-2</c:v>
                </c:pt>
                <c:pt idx="36">
                  <c:v>2.4870047345757484E-2</c:v>
                </c:pt>
                <c:pt idx="37">
                  <c:v>1.7617382109165192E-2</c:v>
                </c:pt>
                <c:pt idx="38">
                  <c:v>8.083847351372242E-3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9A-457B-8D12-5BB784A3F444}"/>
            </c:ext>
          </c:extLst>
        </c:ser>
        <c:ser>
          <c:idx val="14"/>
          <c:order val="14"/>
          <c:tx>
            <c:strRef>
              <c:f>Skymaps!$D$744</c:f>
              <c:strCache>
                <c:ptCount val="1"/>
                <c:pt idx="0">
                  <c:v>14000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Skymaps!$E$744:$BC$744</c:f>
              <c:numCache>
                <c:formatCode>General</c:formatCode>
                <c:ptCount val="51"/>
                <c:pt idx="19">
                  <c:v>6.6724509000778198E-2</c:v>
                </c:pt>
                <c:pt idx="20">
                  <c:v>9.352567046880722E-2</c:v>
                </c:pt>
                <c:pt idx="21">
                  <c:v>9.4512522220611572E-2</c:v>
                </c:pt>
                <c:pt idx="22">
                  <c:v>9.3081355094909668E-2</c:v>
                </c:pt>
                <c:pt idx="23">
                  <c:v>9.1700978577136993E-2</c:v>
                </c:pt>
                <c:pt idx="24">
                  <c:v>8.9052282273769379E-2</c:v>
                </c:pt>
                <c:pt idx="25">
                  <c:v>8.5694581270217896E-2</c:v>
                </c:pt>
                <c:pt idx="26">
                  <c:v>8.1607073545455933E-2</c:v>
                </c:pt>
                <c:pt idx="27">
                  <c:v>7.7512018382549286E-2</c:v>
                </c:pt>
                <c:pt idx="28">
                  <c:v>7.321629673242569E-2</c:v>
                </c:pt>
                <c:pt idx="29">
                  <c:v>6.7500203847885132E-2</c:v>
                </c:pt>
                <c:pt idx="30">
                  <c:v>6.3512541353702545E-2</c:v>
                </c:pt>
                <c:pt idx="31">
                  <c:v>5.7478237897157669E-2</c:v>
                </c:pt>
                <c:pt idx="32">
                  <c:v>5.27174212038517E-2</c:v>
                </c:pt>
                <c:pt idx="33">
                  <c:v>4.6644967049360275E-2</c:v>
                </c:pt>
                <c:pt idx="34">
                  <c:v>4.0863025933504105E-2</c:v>
                </c:pt>
                <c:pt idx="35">
                  <c:v>3.5303927958011627E-2</c:v>
                </c:pt>
                <c:pt idx="36">
                  <c:v>2.8223136439919472E-2</c:v>
                </c:pt>
                <c:pt idx="37">
                  <c:v>2.0732348784804344E-2</c:v>
                </c:pt>
                <c:pt idx="38">
                  <c:v>1.180002186447382E-2</c:v>
                </c:pt>
                <c:pt idx="39">
                  <c:v>4.241257265675813E-4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9A-457B-8D12-5BB784A3F444}"/>
            </c:ext>
          </c:extLst>
        </c:ser>
        <c:ser>
          <c:idx val="15"/>
          <c:order val="15"/>
          <c:tx>
            <c:strRef>
              <c:f>Skymaps!$D$745</c:f>
              <c:strCache>
                <c:ptCount val="1"/>
                <c:pt idx="0">
                  <c:v>15000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Skymaps!$E$745:$BC$745</c:f>
              <c:numCache>
                <c:formatCode>General</c:formatCode>
                <c:ptCount val="51"/>
                <c:pt idx="19">
                  <c:v>4.4190965592861176E-2</c:v>
                </c:pt>
                <c:pt idx="20">
                  <c:v>8.6275175213813782E-2</c:v>
                </c:pt>
                <c:pt idx="21">
                  <c:v>9.2291176319122314E-2</c:v>
                </c:pt>
                <c:pt idx="22">
                  <c:v>9.2805474996566772E-2</c:v>
                </c:pt>
                <c:pt idx="23">
                  <c:v>9.0824335813522339E-2</c:v>
                </c:pt>
                <c:pt idx="24">
                  <c:v>8.8186055421829224E-2</c:v>
                </c:pt>
                <c:pt idx="25">
                  <c:v>8.5378959774971008E-2</c:v>
                </c:pt>
                <c:pt idx="26">
                  <c:v>8.2629196345806122E-2</c:v>
                </c:pt>
                <c:pt idx="27">
                  <c:v>7.8520789742469788E-2</c:v>
                </c:pt>
                <c:pt idx="28">
                  <c:v>7.3504514992237091E-2</c:v>
                </c:pt>
                <c:pt idx="29">
                  <c:v>6.9328315556049347E-2</c:v>
                </c:pt>
                <c:pt idx="30">
                  <c:v>6.4390763640403748E-2</c:v>
                </c:pt>
                <c:pt idx="31">
                  <c:v>5.9587139636278152E-2</c:v>
                </c:pt>
                <c:pt idx="32">
                  <c:v>5.4156824946403503E-2</c:v>
                </c:pt>
                <c:pt idx="33">
                  <c:v>4.902789369225502E-2</c:v>
                </c:pt>
                <c:pt idx="34">
                  <c:v>4.2676758021116257E-2</c:v>
                </c:pt>
                <c:pt idx="35">
                  <c:v>3.7533566355705261E-2</c:v>
                </c:pt>
                <c:pt idx="36">
                  <c:v>3.1266707926988602E-2</c:v>
                </c:pt>
                <c:pt idx="37">
                  <c:v>2.4082079529762268E-2</c:v>
                </c:pt>
                <c:pt idx="38">
                  <c:v>1.5254727564752102E-2</c:v>
                </c:pt>
                <c:pt idx="39">
                  <c:v>4.6220025978982449E-3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69A-457B-8D12-5BB784A3F444}"/>
            </c:ext>
          </c:extLst>
        </c:ser>
        <c:ser>
          <c:idx val="16"/>
          <c:order val="16"/>
          <c:tx>
            <c:strRef>
              <c:f>Skymaps!$D$746</c:f>
              <c:strCache>
                <c:ptCount val="1"/>
                <c:pt idx="0">
                  <c:v>16000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Skymaps!$E$746:$BC$746</c:f>
              <c:numCache>
                <c:formatCode>General</c:formatCode>
                <c:ptCount val="51"/>
                <c:pt idx="19">
                  <c:v>1.4304192736744881E-2</c:v>
                </c:pt>
                <c:pt idx="20">
                  <c:v>7.2139441967010498E-2</c:v>
                </c:pt>
                <c:pt idx="21">
                  <c:v>9.0280525386333466E-2</c:v>
                </c:pt>
                <c:pt idx="22">
                  <c:v>8.9737296104431152E-2</c:v>
                </c:pt>
                <c:pt idx="23">
                  <c:v>8.9553765952587128E-2</c:v>
                </c:pt>
                <c:pt idx="24">
                  <c:v>8.7972328066825867E-2</c:v>
                </c:pt>
                <c:pt idx="25">
                  <c:v>8.5416451096534729E-2</c:v>
                </c:pt>
                <c:pt idx="26">
                  <c:v>8.2304835319519043E-2</c:v>
                </c:pt>
                <c:pt idx="27">
                  <c:v>7.8280091285705566E-2</c:v>
                </c:pt>
                <c:pt idx="28">
                  <c:v>7.4656061828136444E-2</c:v>
                </c:pt>
                <c:pt idx="29">
                  <c:v>7.0376060903072357E-2</c:v>
                </c:pt>
                <c:pt idx="30">
                  <c:v>6.5153166651725769E-2</c:v>
                </c:pt>
                <c:pt idx="31">
                  <c:v>6.1066724359989166E-2</c:v>
                </c:pt>
                <c:pt idx="32">
                  <c:v>5.5532574653625488E-2</c:v>
                </c:pt>
                <c:pt idx="33">
                  <c:v>5.0717759877443314E-2</c:v>
                </c:pt>
                <c:pt idx="34">
                  <c:v>4.5223917812108994E-2</c:v>
                </c:pt>
                <c:pt idx="35">
                  <c:v>3.9072290062904358E-2</c:v>
                </c:pt>
                <c:pt idx="36">
                  <c:v>3.351559117436409E-2</c:v>
                </c:pt>
                <c:pt idx="37">
                  <c:v>2.7032721787691116E-2</c:v>
                </c:pt>
                <c:pt idx="38">
                  <c:v>1.8241496756672859E-2</c:v>
                </c:pt>
                <c:pt idx="39">
                  <c:v>7.9720672219991684E-3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69A-457B-8D12-5BB784A3F444}"/>
            </c:ext>
          </c:extLst>
        </c:ser>
        <c:ser>
          <c:idx val="17"/>
          <c:order val="17"/>
          <c:tx>
            <c:strRef>
              <c:f>Skymaps!$D$747</c:f>
              <c:strCache>
                <c:ptCount val="1"/>
                <c:pt idx="0">
                  <c:v>17000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Skymaps!$E$747:$BC$747</c:f>
              <c:numCache>
                <c:formatCode>General</c:formatCode>
                <c:ptCount val="51"/>
                <c:pt idx="20">
                  <c:v>5.1959678530693054E-2</c:v>
                </c:pt>
                <c:pt idx="21">
                  <c:v>8.4561929106712341E-2</c:v>
                </c:pt>
                <c:pt idx="22">
                  <c:v>8.8488832116127014E-2</c:v>
                </c:pt>
                <c:pt idx="23">
                  <c:v>8.8265500962734222E-2</c:v>
                </c:pt>
                <c:pt idx="24">
                  <c:v>8.6513057351112366E-2</c:v>
                </c:pt>
                <c:pt idx="25">
                  <c:v>8.4360696375370026E-2</c:v>
                </c:pt>
                <c:pt idx="26">
                  <c:v>8.206234872341156E-2</c:v>
                </c:pt>
                <c:pt idx="27">
                  <c:v>7.9442858695983887E-2</c:v>
                </c:pt>
                <c:pt idx="28">
                  <c:v>7.5444534420967102E-2</c:v>
                </c:pt>
                <c:pt idx="29">
                  <c:v>7.0317156612873077E-2</c:v>
                </c:pt>
                <c:pt idx="30">
                  <c:v>6.6900886595249176E-2</c:v>
                </c:pt>
                <c:pt idx="31">
                  <c:v>6.1726536601781845E-2</c:v>
                </c:pt>
                <c:pt idx="32">
                  <c:v>5.7511530816555023E-2</c:v>
                </c:pt>
                <c:pt idx="33">
                  <c:v>5.1847174763679504E-2</c:v>
                </c:pt>
                <c:pt idx="34">
                  <c:v>4.7213561832904816E-2</c:v>
                </c:pt>
                <c:pt idx="35">
                  <c:v>4.1433293372392654E-2</c:v>
                </c:pt>
                <c:pt idx="36">
                  <c:v>3.5306710749864578E-2</c:v>
                </c:pt>
                <c:pt idx="37">
                  <c:v>2.9525185003876686E-2</c:v>
                </c:pt>
                <c:pt idx="38">
                  <c:v>2.1470477804541588E-2</c:v>
                </c:pt>
                <c:pt idx="39">
                  <c:v>1.1076446622610092E-2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69A-457B-8D12-5BB784A3F444}"/>
            </c:ext>
          </c:extLst>
        </c:ser>
        <c:ser>
          <c:idx val="18"/>
          <c:order val="18"/>
          <c:tx>
            <c:strRef>
              <c:f>Skymaps!$D$748</c:f>
              <c:strCache>
                <c:ptCount val="1"/>
                <c:pt idx="0">
                  <c:v>18000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Skymaps!$E$748:$BC$748</c:f>
              <c:numCache>
                <c:formatCode>General</c:formatCode>
                <c:ptCount val="51"/>
                <c:pt idx="20">
                  <c:v>2.5564553216099739E-2</c:v>
                </c:pt>
                <c:pt idx="21">
                  <c:v>7.2798416018486023E-2</c:v>
                </c:pt>
                <c:pt idx="22">
                  <c:v>8.5780501365661621E-2</c:v>
                </c:pt>
                <c:pt idx="23">
                  <c:v>8.5857726633548737E-2</c:v>
                </c:pt>
                <c:pt idx="24">
                  <c:v>8.5735827684402466E-2</c:v>
                </c:pt>
                <c:pt idx="25">
                  <c:v>8.4355354309082031E-2</c:v>
                </c:pt>
                <c:pt idx="26">
                  <c:v>8.2005046308040619E-2</c:v>
                </c:pt>
                <c:pt idx="27">
                  <c:v>7.8908868134021759E-2</c:v>
                </c:pt>
                <c:pt idx="28">
                  <c:v>7.5495012104511261E-2</c:v>
                </c:pt>
                <c:pt idx="29">
                  <c:v>7.2063535451889038E-2</c:v>
                </c:pt>
                <c:pt idx="30">
                  <c:v>6.7607194185256958E-2</c:v>
                </c:pt>
                <c:pt idx="31">
                  <c:v>6.3174992799758911E-2</c:v>
                </c:pt>
                <c:pt idx="32">
                  <c:v>5.8660384267568588E-2</c:v>
                </c:pt>
                <c:pt idx="33">
                  <c:v>5.3803510963916779E-2</c:v>
                </c:pt>
                <c:pt idx="34">
                  <c:v>4.8634927719831467E-2</c:v>
                </c:pt>
                <c:pt idx="35">
                  <c:v>4.3660156428813934E-2</c:v>
                </c:pt>
                <c:pt idx="36">
                  <c:v>3.7137720733880997E-2</c:v>
                </c:pt>
                <c:pt idx="37">
                  <c:v>3.1551692634820938E-2</c:v>
                </c:pt>
                <c:pt idx="38">
                  <c:v>2.4196421727538109E-2</c:v>
                </c:pt>
                <c:pt idx="39">
                  <c:v>1.4535884372889996E-2</c:v>
                </c:pt>
                <c:pt idx="40">
                  <c:v>3.7590743886539713E-5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69A-457B-8D12-5BB784A3F444}"/>
            </c:ext>
          </c:extLst>
        </c:ser>
        <c:ser>
          <c:idx val="19"/>
          <c:order val="19"/>
          <c:tx>
            <c:strRef>
              <c:f>Skymaps!$D$749</c:f>
              <c:strCache>
                <c:ptCount val="1"/>
                <c:pt idx="0">
                  <c:v>19000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Skymaps!$E$749:$BC$749</c:f>
              <c:numCache>
                <c:formatCode>General</c:formatCode>
                <c:ptCount val="51"/>
                <c:pt idx="21">
                  <c:v>5.4830487817525864E-2</c:v>
                </c:pt>
                <c:pt idx="22">
                  <c:v>8.1806190311908722E-2</c:v>
                </c:pt>
                <c:pt idx="23">
                  <c:v>8.4706395864486694E-2</c:v>
                </c:pt>
                <c:pt idx="24">
                  <c:v>8.4420263767242432E-2</c:v>
                </c:pt>
                <c:pt idx="25">
                  <c:v>8.3107881247997284E-2</c:v>
                </c:pt>
                <c:pt idx="26">
                  <c:v>8.1267625093460083E-2</c:v>
                </c:pt>
                <c:pt idx="27">
                  <c:v>7.9099796712398529E-2</c:v>
                </c:pt>
                <c:pt idx="28">
                  <c:v>7.6499469578266144E-2</c:v>
                </c:pt>
                <c:pt idx="29">
                  <c:v>7.2571583092212677E-2</c:v>
                </c:pt>
                <c:pt idx="30">
                  <c:v>6.8331919610500336E-2</c:v>
                </c:pt>
                <c:pt idx="31">
                  <c:v>6.4537174999713898E-2</c:v>
                </c:pt>
                <c:pt idx="32">
                  <c:v>5.9211388230323792E-2</c:v>
                </c:pt>
                <c:pt idx="33">
                  <c:v>5.5402129888534546E-2</c:v>
                </c:pt>
                <c:pt idx="34">
                  <c:v>5.0008449703454971E-2</c:v>
                </c:pt>
                <c:pt idx="35">
                  <c:v>4.526812955737114E-2</c:v>
                </c:pt>
                <c:pt idx="36">
                  <c:v>3.9676140993833542E-2</c:v>
                </c:pt>
                <c:pt idx="37">
                  <c:v>3.2892104238271713E-2</c:v>
                </c:pt>
                <c:pt idx="38">
                  <c:v>2.6410844177007675E-2</c:v>
                </c:pt>
                <c:pt idx="39">
                  <c:v>1.7493860796093941E-2</c:v>
                </c:pt>
                <c:pt idx="40">
                  <c:v>3.9397669024765491E-3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69A-457B-8D12-5BB784A3F444}"/>
            </c:ext>
          </c:extLst>
        </c:ser>
        <c:ser>
          <c:idx val="20"/>
          <c:order val="20"/>
          <c:tx>
            <c:strRef>
              <c:f>Skymaps!$D$750</c:f>
              <c:strCache>
                <c:ptCount val="1"/>
                <c:pt idx="0">
                  <c:v>20000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Skymaps!$E$750:$BC$750</c:f>
              <c:numCache>
                <c:formatCode>General</c:formatCode>
                <c:ptCount val="51"/>
                <c:pt idx="21">
                  <c:v>3.0485175549983978E-2</c:v>
                </c:pt>
                <c:pt idx="22">
                  <c:v>7.1617051959037781E-2</c:v>
                </c:pt>
                <c:pt idx="23">
                  <c:v>8.1727884709835052E-2</c:v>
                </c:pt>
                <c:pt idx="24">
                  <c:v>8.2427375018596649E-2</c:v>
                </c:pt>
                <c:pt idx="25">
                  <c:v>8.2424573600292206E-2</c:v>
                </c:pt>
                <c:pt idx="26">
                  <c:v>8.1038519740104675E-2</c:v>
                </c:pt>
                <c:pt idx="27">
                  <c:v>7.870764285326004E-2</c:v>
                </c:pt>
                <c:pt idx="28">
                  <c:v>7.5568705797195435E-2</c:v>
                </c:pt>
                <c:pt idx="29">
                  <c:v>7.3222286999225616E-2</c:v>
                </c:pt>
                <c:pt idx="30">
                  <c:v>6.9719530642032623E-2</c:v>
                </c:pt>
                <c:pt idx="31">
                  <c:v>6.4830638468265533E-2</c:v>
                </c:pt>
                <c:pt idx="32">
                  <c:v>6.1196375638246536E-2</c:v>
                </c:pt>
                <c:pt idx="33">
                  <c:v>5.617181584239006E-2</c:v>
                </c:pt>
                <c:pt idx="34">
                  <c:v>5.2062101662158966E-2</c:v>
                </c:pt>
                <c:pt idx="35">
                  <c:v>4.6244300901889801E-2</c:v>
                </c:pt>
                <c:pt idx="36">
                  <c:v>4.1597373783588409E-2</c:v>
                </c:pt>
                <c:pt idx="37">
                  <c:v>3.5744398832321167E-2</c:v>
                </c:pt>
                <c:pt idx="38">
                  <c:v>2.8092954307794571E-2</c:v>
                </c:pt>
                <c:pt idx="39">
                  <c:v>1.9857646897435188E-2</c:v>
                </c:pt>
                <c:pt idx="40">
                  <c:v>7.2716581635177135E-3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69A-457B-8D12-5BB784A3F444}"/>
            </c:ext>
          </c:extLst>
        </c:ser>
        <c:ser>
          <c:idx val="21"/>
          <c:order val="21"/>
          <c:tx>
            <c:strRef>
              <c:f>Skymaps!$D$751</c:f>
              <c:strCache>
                <c:ptCount val="1"/>
                <c:pt idx="0">
                  <c:v>21000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Skymaps!$E$751:$BC$751</c:f>
              <c:numCache>
                <c:formatCode>General</c:formatCode>
                <c:ptCount val="51"/>
                <c:pt idx="22">
                  <c:v>5.3545385599136353E-2</c:v>
                </c:pt>
                <c:pt idx="23">
                  <c:v>7.7194906771183014E-2</c:v>
                </c:pt>
                <c:pt idx="24">
                  <c:v>7.9743251204490662E-2</c:v>
                </c:pt>
                <c:pt idx="25">
                  <c:v>7.9755336046218872E-2</c:v>
                </c:pt>
                <c:pt idx="26">
                  <c:v>7.8643046319484711E-2</c:v>
                </c:pt>
                <c:pt idx="27">
                  <c:v>7.7187836170196533E-2</c:v>
                </c:pt>
                <c:pt idx="28">
                  <c:v>7.5199611485004425E-2</c:v>
                </c:pt>
                <c:pt idx="29">
                  <c:v>7.2648145258426666E-2</c:v>
                </c:pt>
                <c:pt idx="30">
                  <c:v>6.8940892815589905E-2</c:v>
                </c:pt>
                <c:pt idx="31">
                  <c:v>6.5668806433677673E-2</c:v>
                </c:pt>
                <c:pt idx="32">
                  <c:v>6.1511829495429993E-2</c:v>
                </c:pt>
                <c:pt idx="33">
                  <c:v>5.7256884872913361E-2</c:v>
                </c:pt>
                <c:pt idx="34">
                  <c:v>5.2967671304941177E-2</c:v>
                </c:pt>
                <c:pt idx="35">
                  <c:v>4.8552986234426498E-2</c:v>
                </c:pt>
                <c:pt idx="36">
                  <c:v>4.2785625904798508E-2</c:v>
                </c:pt>
                <c:pt idx="37">
                  <c:v>3.7852983921766281E-2</c:v>
                </c:pt>
                <c:pt idx="38">
                  <c:v>3.0430557206273079E-2</c:v>
                </c:pt>
                <c:pt idx="39">
                  <c:v>2.1555311977863312E-2</c:v>
                </c:pt>
                <c:pt idx="40">
                  <c:v>9.8096886649727821E-3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69A-457B-8D12-5BB784A3F444}"/>
            </c:ext>
          </c:extLst>
        </c:ser>
        <c:ser>
          <c:idx val="22"/>
          <c:order val="22"/>
          <c:tx>
            <c:strRef>
              <c:f>Skymaps!$D$752</c:f>
              <c:strCache>
                <c:ptCount val="1"/>
                <c:pt idx="0">
                  <c:v>22000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Skymaps!$E$752:$BC$752</c:f>
              <c:numCache>
                <c:formatCode>General</c:formatCode>
                <c:ptCount val="51"/>
                <c:pt idx="22">
                  <c:v>2.8910396620631218E-2</c:v>
                </c:pt>
                <c:pt idx="23">
                  <c:v>6.6252321004867554E-2</c:v>
                </c:pt>
                <c:pt idx="24">
                  <c:v>7.5293362140655518E-2</c:v>
                </c:pt>
                <c:pt idx="25">
                  <c:v>7.59597048163414E-2</c:v>
                </c:pt>
                <c:pt idx="26">
                  <c:v>7.606130838394165E-2</c:v>
                </c:pt>
                <c:pt idx="27">
                  <c:v>7.5088337063789368E-2</c:v>
                </c:pt>
                <c:pt idx="28">
                  <c:v>7.3028549551963806E-2</c:v>
                </c:pt>
                <c:pt idx="29">
                  <c:v>7.0948734879493713E-2</c:v>
                </c:pt>
                <c:pt idx="30">
                  <c:v>6.9317616522312164E-2</c:v>
                </c:pt>
                <c:pt idx="31">
                  <c:v>6.5796218812465668E-2</c:v>
                </c:pt>
                <c:pt idx="32">
                  <c:v>6.1661113053560257E-2</c:v>
                </c:pt>
                <c:pt idx="33">
                  <c:v>5.8274351060390472E-2</c:v>
                </c:pt>
                <c:pt idx="34">
                  <c:v>5.3529676049947739E-2</c:v>
                </c:pt>
                <c:pt idx="35">
                  <c:v>4.9984361976385117E-2</c:v>
                </c:pt>
                <c:pt idx="36">
                  <c:v>4.4602803885936737E-2</c:v>
                </c:pt>
                <c:pt idx="37">
                  <c:v>3.9310265332460403E-2</c:v>
                </c:pt>
                <c:pt idx="38">
                  <c:v>3.2803669571876526E-2</c:v>
                </c:pt>
                <c:pt idx="39">
                  <c:v>2.3836808279156685E-2</c:v>
                </c:pt>
                <c:pt idx="40">
                  <c:v>1.1614401824772358E-2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69A-457B-8D12-5BB784A3F444}"/>
            </c:ext>
          </c:extLst>
        </c:ser>
        <c:ser>
          <c:idx val="23"/>
          <c:order val="23"/>
          <c:tx>
            <c:strRef>
              <c:f>Skymaps!$D$753</c:f>
              <c:strCache>
                <c:ptCount val="1"/>
                <c:pt idx="0">
                  <c:v>23000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Skymaps!$E$753:$BC$753</c:f>
              <c:numCache>
                <c:formatCode>General</c:formatCode>
                <c:ptCount val="51"/>
                <c:pt idx="23">
                  <c:v>4.8729363828897476E-2</c:v>
                </c:pt>
                <c:pt idx="24">
                  <c:v>7.0942111313343048E-2</c:v>
                </c:pt>
                <c:pt idx="25">
                  <c:v>7.36079141497612E-2</c:v>
                </c:pt>
                <c:pt idx="26">
                  <c:v>7.3971688747406006E-2</c:v>
                </c:pt>
                <c:pt idx="27">
                  <c:v>7.3374360799789429E-2</c:v>
                </c:pt>
                <c:pt idx="28">
                  <c:v>7.2372898459434509E-2</c:v>
                </c:pt>
                <c:pt idx="29">
                  <c:v>7.0601895451545715E-2</c:v>
                </c:pt>
                <c:pt idx="30">
                  <c:v>6.8161040544509888E-2</c:v>
                </c:pt>
                <c:pt idx="31">
                  <c:v>6.5502367913722992E-2</c:v>
                </c:pt>
                <c:pt idx="32">
                  <c:v>6.2630727887153625E-2</c:v>
                </c:pt>
                <c:pt idx="33">
                  <c:v>5.8161094784736633E-2</c:v>
                </c:pt>
                <c:pt idx="34">
                  <c:v>5.5199649184942245E-2</c:v>
                </c:pt>
                <c:pt idx="35">
                  <c:v>5.0512868911027908E-2</c:v>
                </c:pt>
                <c:pt idx="36">
                  <c:v>4.6405527740716934E-2</c:v>
                </c:pt>
                <c:pt idx="37">
                  <c:v>4.0676023811101913E-2</c:v>
                </c:pt>
                <c:pt idx="38">
                  <c:v>3.4467738121747971E-2</c:v>
                </c:pt>
                <c:pt idx="39">
                  <c:v>2.6483822613954544E-2</c:v>
                </c:pt>
                <c:pt idx="40">
                  <c:v>1.3600328005850315E-2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69A-457B-8D12-5BB784A3F444}"/>
            </c:ext>
          </c:extLst>
        </c:ser>
        <c:ser>
          <c:idx val="24"/>
          <c:order val="24"/>
          <c:tx>
            <c:strRef>
              <c:f>Skymaps!$D$754</c:f>
              <c:strCache>
                <c:ptCount val="1"/>
                <c:pt idx="0">
                  <c:v>24000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Skymaps!$E$754:$BC$754</c:f>
              <c:numCache>
                <c:formatCode>General</c:formatCode>
                <c:ptCount val="51"/>
                <c:pt idx="23">
                  <c:v>2.4438017979264259E-2</c:v>
                </c:pt>
                <c:pt idx="24">
                  <c:v>5.9973254799842834E-2</c:v>
                </c:pt>
                <c:pt idx="25">
                  <c:v>6.9527246057987213E-2</c:v>
                </c:pt>
                <c:pt idx="26">
                  <c:v>7.000201940536499E-2</c:v>
                </c:pt>
                <c:pt idx="27">
                  <c:v>7.0109598338603973E-2</c:v>
                </c:pt>
                <c:pt idx="28">
                  <c:v>6.9562464952468872E-2</c:v>
                </c:pt>
                <c:pt idx="29">
                  <c:v>6.8691641092300415E-2</c:v>
                </c:pt>
                <c:pt idx="30">
                  <c:v>6.7673660814762115E-2</c:v>
                </c:pt>
                <c:pt idx="31">
                  <c:v>6.5627038478851318E-2</c:v>
                </c:pt>
                <c:pt idx="32">
                  <c:v>6.2256302684545517E-2</c:v>
                </c:pt>
                <c:pt idx="33">
                  <c:v>5.9553228318691254E-2</c:v>
                </c:pt>
                <c:pt idx="34">
                  <c:v>5.5723417550325394E-2</c:v>
                </c:pt>
                <c:pt idx="35">
                  <c:v>5.2376478910446167E-2</c:v>
                </c:pt>
                <c:pt idx="36">
                  <c:v>4.7291144728660583E-2</c:v>
                </c:pt>
                <c:pt idx="37">
                  <c:v>4.2815759778022766E-2</c:v>
                </c:pt>
                <c:pt idx="38">
                  <c:v>3.5516098141670227E-2</c:v>
                </c:pt>
                <c:pt idx="39">
                  <c:v>2.8315678238868713E-2</c:v>
                </c:pt>
                <c:pt idx="40">
                  <c:v>1.6565052792429924E-2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69A-457B-8D12-5BB784A3F444}"/>
            </c:ext>
          </c:extLst>
        </c:ser>
        <c:ser>
          <c:idx val="25"/>
          <c:order val="25"/>
          <c:tx>
            <c:strRef>
              <c:f>Skymaps!$D$755</c:f>
              <c:strCache>
                <c:ptCount val="1"/>
                <c:pt idx="0">
                  <c:v>25000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Skymaps!$E$755:$BC$755</c:f>
              <c:numCache>
                <c:formatCode>General</c:formatCode>
                <c:ptCount val="51"/>
                <c:pt idx="24">
                  <c:v>4.2224902659654617E-2</c:v>
                </c:pt>
                <c:pt idx="25">
                  <c:v>6.4505569636821747E-2</c:v>
                </c:pt>
                <c:pt idx="26">
                  <c:v>6.7687191069126129E-2</c:v>
                </c:pt>
                <c:pt idx="27">
                  <c:v>6.8804033100605011E-2</c:v>
                </c:pt>
                <c:pt idx="28">
                  <c:v>6.8696066737174988E-2</c:v>
                </c:pt>
                <c:pt idx="29">
                  <c:v>6.8088419735431671E-2</c:v>
                </c:pt>
                <c:pt idx="30">
                  <c:v>6.6567152738571167E-2</c:v>
                </c:pt>
                <c:pt idx="31">
                  <c:v>6.4132906496524811E-2</c:v>
                </c:pt>
                <c:pt idx="32">
                  <c:v>6.2889613211154938E-2</c:v>
                </c:pt>
                <c:pt idx="33">
                  <c:v>5.9941548854112625E-2</c:v>
                </c:pt>
                <c:pt idx="34">
                  <c:v>5.6654106825590134E-2</c:v>
                </c:pt>
                <c:pt idx="35">
                  <c:v>5.3568672388792038E-2</c:v>
                </c:pt>
                <c:pt idx="36">
                  <c:v>4.881025105714798E-2</c:v>
                </c:pt>
                <c:pt idx="37">
                  <c:v>4.4044047594070435E-2</c:v>
                </c:pt>
                <c:pt idx="38">
                  <c:v>3.8061220198869705E-2</c:v>
                </c:pt>
                <c:pt idx="39">
                  <c:v>2.9314551502466202E-2</c:v>
                </c:pt>
                <c:pt idx="40">
                  <c:v>1.8465064465999603E-2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69A-457B-8D12-5BB784A3F444}"/>
            </c:ext>
          </c:extLst>
        </c:ser>
        <c:ser>
          <c:idx val="26"/>
          <c:order val="26"/>
          <c:tx>
            <c:strRef>
              <c:f>Skymaps!$D$756</c:f>
              <c:strCache>
                <c:ptCount val="1"/>
                <c:pt idx="0">
                  <c:v>26000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Skymaps!$E$756:$BC$756</c:f>
              <c:numCache>
                <c:formatCode>General</c:formatCode>
                <c:ptCount val="51"/>
                <c:pt idx="24">
                  <c:v>1.6800176352262497E-2</c:v>
                </c:pt>
                <c:pt idx="25">
                  <c:v>5.1803991198539734E-2</c:v>
                </c:pt>
                <c:pt idx="26">
                  <c:v>6.346689909696579E-2</c:v>
                </c:pt>
                <c:pt idx="27">
                  <c:v>6.4786747097969055E-2</c:v>
                </c:pt>
                <c:pt idx="28">
                  <c:v>6.4940348267555237E-2</c:v>
                </c:pt>
                <c:pt idx="29">
                  <c:v>6.4846813678741455E-2</c:v>
                </c:pt>
                <c:pt idx="30">
                  <c:v>6.458524614572525E-2</c:v>
                </c:pt>
                <c:pt idx="31">
                  <c:v>6.3210181891918182E-2</c:v>
                </c:pt>
                <c:pt idx="32">
                  <c:v>6.0766234993934631E-2</c:v>
                </c:pt>
                <c:pt idx="33">
                  <c:v>5.8798778802156448E-2</c:v>
                </c:pt>
                <c:pt idx="34">
                  <c:v>5.6407947093248367E-2</c:v>
                </c:pt>
                <c:pt idx="35">
                  <c:v>5.2656397223472595E-2</c:v>
                </c:pt>
                <c:pt idx="36">
                  <c:v>4.924151673913002E-2</c:v>
                </c:pt>
                <c:pt idx="37">
                  <c:v>4.4302918016910553E-2</c:v>
                </c:pt>
                <c:pt idx="38">
                  <c:v>3.8922853767871857E-2</c:v>
                </c:pt>
                <c:pt idx="39">
                  <c:v>3.1366635113954544E-2</c:v>
                </c:pt>
                <c:pt idx="40">
                  <c:v>1.8895598128437996E-2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69A-457B-8D12-5BB784A3F444}"/>
            </c:ext>
          </c:extLst>
        </c:ser>
        <c:ser>
          <c:idx val="27"/>
          <c:order val="27"/>
          <c:tx>
            <c:strRef>
              <c:f>Skymaps!$D$757</c:f>
              <c:strCache>
                <c:ptCount val="1"/>
                <c:pt idx="0">
                  <c:v>27000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Skymaps!$E$757:$BC$757</c:f>
              <c:numCache>
                <c:formatCode>General</c:formatCode>
                <c:ptCount val="51"/>
                <c:pt idx="25">
                  <c:v>3.1942788511514664E-2</c:v>
                </c:pt>
                <c:pt idx="26">
                  <c:v>5.6345168501138687E-2</c:v>
                </c:pt>
                <c:pt idx="27">
                  <c:v>6.0037918388843536E-2</c:v>
                </c:pt>
                <c:pt idx="28">
                  <c:v>6.1836168169975281E-2</c:v>
                </c:pt>
                <c:pt idx="29">
                  <c:v>6.1957277357578278E-2</c:v>
                </c:pt>
                <c:pt idx="30">
                  <c:v>6.1366487294435501E-2</c:v>
                </c:pt>
                <c:pt idx="31">
                  <c:v>6.023130938410759E-2</c:v>
                </c:pt>
                <c:pt idx="32">
                  <c:v>5.955781415104866E-2</c:v>
                </c:pt>
                <c:pt idx="33">
                  <c:v>5.7707935571670532E-2</c:v>
                </c:pt>
                <c:pt idx="34">
                  <c:v>5.4757989943027496E-2</c:v>
                </c:pt>
                <c:pt idx="35">
                  <c:v>5.2996017038822174E-2</c:v>
                </c:pt>
                <c:pt idx="36">
                  <c:v>4.852750152349472E-2</c:v>
                </c:pt>
                <c:pt idx="37">
                  <c:v>4.5281767845153809E-2</c:v>
                </c:pt>
                <c:pt idx="38">
                  <c:v>3.879455104470253E-2</c:v>
                </c:pt>
                <c:pt idx="39">
                  <c:v>3.2549463212490082E-2</c:v>
                </c:pt>
                <c:pt idx="40">
                  <c:v>2.0912196487188339E-2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69A-457B-8D12-5BB784A3F444}"/>
            </c:ext>
          </c:extLst>
        </c:ser>
        <c:ser>
          <c:idx val="28"/>
          <c:order val="28"/>
          <c:tx>
            <c:strRef>
              <c:f>Skymaps!$D$758</c:f>
              <c:strCache>
                <c:ptCount val="1"/>
                <c:pt idx="0">
                  <c:v>28000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Skymaps!$E$758:$BC$758</c:f>
              <c:numCache>
                <c:formatCode>General</c:formatCode>
                <c:ptCount val="51"/>
                <c:pt idx="25">
                  <c:v>4.7082751989364624E-3</c:v>
                </c:pt>
                <c:pt idx="26">
                  <c:v>4.2007353156805038E-2</c:v>
                </c:pt>
                <c:pt idx="27">
                  <c:v>5.6558404117822647E-2</c:v>
                </c:pt>
                <c:pt idx="28">
                  <c:v>5.8619141578674316E-2</c:v>
                </c:pt>
                <c:pt idx="29">
                  <c:v>5.93438521027565E-2</c:v>
                </c:pt>
                <c:pt idx="30">
                  <c:v>5.9400450438261032E-2</c:v>
                </c:pt>
                <c:pt idx="31">
                  <c:v>5.8797508478164673E-2</c:v>
                </c:pt>
                <c:pt idx="32">
                  <c:v>5.7349912822246552E-2</c:v>
                </c:pt>
                <c:pt idx="33">
                  <c:v>5.5795136839151382E-2</c:v>
                </c:pt>
                <c:pt idx="34">
                  <c:v>5.4603822529315948E-2</c:v>
                </c:pt>
                <c:pt idx="35">
                  <c:v>5.1830198615789413E-2</c:v>
                </c:pt>
                <c:pt idx="36">
                  <c:v>4.8993419855833054E-2</c:v>
                </c:pt>
                <c:pt idx="37">
                  <c:v>4.5096844434738159E-2</c:v>
                </c:pt>
                <c:pt idx="38">
                  <c:v>4.0305644273757935E-2</c:v>
                </c:pt>
                <c:pt idx="39">
                  <c:v>3.2628823071718216E-2</c:v>
                </c:pt>
                <c:pt idx="40">
                  <c:v>2.2192647680640221E-2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69A-457B-8D12-5BB784A3F444}"/>
            </c:ext>
          </c:extLst>
        </c:ser>
        <c:ser>
          <c:idx val="29"/>
          <c:order val="29"/>
          <c:tx>
            <c:strRef>
              <c:f>Skymaps!$D$759</c:f>
              <c:strCache>
                <c:ptCount val="1"/>
                <c:pt idx="0">
                  <c:v>29000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Skymaps!$E$759:$BC$759</c:f>
              <c:numCache>
                <c:formatCode>General</c:formatCode>
                <c:ptCount val="51"/>
                <c:pt idx="26">
                  <c:v>2.0246759057044983E-2</c:v>
                </c:pt>
                <c:pt idx="27">
                  <c:v>4.7276236116886139E-2</c:v>
                </c:pt>
                <c:pt idx="28">
                  <c:v>5.3573910146951675E-2</c:v>
                </c:pt>
                <c:pt idx="29">
                  <c:v>5.4972320795059204E-2</c:v>
                </c:pt>
                <c:pt idx="30">
                  <c:v>5.557820200920105E-2</c:v>
                </c:pt>
                <c:pt idx="31">
                  <c:v>5.5814411491155624E-2</c:v>
                </c:pt>
                <c:pt idx="32">
                  <c:v>5.5757682770490646E-2</c:v>
                </c:pt>
                <c:pt idx="33">
                  <c:v>5.4741501808166504E-2</c:v>
                </c:pt>
                <c:pt idx="34">
                  <c:v>5.2198048681020737E-2</c:v>
                </c:pt>
                <c:pt idx="35">
                  <c:v>5.1643498241901398E-2</c:v>
                </c:pt>
                <c:pt idx="36">
                  <c:v>4.8480693250894547E-2</c:v>
                </c:pt>
                <c:pt idx="37">
                  <c:v>4.5363746583461761E-2</c:v>
                </c:pt>
                <c:pt idx="38">
                  <c:v>4.0566954761743546E-2</c:v>
                </c:pt>
                <c:pt idx="39">
                  <c:v>3.4337271004915237E-2</c:v>
                </c:pt>
                <c:pt idx="40">
                  <c:v>2.1828919649124146E-2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69A-457B-8D12-5BB784A3F444}"/>
            </c:ext>
          </c:extLst>
        </c:ser>
        <c:ser>
          <c:idx val="30"/>
          <c:order val="30"/>
          <c:tx>
            <c:strRef>
              <c:f>Skymaps!$D$760</c:f>
              <c:strCache>
                <c:ptCount val="1"/>
                <c:pt idx="0">
                  <c:v>30000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Skymaps!$E$760:$BC$760</c:f>
              <c:numCache>
                <c:formatCode>General</c:formatCode>
                <c:ptCount val="51"/>
                <c:pt idx="27">
                  <c:v>3.0510552227497101E-2</c:v>
                </c:pt>
                <c:pt idx="28">
                  <c:v>4.8917155712842941E-2</c:v>
                </c:pt>
                <c:pt idx="29">
                  <c:v>5.1707126200199127E-2</c:v>
                </c:pt>
                <c:pt idx="30">
                  <c:v>5.3122710436582565E-2</c:v>
                </c:pt>
                <c:pt idx="31">
                  <c:v>5.3212776780128479E-2</c:v>
                </c:pt>
                <c:pt idx="32">
                  <c:v>5.2451357245445251E-2</c:v>
                </c:pt>
                <c:pt idx="33">
                  <c:v>5.250263586640358E-2</c:v>
                </c:pt>
                <c:pt idx="34">
                  <c:v>5.2087094634771347E-2</c:v>
                </c:pt>
                <c:pt idx="35">
                  <c:v>5.0257086753845215E-2</c:v>
                </c:pt>
                <c:pt idx="36">
                  <c:v>4.8039615154266357E-2</c:v>
                </c:pt>
                <c:pt idx="37">
                  <c:v>4.5444987714290619E-2</c:v>
                </c:pt>
                <c:pt idx="38">
                  <c:v>4.0711548179388046E-2</c:v>
                </c:pt>
                <c:pt idx="39">
                  <c:v>3.4905914217233658E-2</c:v>
                </c:pt>
                <c:pt idx="40">
                  <c:v>2.3390818387269974E-2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69A-457B-8D12-5BB784A3F444}"/>
            </c:ext>
          </c:extLst>
        </c:ser>
        <c:ser>
          <c:idx val="31"/>
          <c:order val="31"/>
          <c:tx>
            <c:strRef>
              <c:f>Skymaps!$D$761</c:f>
              <c:strCache>
                <c:ptCount val="1"/>
                <c:pt idx="0">
                  <c:v>31000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Skymaps!$E$761:$BC$761</c:f>
              <c:numCache>
                <c:formatCode>General</c:formatCode>
                <c:ptCount val="51"/>
                <c:pt idx="27">
                  <c:v>5.7118171826004982E-3</c:v>
                </c:pt>
                <c:pt idx="28">
                  <c:v>3.6345567554235458E-2</c:v>
                </c:pt>
                <c:pt idx="29">
                  <c:v>4.7511190176010132E-2</c:v>
                </c:pt>
                <c:pt idx="30">
                  <c:v>4.9536775797605515E-2</c:v>
                </c:pt>
                <c:pt idx="31">
                  <c:v>5.0350319594144821E-2</c:v>
                </c:pt>
                <c:pt idx="32">
                  <c:v>5.0510246306657791E-2</c:v>
                </c:pt>
                <c:pt idx="33">
                  <c:v>4.9997109919786453E-2</c:v>
                </c:pt>
                <c:pt idx="34">
                  <c:v>4.8662658780813217E-2</c:v>
                </c:pt>
                <c:pt idx="35">
                  <c:v>4.8708420246839523E-2</c:v>
                </c:pt>
                <c:pt idx="36">
                  <c:v>4.6565808355808258E-2</c:v>
                </c:pt>
                <c:pt idx="37">
                  <c:v>4.3828275054693222E-2</c:v>
                </c:pt>
                <c:pt idx="38">
                  <c:v>4.0241129696369171E-2</c:v>
                </c:pt>
                <c:pt idx="39">
                  <c:v>3.3831596374511719E-2</c:v>
                </c:pt>
                <c:pt idx="40">
                  <c:v>2.2593330591917038E-2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69A-457B-8D12-5BB784A3F444}"/>
            </c:ext>
          </c:extLst>
        </c:ser>
        <c:ser>
          <c:idx val="32"/>
          <c:order val="32"/>
          <c:tx>
            <c:strRef>
              <c:f>Skymaps!$D$762</c:f>
              <c:strCache>
                <c:ptCount val="1"/>
                <c:pt idx="0">
                  <c:v>32000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Skymaps!$E$762:$BC$762</c:f>
              <c:numCache>
                <c:formatCode>General</c:formatCode>
                <c:ptCount val="51"/>
                <c:pt idx="28">
                  <c:v>1.5989881008863449E-2</c:v>
                </c:pt>
                <c:pt idx="29">
                  <c:v>3.9031960070133209E-2</c:v>
                </c:pt>
                <c:pt idx="30">
                  <c:v>4.418148472905159E-2</c:v>
                </c:pt>
                <c:pt idx="31">
                  <c:v>4.5951459556818008E-2</c:v>
                </c:pt>
                <c:pt idx="32">
                  <c:v>4.6812102198600769E-2</c:v>
                </c:pt>
                <c:pt idx="33">
                  <c:v>4.7321874648332596E-2</c:v>
                </c:pt>
                <c:pt idx="34">
                  <c:v>4.7201484441757202E-2</c:v>
                </c:pt>
                <c:pt idx="35">
                  <c:v>4.5997906476259232E-2</c:v>
                </c:pt>
                <c:pt idx="36">
                  <c:v>4.4397994875907898E-2</c:v>
                </c:pt>
                <c:pt idx="37">
                  <c:v>4.2930051684379578E-2</c:v>
                </c:pt>
                <c:pt idx="38">
                  <c:v>3.7886388599872589E-2</c:v>
                </c:pt>
                <c:pt idx="39">
                  <c:v>3.3264052122831345E-2</c:v>
                </c:pt>
                <c:pt idx="40">
                  <c:v>2.0599598065018654E-2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69A-457B-8D12-5BB784A3F444}"/>
            </c:ext>
          </c:extLst>
        </c:ser>
        <c:ser>
          <c:idx val="33"/>
          <c:order val="33"/>
          <c:tx>
            <c:strRef>
              <c:f>Skymaps!$D$763</c:f>
              <c:strCache>
                <c:ptCount val="1"/>
                <c:pt idx="0">
                  <c:v>33000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Skymaps!$E$763:$BC$763</c:f>
              <c:numCache>
                <c:formatCode>General</c:formatCode>
                <c:ptCount val="51"/>
                <c:pt idx="29">
                  <c:v>2.2681724280118942E-2</c:v>
                </c:pt>
                <c:pt idx="30">
                  <c:v>3.9489604532718658E-2</c:v>
                </c:pt>
                <c:pt idx="31">
                  <c:v>4.1771989315748215E-2</c:v>
                </c:pt>
                <c:pt idx="32">
                  <c:v>4.3180547654628754E-2</c:v>
                </c:pt>
                <c:pt idx="33">
                  <c:v>4.324166476726532E-2</c:v>
                </c:pt>
                <c:pt idx="34">
                  <c:v>4.3867666274309158E-2</c:v>
                </c:pt>
                <c:pt idx="35">
                  <c:v>4.4244423508644104E-2</c:v>
                </c:pt>
                <c:pt idx="36">
                  <c:v>4.2473424226045609E-2</c:v>
                </c:pt>
                <c:pt idx="37">
                  <c:v>4.0207386016845703E-2</c:v>
                </c:pt>
                <c:pt idx="38">
                  <c:v>3.735782578587532E-2</c:v>
                </c:pt>
                <c:pt idx="39">
                  <c:v>3.0208989977836609E-2</c:v>
                </c:pt>
                <c:pt idx="40">
                  <c:v>2.0056381821632385E-2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69A-457B-8D12-5BB784A3F444}"/>
            </c:ext>
          </c:extLst>
        </c:ser>
        <c:ser>
          <c:idx val="34"/>
          <c:order val="34"/>
          <c:tx>
            <c:strRef>
              <c:f>Skymaps!$D$764</c:f>
              <c:strCache>
                <c:ptCount val="1"/>
                <c:pt idx="0">
                  <c:v>34000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Skymaps!$E$764:$BC$764</c:f>
              <c:numCache>
                <c:formatCode>General</c:formatCode>
                <c:ptCount val="51"/>
                <c:pt idx="30">
                  <c:v>2.6968443766236305E-2</c:v>
                </c:pt>
                <c:pt idx="31">
                  <c:v>3.8001708686351776E-2</c:v>
                </c:pt>
                <c:pt idx="32">
                  <c:v>3.9980087429285049E-2</c:v>
                </c:pt>
                <c:pt idx="33">
                  <c:v>4.0984787046909332E-2</c:v>
                </c:pt>
                <c:pt idx="34">
                  <c:v>4.1097827255725861E-2</c:v>
                </c:pt>
                <c:pt idx="35">
                  <c:v>4.0349237620830536E-2</c:v>
                </c:pt>
                <c:pt idx="36">
                  <c:v>4.0152177214622498E-2</c:v>
                </c:pt>
                <c:pt idx="37">
                  <c:v>3.8956306874752045E-2</c:v>
                </c:pt>
                <c:pt idx="38">
                  <c:v>3.4060802310705185E-2</c:v>
                </c:pt>
                <c:pt idx="39">
                  <c:v>2.9909584671258926E-2</c:v>
                </c:pt>
                <c:pt idx="40">
                  <c:v>1.575879193842411E-2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69A-457B-8D12-5BB784A3F444}"/>
            </c:ext>
          </c:extLst>
        </c:ser>
        <c:ser>
          <c:idx val="35"/>
          <c:order val="35"/>
          <c:tx>
            <c:strRef>
              <c:f>Skymaps!$D$765</c:f>
              <c:strCache>
                <c:ptCount val="1"/>
                <c:pt idx="0">
                  <c:v>35000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Skymaps!$E$765:$BC$765</c:f>
              <c:numCache>
                <c:formatCode>General</c:formatCode>
                <c:ptCount val="51"/>
                <c:pt idx="31">
                  <c:v>2.862221747636795E-2</c:v>
                </c:pt>
                <c:pt idx="32">
                  <c:v>3.5397753119468689E-2</c:v>
                </c:pt>
                <c:pt idx="33">
                  <c:v>3.7404384464025497E-2</c:v>
                </c:pt>
                <c:pt idx="34">
                  <c:v>3.8382809609174728E-2</c:v>
                </c:pt>
                <c:pt idx="35">
                  <c:v>3.8650438189506531E-2</c:v>
                </c:pt>
                <c:pt idx="36">
                  <c:v>3.7021499127149582E-2</c:v>
                </c:pt>
                <c:pt idx="37">
                  <c:v>3.615228459239006E-2</c:v>
                </c:pt>
                <c:pt idx="38">
                  <c:v>3.3242955803871155E-2</c:v>
                </c:pt>
                <c:pt idx="39">
                  <c:v>2.6115363463759422E-2</c:v>
                </c:pt>
                <c:pt idx="40">
                  <c:v>1.5396577306091785E-2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69A-457B-8D12-5BB784A3F444}"/>
            </c:ext>
          </c:extLst>
        </c:ser>
        <c:ser>
          <c:idx val="36"/>
          <c:order val="36"/>
          <c:tx>
            <c:strRef>
              <c:f>Skymaps!$D$766</c:f>
              <c:strCache>
                <c:ptCount val="1"/>
                <c:pt idx="0">
                  <c:v>36000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Skymaps!$E$766:$BC$766</c:f>
              <c:numCache>
                <c:formatCode>General</c:formatCode>
                <c:ptCount val="51"/>
                <c:pt idx="33">
                  <c:v>3.0386466532945633E-2</c:v>
                </c:pt>
                <c:pt idx="34">
                  <c:v>3.2580740749835968E-2</c:v>
                </c:pt>
                <c:pt idx="35">
                  <c:v>3.371473029255867E-2</c:v>
                </c:pt>
                <c:pt idx="36">
                  <c:v>3.2968241721391678E-2</c:v>
                </c:pt>
                <c:pt idx="37">
                  <c:v>3.1824477016925812E-2</c:v>
                </c:pt>
                <c:pt idx="38">
                  <c:v>2.7958735823631287E-2</c:v>
                </c:pt>
                <c:pt idx="39">
                  <c:v>2.3343812674283981E-2</c:v>
                </c:pt>
                <c:pt idx="40">
                  <c:v>9.2207174748182297E-3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B69A-457B-8D12-5BB784A3F444}"/>
            </c:ext>
          </c:extLst>
        </c:ser>
        <c:ser>
          <c:idx val="37"/>
          <c:order val="37"/>
          <c:tx>
            <c:strRef>
              <c:f>Skymaps!$D$767</c:f>
              <c:strCache>
                <c:ptCount val="1"/>
                <c:pt idx="0">
                  <c:v>37000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Skymaps!$E$767:$BC$767</c:f>
              <c:numCache>
                <c:formatCode>General</c:formatCode>
                <c:ptCount val="51"/>
                <c:pt idx="35">
                  <c:v>2.7437113225460052E-2</c:v>
                </c:pt>
                <c:pt idx="36">
                  <c:v>2.7322446927428246E-2</c:v>
                </c:pt>
                <c:pt idx="37">
                  <c:v>2.7187870815396309E-2</c:v>
                </c:pt>
                <c:pt idx="38">
                  <c:v>2.3819746449589729E-2</c:v>
                </c:pt>
                <c:pt idx="39">
                  <c:v>1.7542989924550056E-2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B69A-457B-8D12-5BB784A3F444}"/>
            </c:ext>
          </c:extLst>
        </c:ser>
        <c:ser>
          <c:idx val="38"/>
          <c:order val="38"/>
          <c:tx>
            <c:strRef>
              <c:f>Skymaps!$D$768</c:f>
              <c:strCache>
                <c:ptCount val="1"/>
                <c:pt idx="0">
                  <c:v>38000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Skymaps!$E$768:$BC$768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6-B69A-457B-8D12-5BB784A3F444}"/>
            </c:ext>
          </c:extLst>
        </c:ser>
        <c:ser>
          <c:idx val="39"/>
          <c:order val="39"/>
          <c:tx>
            <c:strRef>
              <c:f>Skymaps!$D$769</c:f>
              <c:strCache>
                <c:ptCount val="1"/>
                <c:pt idx="0">
                  <c:v>39000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Skymaps!$E$769:$BC$769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B69A-457B-8D12-5BB784A3F444}"/>
            </c:ext>
          </c:extLst>
        </c:ser>
        <c:ser>
          <c:idx val="40"/>
          <c:order val="40"/>
          <c:tx>
            <c:strRef>
              <c:f>Skymaps!$D$770</c:f>
              <c:strCache>
                <c:ptCount val="1"/>
                <c:pt idx="0">
                  <c:v>40000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Skymaps!$E$770:$BC$770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B69A-457B-8D12-5BB784A3F444}"/>
            </c:ext>
          </c:extLst>
        </c:ser>
        <c:ser>
          <c:idx val="41"/>
          <c:order val="41"/>
          <c:tx>
            <c:strRef>
              <c:f>Skymaps!$D$771</c:f>
              <c:strCache>
                <c:ptCount val="1"/>
                <c:pt idx="0">
                  <c:v>41000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Skymaps!$E$771:$BC$771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B69A-457B-8D12-5BB784A3F444}"/>
            </c:ext>
          </c:extLst>
        </c:ser>
        <c:ser>
          <c:idx val="42"/>
          <c:order val="42"/>
          <c:tx>
            <c:strRef>
              <c:f>Skymaps!$D$772</c:f>
              <c:strCache>
                <c:ptCount val="1"/>
                <c:pt idx="0">
                  <c:v>42000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Skymaps!$E$772:$BC$772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B69A-457B-8D12-5BB784A3F444}"/>
            </c:ext>
          </c:extLst>
        </c:ser>
        <c:ser>
          <c:idx val="43"/>
          <c:order val="43"/>
          <c:tx>
            <c:strRef>
              <c:f>Skymaps!$D$773</c:f>
              <c:strCache>
                <c:ptCount val="1"/>
                <c:pt idx="0">
                  <c:v>43000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Skymaps!$E$773:$BC$773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B69A-457B-8D12-5BB784A3F444}"/>
            </c:ext>
          </c:extLst>
        </c:ser>
        <c:ser>
          <c:idx val="44"/>
          <c:order val="44"/>
          <c:tx>
            <c:strRef>
              <c:f>Skymaps!$D$774</c:f>
              <c:strCache>
                <c:ptCount val="1"/>
                <c:pt idx="0">
                  <c:v>44000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Skymaps!$E$774:$BC$774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B69A-457B-8D12-5BB784A3F444}"/>
            </c:ext>
          </c:extLst>
        </c:ser>
        <c:ser>
          <c:idx val="45"/>
          <c:order val="45"/>
          <c:tx>
            <c:strRef>
              <c:f>Skymaps!$D$775</c:f>
              <c:strCache>
                <c:ptCount val="1"/>
                <c:pt idx="0">
                  <c:v>45000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Skymaps!$E$775:$BC$775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B69A-457B-8D12-5BB784A3F444}"/>
            </c:ext>
          </c:extLst>
        </c:ser>
        <c:ser>
          <c:idx val="46"/>
          <c:order val="46"/>
          <c:tx>
            <c:strRef>
              <c:f>Skymaps!$D$776</c:f>
              <c:strCache>
                <c:ptCount val="1"/>
                <c:pt idx="0">
                  <c:v>46000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Skymaps!$E$776:$BC$776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B69A-457B-8D12-5BB784A3F444}"/>
            </c:ext>
          </c:extLst>
        </c:ser>
        <c:ser>
          <c:idx val="47"/>
          <c:order val="47"/>
          <c:tx>
            <c:strRef>
              <c:f>Skymaps!$D$777</c:f>
              <c:strCache>
                <c:ptCount val="1"/>
                <c:pt idx="0">
                  <c:v>47000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Skymaps!$E$777:$BC$777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B69A-457B-8D12-5BB784A3F444}"/>
            </c:ext>
          </c:extLst>
        </c:ser>
        <c:ser>
          <c:idx val="48"/>
          <c:order val="48"/>
          <c:tx>
            <c:strRef>
              <c:f>Skymaps!$D$778</c:f>
              <c:strCache>
                <c:ptCount val="1"/>
                <c:pt idx="0">
                  <c:v>48000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Skymaps!$E$778:$BC$778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B69A-457B-8D12-5BB784A3F444}"/>
            </c:ext>
          </c:extLst>
        </c:ser>
        <c:ser>
          <c:idx val="49"/>
          <c:order val="49"/>
          <c:tx>
            <c:strRef>
              <c:f>Skymaps!$D$779</c:f>
              <c:strCache>
                <c:ptCount val="1"/>
                <c:pt idx="0">
                  <c:v>49000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Skymaps!$E$779:$BC$779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B69A-457B-8D12-5BB784A3F444}"/>
            </c:ext>
          </c:extLst>
        </c:ser>
        <c:ser>
          <c:idx val="50"/>
          <c:order val="50"/>
          <c:tx>
            <c:strRef>
              <c:f>Skymaps!$D$780</c:f>
              <c:strCache>
                <c:ptCount val="1"/>
                <c:pt idx="0">
                  <c:v>50000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Skymaps!$E$780:$BC$780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B69A-457B-8D12-5BB784A3F444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39877864"/>
        <c:axId val="639876224"/>
        <c:axId val="576207600"/>
      </c:surfaceChart>
      <c:catAx>
        <c:axId val="639877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876224"/>
        <c:crosses val="autoZero"/>
        <c:auto val="1"/>
        <c:lblAlgn val="ctr"/>
        <c:lblOffset val="100"/>
        <c:noMultiLvlLbl val="0"/>
      </c:catAx>
      <c:valAx>
        <c:axId val="63987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877864"/>
        <c:crosses val="autoZero"/>
        <c:crossBetween val="midCat"/>
        <c:majorUnit val="1.0000000000000002E-2"/>
      </c:valAx>
      <c:serAx>
        <c:axId val="57620760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876224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Skymaps!$D$782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Skymaps!$E$782:$BC$782</c:f>
              <c:numCache>
                <c:formatCode>General</c:formatCode>
                <c:ptCount val="51"/>
                <c:pt idx="13">
                  <c:v>624.7344970703125</c:v>
                </c:pt>
                <c:pt idx="14">
                  <c:v>3338.54345703125</c:v>
                </c:pt>
                <c:pt idx="15">
                  <c:v>4800.37744140625</c:v>
                </c:pt>
                <c:pt idx="16">
                  <c:v>5254.09521484375</c:v>
                </c:pt>
                <c:pt idx="17">
                  <c:v>5516.42578125</c:v>
                </c:pt>
                <c:pt idx="18">
                  <c:v>5726.80810546875</c:v>
                </c:pt>
                <c:pt idx="19">
                  <c:v>5897.77880859375</c:v>
                </c:pt>
                <c:pt idx="20">
                  <c:v>6045.39013671875</c:v>
                </c:pt>
                <c:pt idx="21">
                  <c:v>5403.44873046875</c:v>
                </c:pt>
                <c:pt idx="22">
                  <c:v>4690.8232421875</c:v>
                </c:pt>
                <c:pt idx="23">
                  <c:v>3908.276123046875</c:v>
                </c:pt>
                <c:pt idx="24">
                  <c:v>3021.62548828125</c:v>
                </c:pt>
                <c:pt idx="25">
                  <c:v>2071.134033203125</c:v>
                </c:pt>
                <c:pt idx="26">
                  <c:v>1892.6629638671875</c:v>
                </c:pt>
                <c:pt idx="27">
                  <c:v>1714.528076171875</c:v>
                </c:pt>
                <c:pt idx="28">
                  <c:v>1476.9281005859375</c:v>
                </c:pt>
                <c:pt idx="29">
                  <c:v>1240.4310302734375</c:v>
                </c:pt>
                <c:pt idx="30">
                  <c:v>972.7529296875</c:v>
                </c:pt>
                <c:pt idx="31">
                  <c:v>665.3189697265625</c:v>
                </c:pt>
                <c:pt idx="32">
                  <c:v>312.52655029296875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E2-4AC5-91CB-75A47B717FDA}"/>
            </c:ext>
          </c:extLst>
        </c:ser>
        <c:ser>
          <c:idx val="1"/>
          <c:order val="1"/>
          <c:tx>
            <c:strRef>
              <c:f>Skymaps!$D$783</c:f>
              <c:strCache>
                <c:ptCount val="1"/>
                <c:pt idx="0">
                  <c:v>1000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Skymaps!$E$783:$BC$783</c:f>
              <c:numCache>
                <c:formatCode>General</c:formatCode>
                <c:ptCount val="51"/>
                <c:pt idx="14">
                  <c:v>2662.1240234375</c:v>
                </c:pt>
                <c:pt idx="15">
                  <c:v>4420.91943359375</c:v>
                </c:pt>
                <c:pt idx="16">
                  <c:v>5038.3564453125</c:v>
                </c:pt>
                <c:pt idx="17">
                  <c:v>5328.505859375</c:v>
                </c:pt>
                <c:pt idx="18">
                  <c:v>5563.76318359375</c:v>
                </c:pt>
                <c:pt idx="19">
                  <c:v>5745.4375</c:v>
                </c:pt>
                <c:pt idx="20">
                  <c:v>5890.98095703125</c:v>
                </c:pt>
                <c:pt idx="21">
                  <c:v>5295.146484375</c:v>
                </c:pt>
                <c:pt idx="22">
                  <c:v>4618.7041015625</c:v>
                </c:pt>
                <c:pt idx="23">
                  <c:v>3855.77685546875</c:v>
                </c:pt>
                <c:pt idx="24">
                  <c:v>3017.582275390625</c:v>
                </c:pt>
                <c:pt idx="25">
                  <c:v>2125.921875</c:v>
                </c:pt>
                <c:pt idx="26">
                  <c:v>1945.7545166015625</c:v>
                </c:pt>
                <c:pt idx="27">
                  <c:v>1785.4356689453125</c:v>
                </c:pt>
                <c:pt idx="28">
                  <c:v>1577.1646728515625</c:v>
                </c:pt>
                <c:pt idx="29">
                  <c:v>1335.5452880859375</c:v>
                </c:pt>
                <c:pt idx="30">
                  <c:v>1087.860595703125</c:v>
                </c:pt>
                <c:pt idx="31">
                  <c:v>801.1234130859375</c:v>
                </c:pt>
                <c:pt idx="32">
                  <c:v>459.27725219726563</c:v>
                </c:pt>
                <c:pt idx="33">
                  <c:v>113.18515014648438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E2-4AC5-91CB-75A47B717FDA}"/>
            </c:ext>
          </c:extLst>
        </c:ser>
        <c:ser>
          <c:idx val="2"/>
          <c:order val="2"/>
          <c:tx>
            <c:strRef>
              <c:f>Skymaps!$D$784</c:f>
              <c:strCache>
                <c:ptCount val="1"/>
                <c:pt idx="0">
                  <c:v>2000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Skymaps!$E$784:$BC$784</c:f>
              <c:numCache>
                <c:formatCode>General</c:formatCode>
                <c:ptCount val="51"/>
                <c:pt idx="14">
                  <c:v>1898.940185546875</c:v>
                </c:pt>
                <c:pt idx="15">
                  <c:v>3949.630126953125</c:v>
                </c:pt>
                <c:pt idx="16">
                  <c:v>4879.9677734375</c:v>
                </c:pt>
                <c:pt idx="17">
                  <c:v>5160.4716796875</c:v>
                </c:pt>
                <c:pt idx="18">
                  <c:v>5372.25</c:v>
                </c:pt>
                <c:pt idx="19">
                  <c:v>5569.35595703125</c:v>
                </c:pt>
                <c:pt idx="20">
                  <c:v>5728.50146484375</c:v>
                </c:pt>
                <c:pt idx="21">
                  <c:v>5174.13037109375</c:v>
                </c:pt>
                <c:pt idx="22">
                  <c:v>4526.1904296875</c:v>
                </c:pt>
                <c:pt idx="23">
                  <c:v>3792.346923828125</c:v>
                </c:pt>
                <c:pt idx="24">
                  <c:v>3032.019287109375</c:v>
                </c:pt>
                <c:pt idx="25">
                  <c:v>2166.171630859375</c:v>
                </c:pt>
                <c:pt idx="26">
                  <c:v>2022.365966796875</c:v>
                </c:pt>
                <c:pt idx="27">
                  <c:v>1844.486572265625</c:v>
                </c:pt>
                <c:pt idx="28">
                  <c:v>1665.0859375</c:v>
                </c:pt>
                <c:pt idx="29">
                  <c:v>1429.7078857421875</c:v>
                </c:pt>
                <c:pt idx="30">
                  <c:v>1195.1644287109375</c:v>
                </c:pt>
                <c:pt idx="31">
                  <c:v>928.739013671875</c:v>
                </c:pt>
                <c:pt idx="32">
                  <c:v>628.30487060546875</c:v>
                </c:pt>
                <c:pt idx="33">
                  <c:v>270.00473022460938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E2-4AC5-91CB-75A47B717FDA}"/>
            </c:ext>
          </c:extLst>
        </c:ser>
        <c:ser>
          <c:idx val="3"/>
          <c:order val="3"/>
          <c:tx>
            <c:strRef>
              <c:f>Skymaps!$D$785</c:f>
              <c:strCache>
                <c:ptCount val="1"/>
                <c:pt idx="0">
                  <c:v>3000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Skymaps!$E$785:$BC$785</c:f>
              <c:numCache>
                <c:formatCode>General</c:formatCode>
                <c:ptCount val="51"/>
                <c:pt idx="14">
                  <c:v>1047.26171875</c:v>
                </c:pt>
                <c:pt idx="15">
                  <c:v>3385.13037109375</c:v>
                </c:pt>
                <c:pt idx="16">
                  <c:v>4631.7529296875</c:v>
                </c:pt>
                <c:pt idx="17">
                  <c:v>4976.37646484375</c:v>
                </c:pt>
                <c:pt idx="18">
                  <c:v>5213.60546875</c:v>
                </c:pt>
                <c:pt idx="19">
                  <c:v>5393.71484375</c:v>
                </c:pt>
                <c:pt idx="20">
                  <c:v>5529.88671875</c:v>
                </c:pt>
                <c:pt idx="21">
                  <c:v>5028.7744140625</c:v>
                </c:pt>
                <c:pt idx="22">
                  <c:v>4430.80029296875</c:v>
                </c:pt>
                <c:pt idx="23">
                  <c:v>3768.366943359375</c:v>
                </c:pt>
                <c:pt idx="24">
                  <c:v>3026.36572265625</c:v>
                </c:pt>
                <c:pt idx="25">
                  <c:v>2200.23779296875</c:v>
                </c:pt>
                <c:pt idx="26">
                  <c:v>2083.777099609375</c:v>
                </c:pt>
                <c:pt idx="27">
                  <c:v>1899.5052490234375</c:v>
                </c:pt>
                <c:pt idx="28">
                  <c:v>1740.63720703125</c:v>
                </c:pt>
                <c:pt idx="29">
                  <c:v>1534.4989013671875</c:v>
                </c:pt>
                <c:pt idx="30">
                  <c:v>1294.66796875</c:v>
                </c:pt>
                <c:pt idx="31">
                  <c:v>1048.1873779296875</c:v>
                </c:pt>
                <c:pt idx="32">
                  <c:v>768.3106689453125</c:v>
                </c:pt>
                <c:pt idx="33">
                  <c:v>455.97589111328125</c:v>
                </c:pt>
                <c:pt idx="34">
                  <c:v>83.675765991210938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E2-4AC5-91CB-75A47B717FDA}"/>
            </c:ext>
          </c:extLst>
        </c:ser>
        <c:ser>
          <c:idx val="4"/>
          <c:order val="4"/>
          <c:tx>
            <c:strRef>
              <c:f>Skymaps!$D$786</c:f>
              <c:strCache>
                <c:ptCount val="1"/>
                <c:pt idx="0">
                  <c:v>4000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Skymaps!$E$786:$BC$786</c:f>
              <c:numCache>
                <c:formatCode>General</c:formatCode>
                <c:ptCount val="51"/>
                <c:pt idx="14">
                  <c:v>105.20289611816406</c:v>
                </c:pt>
                <c:pt idx="15">
                  <c:v>2725.888427734375</c:v>
                </c:pt>
                <c:pt idx="16">
                  <c:v>4284.62744140625</c:v>
                </c:pt>
                <c:pt idx="17">
                  <c:v>4782.83984375</c:v>
                </c:pt>
                <c:pt idx="18">
                  <c:v>5015.1875</c:v>
                </c:pt>
                <c:pt idx="19">
                  <c:v>5226.8857421875</c:v>
                </c:pt>
                <c:pt idx="20">
                  <c:v>5387.66748046875</c:v>
                </c:pt>
                <c:pt idx="21">
                  <c:v>4919.439453125</c:v>
                </c:pt>
                <c:pt idx="22">
                  <c:v>4359.0166015625</c:v>
                </c:pt>
                <c:pt idx="23">
                  <c:v>3722.54931640625</c:v>
                </c:pt>
                <c:pt idx="24">
                  <c:v>3000.43798828125</c:v>
                </c:pt>
                <c:pt idx="25">
                  <c:v>2263.292724609375</c:v>
                </c:pt>
                <c:pt idx="26">
                  <c:v>2129.88232421875</c:v>
                </c:pt>
                <c:pt idx="27">
                  <c:v>1981.9881591796875</c:v>
                </c:pt>
                <c:pt idx="28">
                  <c:v>1803.74853515625</c:v>
                </c:pt>
                <c:pt idx="29">
                  <c:v>1626.3944091796875</c:v>
                </c:pt>
                <c:pt idx="30">
                  <c:v>1397.4095458984375</c:v>
                </c:pt>
                <c:pt idx="31">
                  <c:v>1159.4794921875</c:v>
                </c:pt>
                <c:pt idx="32">
                  <c:v>899.77996826171875</c:v>
                </c:pt>
                <c:pt idx="33">
                  <c:v>608.20928955078125</c:v>
                </c:pt>
                <c:pt idx="34">
                  <c:v>245.79196166992188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E2-4AC5-91CB-75A47B717FDA}"/>
            </c:ext>
          </c:extLst>
        </c:ser>
        <c:ser>
          <c:idx val="5"/>
          <c:order val="5"/>
          <c:tx>
            <c:strRef>
              <c:f>Skymaps!$D$787</c:f>
              <c:strCache>
                <c:ptCount val="1"/>
                <c:pt idx="0">
                  <c:v>5000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Skymaps!$E$787:$BC$787</c:f>
              <c:numCache>
                <c:formatCode>General</c:formatCode>
                <c:ptCount val="51"/>
                <c:pt idx="15">
                  <c:v>1970.208740234375</c:v>
                </c:pt>
                <c:pt idx="16">
                  <c:v>3837.425048828125</c:v>
                </c:pt>
                <c:pt idx="17">
                  <c:v>4602.2138671875</c:v>
                </c:pt>
                <c:pt idx="18">
                  <c:v>4852.720703125</c:v>
                </c:pt>
                <c:pt idx="19">
                  <c:v>5038.171875</c:v>
                </c:pt>
                <c:pt idx="20">
                  <c:v>5200.62841796875</c:v>
                </c:pt>
                <c:pt idx="21">
                  <c:v>4776.052734375</c:v>
                </c:pt>
                <c:pt idx="22">
                  <c:v>4261.38427734375</c:v>
                </c:pt>
                <c:pt idx="23">
                  <c:v>3655.05126953125</c:v>
                </c:pt>
                <c:pt idx="24">
                  <c:v>3012.681396484375</c:v>
                </c:pt>
                <c:pt idx="25">
                  <c:v>2306.020263671875</c:v>
                </c:pt>
                <c:pt idx="26">
                  <c:v>2164.7275390625</c:v>
                </c:pt>
                <c:pt idx="27">
                  <c:v>2048.874267578125</c:v>
                </c:pt>
                <c:pt idx="28">
                  <c:v>1865.1270751953125</c:v>
                </c:pt>
                <c:pt idx="29">
                  <c:v>1706.248779296875</c:v>
                </c:pt>
                <c:pt idx="30">
                  <c:v>1505.6435546875</c:v>
                </c:pt>
                <c:pt idx="31">
                  <c:v>1262.8912353515625</c:v>
                </c:pt>
                <c:pt idx="32">
                  <c:v>1023.3245239257813</c:v>
                </c:pt>
                <c:pt idx="33">
                  <c:v>752.498291015625</c:v>
                </c:pt>
                <c:pt idx="34">
                  <c:v>451.34103393554688</c:v>
                </c:pt>
                <c:pt idx="35">
                  <c:v>127.53007507324219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E2-4AC5-91CB-75A47B717FDA}"/>
            </c:ext>
          </c:extLst>
        </c:ser>
        <c:ser>
          <c:idx val="6"/>
          <c:order val="6"/>
          <c:tx>
            <c:strRef>
              <c:f>Skymaps!$D$788</c:f>
              <c:strCache>
                <c:ptCount val="1"/>
                <c:pt idx="0">
                  <c:v>6000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Skymaps!$E$788:$BC$788</c:f>
              <c:numCache>
                <c:formatCode>General</c:formatCode>
                <c:ptCount val="51"/>
                <c:pt idx="15">
                  <c:v>828.3577880859375</c:v>
                </c:pt>
                <c:pt idx="16">
                  <c:v>2979.734375</c:v>
                </c:pt>
                <c:pt idx="17">
                  <c:v>4043.90478515625</c:v>
                </c:pt>
                <c:pt idx="18">
                  <c:v>4311.19482421875</c:v>
                </c:pt>
                <c:pt idx="19">
                  <c:v>4501.271484375</c:v>
                </c:pt>
                <c:pt idx="20">
                  <c:v>4645.22509765625</c:v>
                </c:pt>
                <c:pt idx="21">
                  <c:v>4301.6533203125</c:v>
                </c:pt>
                <c:pt idx="22">
                  <c:v>3907.7109375</c:v>
                </c:pt>
                <c:pt idx="23">
                  <c:v>3437.840087890625</c:v>
                </c:pt>
                <c:pt idx="24">
                  <c:v>2908.836669921875</c:v>
                </c:pt>
                <c:pt idx="25">
                  <c:v>2311.071044921875</c:v>
                </c:pt>
                <c:pt idx="26">
                  <c:v>2217.80615234375</c:v>
                </c:pt>
                <c:pt idx="27">
                  <c:v>2083.066162109375</c:v>
                </c:pt>
                <c:pt idx="28">
                  <c:v>1936.1907958984375</c:v>
                </c:pt>
                <c:pt idx="29">
                  <c:v>1757.1240234375</c:v>
                </c:pt>
                <c:pt idx="30">
                  <c:v>1586.32080078125</c:v>
                </c:pt>
                <c:pt idx="31">
                  <c:v>1362.05078125</c:v>
                </c:pt>
                <c:pt idx="32">
                  <c:v>1124.4583740234375</c:v>
                </c:pt>
                <c:pt idx="33">
                  <c:v>874.05859375</c:v>
                </c:pt>
                <c:pt idx="34">
                  <c:v>593.89593505859375</c:v>
                </c:pt>
                <c:pt idx="35">
                  <c:v>285.23974609375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E2-4AC5-91CB-75A47B717FDA}"/>
            </c:ext>
          </c:extLst>
        </c:ser>
        <c:ser>
          <c:idx val="7"/>
          <c:order val="7"/>
          <c:tx>
            <c:strRef>
              <c:f>Skymaps!$D$789</c:f>
              <c:strCache>
                <c:ptCount val="1"/>
                <c:pt idx="0">
                  <c:v>7000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Skymaps!$E$789:$BC$789</c:f>
              <c:numCache>
                <c:formatCode>General</c:formatCode>
                <c:ptCount val="51"/>
                <c:pt idx="16">
                  <c:v>2020.94873046875</c:v>
                </c:pt>
                <c:pt idx="17">
                  <c:v>3380.30029296875</c:v>
                </c:pt>
                <c:pt idx="18">
                  <c:v>3771.34765625</c:v>
                </c:pt>
                <c:pt idx="19">
                  <c:v>3938.755859375</c:v>
                </c:pt>
                <c:pt idx="20">
                  <c:v>4073.719970703125</c:v>
                </c:pt>
                <c:pt idx="21">
                  <c:v>3846.72705078125</c:v>
                </c:pt>
                <c:pt idx="22">
                  <c:v>3558.862548828125</c:v>
                </c:pt>
                <c:pt idx="23">
                  <c:v>3202.687255859375</c:v>
                </c:pt>
                <c:pt idx="24">
                  <c:v>2782.230712890625</c:v>
                </c:pt>
                <c:pt idx="25">
                  <c:v>2334.819091796875</c:v>
                </c:pt>
                <c:pt idx="26">
                  <c:v>2249.631103515625</c:v>
                </c:pt>
                <c:pt idx="27">
                  <c:v>2106.779052734375</c:v>
                </c:pt>
                <c:pt idx="28">
                  <c:v>1990.6416015625</c:v>
                </c:pt>
                <c:pt idx="29">
                  <c:v>1812.4527587890625</c:v>
                </c:pt>
                <c:pt idx="30">
                  <c:v>1653.5577392578125</c:v>
                </c:pt>
                <c:pt idx="31">
                  <c:v>1458.8216552734375</c:v>
                </c:pt>
                <c:pt idx="32">
                  <c:v>1217.2039794921875</c:v>
                </c:pt>
                <c:pt idx="33">
                  <c:v>986.87188720703125</c:v>
                </c:pt>
                <c:pt idx="34">
                  <c:v>727.31878662109375</c:v>
                </c:pt>
                <c:pt idx="35">
                  <c:v>440.14047241210938</c:v>
                </c:pt>
                <c:pt idx="36">
                  <c:v>64.43707275390625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4E2-4AC5-91CB-75A47B717FDA}"/>
            </c:ext>
          </c:extLst>
        </c:ser>
        <c:ser>
          <c:idx val="8"/>
          <c:order val="8"/>
          <c:tx>
            <c:strRef>
              <c:f>Skymaps!$D$790</c:f>
              <c:strCache>
                <c:ptCount val="1"/>
                <c:pt idx="0">
                  <c:v>8000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Skymaps!$E$790:$BC$790</c:f>
              <c:numCache>
                <c:formatCode>General</c:formatCode>
                <c:ptCount val="51"/>
                <c:pt idx="16">
                  <c:v>959.25115966796875</c:v>
                </c:pt>
                <c:pt idx="17">
                  <c:v>2610.004638671875</c:v>
                </c:pt>
                <c:pt idx="18">
                  <c:v>3238.369384765625</c:v>
                </c:pt>
                <c:pt idx="19">
                  <c:v>3398.01318359375</c:v>
                </c:pt>
                <c:pt idx="20">
                  <c:v>3512.82763671875</c:v>
                </c:pt>
                <c:pt idx="21">
                  <c:v>3354.73876953125</c:v>
                </c:pt>
                <c:pt idx="22">
                  <c:v>3170.229736328125</c:v>
                </c:pt>
                <c:pt idx="23">
                  <c:v>2947.713134765625</c:v>
                </c:pt>
                <c:pt idx="24">
                  <c:v>2676.14404296875</c:v>
                </c:pt>
                <c:pt idx="25">
                  <c:v>2363.7861328125</c:v>
                </c:pt>
                <c:pt idx="26">
                  <c:v>2260.0166015625</c:v>
                </c:pt>
                <c:pt idx="27">
                  <c:v>2165.206298828125</c:v>
                </c:pt>
                <c:pt idx="28">
                  <c:v>2028.360107421875</c:v>
                </c:pt>
                <c:pt idx="29">
                  <c:v>1886.9483642578125</c:v>
                </c:pt>
                <c:pt idx="30">
                  <c:v>1707.27099609375</c:v>
                </c:pt>
                <c:pt idx="31">
                  <c:v>1541.6171875</c:v>
                </c:pt>
                <c:pt idx="32">
                  <c:v>1328.18798828125</c:v>
                </c:pt>
                <c:pt idx="33">
                  <c:v>1090.946044921875</c:v>
                </c:pt>
                <c:pt idx="34">
                  <c:v>851.63385009765625</c:v>
                </c:pt>
                <c:pt idx="35">
                  <c:v>585.5128173828125</c:v>
                </c:pt>
                <c:pt idx="36">
                  <c:v>258.76644897460938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4E2-4AC5-91CB-75A47B717FDA}"/>
            </c:ext>
          </c:extLst>
        </c:ser>
        <c:ser>
          <c:idx val="9"/>
          <c:order val="9"/>
          <c:tx>
            <c:strRef>
              <c:f>Skymaps!$D$791</c:f>
              <c:strCache>
                <c:ptCount val="1"/>
                <c:pt idx="0">
                  <c:v>9000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Skymaps!$E$791:$BC$791</c:f>
              <c:numCache>
                <c:formatCode>General</c:formatCode>
                <c:ptCount val="51"/>
                <c:pt idx="17">
                  <c:v>1731.430908203125</c:v>
                </c:pt>
                <c:pt idx="18">
                  <c:v>2662.041748046875</c:v>
                </c:pt>
                <c:pt idx="19">
                  <c:v>2850.277587890625</c:v>
                </c:pt>
                <c:pt idx="20">
                  <c:v>2941.583984375</c:v>
                </c:pt>
                <c:pt idx="21">
                  <c:v>2914.526123046875</c:v>
                </c:pt>
                <c:pt idx="22">
                  <c:v>2835.975341796875</c:v>
                </c:pt>
                <c:pt idx="23">
                  <c:v>2727.37744140625</c:v>
                </c:pt>
                <c:pt idx="24">
                  <c:v>2568.78076171875</c:v>
                </c:pt>
                <c:pt idx="25">
                  <c:v>2367.805908203125</c:v>
                </c:pt>
                <c:pt idx="26">
                  <c:v>2285.20556640625</c:v>
                </c:pt>
                <c:pt idx="27">
                  <c:v>2201.2939453125</c:v>
                </c:pt>
                <c:pt idx="28">
                  <c:v>2062.523681640625</c:v>
                </c:pt>
                <c:pt idx="29">
                  <c:v>1944.0380859375</c:v>
                </c:pt>
                <c:pt idx="30">
                  <c:v>1777.0963134765625</c:v>
                </c:pt>
                <c:pt idx="31">
                  <c:v>1610.365234375</c:v>
                </c:pt>
                <c:pt idx="32">
                  <c:v>1426.2733154296875</c:v>
                </c:pt>
                <c:pt idx="33">
                  <c:v>1196.5841064453125</c:v>
                </c:pt>
                <c:pt idx="34">
                  <c:v>966.85589599609375</c:v>
                </c:pt>
                <c:pt idx="35">
                  <c:v>721.3895263671875</c:v>
                </c:pt>
                <c:pt idx="36">
                  <c:v>416.03091430664063</c:v>
                </c:pt>
                <c:pt idx="37">
                  <c:v>79.965095520019531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4E2-4AC5-91CB-75A47B717FDA}"/>
            </c:ext>
          </c:extLst>
        </c:ser>
        <c:ser>
          <c:idx val="10"/>
          <c:order val="10"/>
          <c:tx>
            <c:strRef>
              <c:f>Skymaps!$D$792</c:f>
              <c:strCache>
                <c:ptCount val="1"/>
                <c:pt idx="0">
                  <c:v>10000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Skymaps!$E$792:$BC$792</c:f>
              <c:numCache>
                <c:formatCode>General</c:formatCode>
                <c:ptCount val="51"/>
                <c:pt idx="17">
                  <c:v>742.8851318359375</c:v>
                </c:pt>
                <c:pt idx="18">
                  <c:v>1971.5428466796875</c:v>
                </c:pt>
                <c:pt idx="19">
                  <c:v>2276.478515625</c:v>
                </c:pt>
                <c:pt idx="20">
                  <c:v>2385.49560546875</c:v>
                </c:pt>
                <c:pt idx="21">
                  <c:v>2415.74169921875</c:v>
                </c:pt>
                <c:pt idx="22">
                  <c:v>2460.5244140625</c:v>
                </c:pt>
                <c:pt idx="23">
                  <c:v>2464.619873046875</c:v>
                </c:pt>
                <c:pt idx="24">
                  <c:v>2433.11328125</c:v>
                </c:pt>
                <c:pt idx="25">
                  <c:v>2382.572998046875</c:v>
                </c:pt>
                <c:pt idx="26">
                  <c:v>2320.19287109375</c:v>
                </c:pt>
                <c:pt idx="27">
                  <c:v>2215.4521484375</c:v>
                </c:pt>
                <c:pt idx="28">
                  <c:v>2125.02685546875</c:v>
                </c:pt>
                <c:pt idx="29">
                  <c:v>1985.0714111328125</c:v>
                </c:pt>
                <c:pt idx="30">
                  <c:v>1854.8026123046875</c:v>
                </c:pt>
                <c:pt idx="31">
                  <c:v>1665.194580078125</c:v>
                </c:pt>
                <c:pt idx="32">
                  <c:v>1510.2603759765625</c:v>
                </c:pt>
                <c:pt idx="33">
                  <c:v>1310.417724609375</c:v>
                </c:pt>
                <c:pt idx="34">
                  <c:v>1074.11376953125</c:v>
                </c:pt>
                <c:pt idx="35">
                  <c:v>847.791748046875</c:v>
                </c:pt>
                <c:pt idx="36">
                  <c:v>562.7373046875</c:v>
                </c:pt>
                <c:pt idx="37">
                  <c:v>247.52848815917969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4E2-4AC5-91CB-75A47B717FDA}"/>
            </c:ext>
          </c:extLst>
        </c:ser>
        <c:ser>
          <c:idx val="11"/>
          <c:order val="11"/>
          <c:tx>
            <c:strRef>
              <c:f>Skymaps!$D$793</c:f>
              <c:strCache>
                <c:ptCount val="1"/>
                <c:pt idx="0">
                  <c:v>11000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Skymaps!$E$793:$BC$793</c:f>
              <c:numCache>
                <c:formatCode>General</c:formatCode>
                <c:ptCount val="51"/>
                <c:pt idx="17">
                  <c:v>95.411552429199219</c:v>
                </c:pt>
                <c:pt idx="18">
                  <c:v>1643.42724609375</c:v>
                </c:pt>
                <c:pt idx="19">
                  <c:v>2242.962646484375</c:v>
                </c:pt>
                <c:pt idx="20">
                  <c:v>2332.41552734375</c:v>
                </c:pt>
                <c:pt idx="21">
                  <c:v>2419.663818359375</c:v>
                </c:pt>
                <c:pt idx="22">
                  <c:v>2452.8505859375</c:v>
                </c:pt>
                <c:pt idx="23">
                  <c:v>2460.089599609375</c:v>
                </c:pt>
                <c:pt idx="24">
                  <c:v>2452.7080078125</c:v>
                </c:pt>
                <c:pt idx="25">
                  <c:v>2402.871337890625</c:v>
                </c:pt>
                <c:pt idx="26">
                  <c:v>2324.433349609375</c:v>
                </c:pt>
                <c:pt idx="27">
                  <c:v>2240.49658203125</c:v>
                </c:pt>
                <c:pt idx="28">
                  <c:v>2153.6689453125</c:v>
                </c:pt>
                <c:pt idx="29">
                  <c:v>2021.765625</c:v>
                </c:pt>
                <c:pt idx="30">
                  <c:v>1900.233642578125</c:v>
                </c:pt>
                <c:pt idx="31">
                  <c:v>1735.9208984375</c:v>
                </c:pt>
                <c:pt idx="32">
                  <c:v>1561.58447265625</c:v>
                </c:pt>
                <c:pt idx="33">
                  <c:v>1389.641845703125</c:v>
                </c:pt>
                <c:pt idx="34">
                  <c:v>1174.8448486328125</c:v>
                </c:pt>
                <c:pt idx="35">
                  <c:v>943.6431884765625</c:v>
                </c:pt>
                <c:pt idx="36">
                  <c:v>680.31829833984375</c:v>
                </c:pt>
                <c:pt idx="37">
                  <c:v>387.517578125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4E2-4AC5-91CB-75A47B717FDA}"/>
            </c:ext>
          </c:extLst>
        </c:ser>
        <c:ser>
          <c:idx val="12"/>
          <c:order val="12"/>
          <c:tx>
            <c:strRef>
              <c:f>Skymaps!$D$794</c:f>
              <c:strCache>
                <c:ptCount val="1"/>
                <c:pt idx="0">
                  <c:v>12000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Skymaps!$E$794:$BC$794</c:f>
              <c:numCache>
                <c:formatCode>General</c:formatCode>
                <c:ptCount val="51"/>
                <c:pt idx="18">
                  <c:v>1194.1270751953125</c:v>
                </c:pt>
                <c:pt idx="19">
                  <c:v>2122.054931640625</c:v>
                </c:pt>
                <c:pt idx="20">
                  <c:v>2310.318115234375</c:v>
                </c:pt>
                <c:pt idx="21">
                  <c:v>2360.56982421875</c:v>
                </c:pt>
                <c:pt idx="22">
                  <c:v>2420.198486328125</c:v>
                </c:pt>
                <c:pt idx="23">
                  <c:v>2443.62890625</c:v>
                </c:pt>
                <c:pt idx="24">
                  <c:v>2435.006591796875</c:v>
                </c:pt>
                <c:pt idx="25">
                  <c:v>2391.457275390625</c:v>
                </c:pt>
                <c:pt idx="26">
                  <c:v>2337.01513671875</c:v>
                </c:pt>
                <c:pt idx="27">
                  <c:v>2271.574951171875</c:v>
                </c:pt>
                <c:pt idx="28">
                  <c:v>2158.746337890625</c:v>
                </c:pt>
                <c:pt idx="29">
                  <c:v>2071.828857421875</c:v>
                </c:pt>
                <c:pt idx="30">
                  <c:v>1928.620361328125</c:v>
                </c:pt>
                <c:pt idx="31">
                  <c:v>1797.4654541015625</c:v>
                </c:pt>
                <c:pt idx="32">
                  <c:v>1611.2552490234375</c:v>
                </c:pt>
                <c:pt idx="33">
                  <c:v>1453.87353515625</c:v>
                </c:pt>
                <c:pt idx="34">
                  <c:v>1267.12158203125</c:v>
                </c:pt>
                <c:pt idx="35">
                  <c:v>1040.0528564453125</c:v>
                </c:pt>
                <c:pt idx="36">
                  <c:v>788.26318359375</c:v>
                </c:pt>
                <c:pt idx="37">
                  <c:v>517.4417724609375</c:v>
                </c:pt>
                <c:pt idx="38">
                  <c:v>151.2525634765625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4E2-4AC5-91CB-75A47B717FDA}"/>
            </c:ext>
          </c:extLst>
        </c:ser>
        <c:ser>
          <c:idx val="13"/>
          <c:order val="13"/>
          <c:tx>
            <c:strRef>
              <c:f>Skymaps!$D$795</c:f>
              <c:strCache>
                <c:ptCount val="1"/>
                <c:pt idx="0">
                  <c:v>13000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Skymaps!$E$795:$BC$795</c:f>
              <c:numCache>
                <c:formatCode>General</c:formatCode>
                <c:ptCount val="51"/>
                <c:pt idx="18">
                  <c:v>621.63653564453125</c:v>
                </c:pt>
                <c:pt idx="19">
                  <c:v>1873.564208984375</c:v>
                </c:pt>
                <c:pt idx="20">
                  <c:v>2232.607666015625</c:v>
                </c:pt>
                <c:pt idx="21">
                  <c:v>2350.284912109375</c:v>
                </c:pt>
                <c:pt idx="22">
                  <c:v>2402.792724609375</c:v>
                </c:pt>
                <c:pt idx="23">
                  <c:v>2419.591064453125</c:v>
                </c:pt>
                <c:pt idx="24">
                  <c:v>2420.11767578125</c:v>
                </c:pt>
                <c:pt idx="25">
                  <c:v>2409.163330078125</c:v>
                </c:pt>
                <c:pt idx="26">
                  <c:v>2359.32958984375</c:v>
                </c:pt>
                <c:pt idx="27">
                  <c:v>2275.09814453125</c:v>
                </c:pt>
                <c:pt idx="28">
                  <c:v>2192.931884765625</c:v>
                </c:pt>
                <c:pt idx="29">
                  <c:v>2097.44384765625</c:v>
                </c:pt>
                <c:pt idx="30">
                  <c:v>1974.0828857421875</c:v>
                </c:pt>
                <c:pt idx="31">
                  <c:v>1841.3336181640625</c:v>
                </c:pt>
                <c:pt idx="32">
                  <c:v>1688.5169677734375</c:v>
                </c:pt>
                <c:pt idx="33">
                  <c:v>1503.015380859375</c:v>
                </c:pt>
                <c:pt idx="34">
                  <c:v>1343.8851318359375</c:v>
                </c:pt>
                <c:pt idx="35">
                  <c:v>1145.20703125</c:v>
                </c:pt>
                <c:pt idx="36">
                  <c:v>886.576904296875</c:v>
                </c:pt>
                <c:pt idx="37">
                  <c:v>637.32373046875</c:v>
                </c:pt>
                <c:pt idx="38">
                  <c:v>296.49630737304688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4E2-4AC5-91CB-75A47B717FDA}"/>
            </c:ext>
          </c:extLst>
        </c:ser>
        <c:ser>
          <c:idx val="14"/>
          <c:order val="14"/>
          <c:tx>
            <c:strRef>
              <c:f>Skymaps!$D$796</c:f>
              <c:strCache>
                <c:ptCount val="1"/>
                <c:pt idx="0">
                  <c:v>14000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Skymaps!$E$796:$BC$796</c:f>
              <c:numCache>
                <c:formatCode>General</c:formatCode>
                <c:ptCount val="51"/>
                <c:pt idx="19">
                  <c:v>1495.705810546875</c:v>
                </c:pt>
                <c:pt idx="20">
                  <c:v>2188.934814453125</c:v>
                </c:pt>
                <c:pt idx="21">
                  <c:v>2303.005126953125</c:v>
                </c:pt>
                <c:pt idx="22">
                  <c:v>2355.262939453125</c:v>
                </c:pt>
                <c:pt idx="23">
                  <c:v>2403.70556640625</c:v>
                </c:pt>
                <c:pt idx="24">
                  <c:v>2412.809326171875</c:v>
                </c:pt>
                <c:pt idx="25">
                  <c:v>2395.04345703125</c:v>
                </c:pt>
                <c:pt idx="26">
                  <c:v>2348.252685546875</c:v>
                </c:pt>
                <c:pt idx="27">
                  <c:v>2292.3173828125</c:v>
                </c:pt>
                <c:pt idx="28">
                  <c:v>2221.697509765625</c:v>
                </c:pt>
                <c:pt idx="29">
                  <c:v>2098.373046875</c:v>
                </c:pt>
                <c:pt idx="30">
                  <c:v>2019.80029296875</c:v>
                </c:pt>
                <c:pt idx="31">
                  <c:v>1867.380126953125</c:v>
                </c:pt>
                <c:pt idx="32">
                  <c:v>1747.462158203125</c:v>
                </c:pt>
                <c:pt idx="33">
                  <c:v>1575.6468505859375</c:v>
                </c:pt>
                <c:pt idx="34">
                  <c:v>1405.0465087890625</c:v>
                </c:pt>
                <c:pt idx="35">
                  <c:v>1234.3040771484375</c:v>
                </c:pt>
                <c:pt idx="36">
                  <c:v>1002.3089599609375</c:v>
                </c:pt>
                <c:pt idx="37">
                  <c:v>747.1773681640625</c:v>
                </c:pt>
                <c:pt idx="38">
                  <c:v>431.1619873046875</c:v>
                </c:pt>
                <c:pt idx="39">
                  <c:v>15.698517799377441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4E2-4AC5-91CB-75A47B717FDA}"/>
            </c:ext>
          </c:extLst>
        </c:ser>
        <c:ser>
          <c:idx val="15"/>
          <c:order val="15"/>
          <c:tx>
            <c:strRef>
              <c:f>Skymaps!$D$797</c:f>
              <c:strCache>
                <c:ptCount val="1"/>
                <c:pt idx="0">
                  <c:v>15000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Skymaps!$E$797:$BC$797</c:f>
              <c:numCache>
                <c:formatCode>General</c:formatCode>
                <c:ptCount val="51"/>
                <c:pt idx="19">
                  <c:v>986.82098388671875</c:v>
                </c:pt>
                <c:pt idx="20">
                  <c:v>2011.5548095703125</c:v>
                </c:pt>
                <c:pt idx="21">
                  <c:v>2240.31884765625</c:v>
                </c:pt>
                <c:pt idx="22">
                  <c:v>2339.345458984375</c:v>
                </c:pt>
                <c:pt idx="23">
                  <c:v>2371.666259765625</c:v>
                </c:pt>
                <c:pt idx="24">
                  <c:v>2380.24658203125</c:v>
                </c:pt>
                <c:pt idx="25">
                  <c:v>2377.14111328125</c:v>
                </c:pt>
                <c:pt idx="26">
                  <c:v>2368.61572265625</c:v>
                </c:pt>
                <c:pt idx="27">
                  <c:v>2313.313232421875</c:v>
                </c:pt>
                <c:pt idx="28">
                  <c:v>2221.955078125</c:v>
                </c:pt>
                <c:pt idx="29">
                  <c:v>2147.00146484375</c:v>
                </c:pt>
                <c:pt idx="30">
                  <c:v>2039.936279296875</c:v>
                </c:pt>
                <c:pt idx="31">
                  <c:v>1928.5277099609375</c:v>
                </c:pt>
                <c:pt idx="32">
                  <c:v>1788.3433837890625</c:v>
                </c:pt>
                <c:pt idx="33">
                  <c:v>1649.8385009765625</c:v>
                </c:pt>
                <c:pt idx="34">
                  <c:v>1461.825927734375</c:v>
                </c:pt>
                <c:pt idx="35">
                  <c:v>1307.2633056640625</c:v>
                </c:pt>
                <c:pt idx="36">
                  <c:v>1106.171630859375</c:v>
                </c:pt>
                <c:pt idx="37">
                  <c:v>864.5960693359375</c:v>
                </c:pt>
                <c:pt idx="38">
                  <c:v>555.27252197265625</c:v>
                </c:pt>
                <c:pt idx="39">
                  <c:v>170.42694091796875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4E2-4AC5-91CB-75A47B717FDA}"/>
            </c:ext>
          </c:extLst>
        </c:ser>
        <c:ser>
          <c:idx val="16"/>
          <c:order val="16"/>
          <c:tx>
            <c:strRef>
              <c:f>Skymaps!$D$798</c:f>
              <c:strCache>
                <c:ptCount val="1"/>
                <c:pt idx="0">
                  <c:v>16000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Skymaps!$E$798:$BC$798</c:f>
              <c:numCache>
                <c:formatCode>General</c:formatCode>
                <c:ptCount val="51"/>
                <c:pt idx="19">
                  <c:v>318.19964599609375</c:v>
                </c:pt>
                <c:pt idx="20">
                  <c:v>1675.522705078125</c:v>
                </c:pt>
                <c:pt idx="21">
                  <c:v>2183.10791015625</c:v>
                </c:pt>
                <c:pt idx="22">
                  <c:v>2253.33251953125</c:v>
                </c:pt>
                <c:pt idx="23">
                  <c:v>2329.521484375</c:v>
                </c:pt>
                <c:pt idx="24">
                  <c:v>2365.372802734375</c:v>
                </c:pt>
                <c:pt idx="25">
                  <c:v>2369.06591796875</c:v>
                </c:pt>
                <c:pt idx="26">
                  <c:v>2350.27099609375</c:v>
                </c:pt>
                <c:pt idx="27">
                  <c:v>2297.37890625</c:v>
                </c:pt>
                <c:pt idx="28">
                  <c:v>2248.111328125</c:v>
                </c:pt>
                <c:pt idx="29">
                  <c:v>2171.091552734375</c:v>
                </c:pt>
                <c:pt idx="30">
                  <c:v>2056.1748046875</c:v>
                </c:pt>
                <c:pt idx="31">
                  <c:v>1968.8358154296875</c:v>
                </c:pt>
                <c:pt idx="32">
                  <c:v>1826.7412109375</c:v>
                </c:pt>
                <c:pt idx="33">
                  <c:v>1700.15966796875</c:v>
                </c:pt>
                <c:pt idx="34">
                  <c:v>1543.135009765625</c:v>
                </c:pt>
                <c:pt idx="35">
                  <c:v>1355.6375732421875</c:v>
                </c:pt>
                <c:pt idx="36">
                  <c:v>1181.1873779296875</c:v>
                </c:pt>
                <c:pt idx="37">
                  <c:v>966.8087158203125</c:v>
                </c:pt>
                <c:pt idx="38">
                  <c:v>661.44488525390625</c:v>
                </c:pt>
                <c:pt idx="39">
                  <c:v>292.82659912109375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4E2-4AC5-91CB-75A47B717FDA}"/>
            </c:ext>
          </c:extLst>
        </c:ser>
        <c:ser>
          <c:idx val="17"/>
          <c:order val="17"/>
          <c:tx>
            <c:strRef>
              <c:f>Skymaps!$D$799</c:f>
              <c:strCache>
                <c:ptCount val="1"/>
                <c:pt idx="0">
                  <c:v>17000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Skymaps!$E$799:$BC$799</c:f>
              <c:numCache>
                <c:formatCode>General</c:formatCode>
                <c:ptCount val="51"/>
                <c:pt idx="20">
                  <c:v>1202.161376953125</c:v>
                </c:pt>
                <c:pt idx="21">
                  <c:v>2036.923828125</c:v>
                </c:pt>
                <c:pt idx="22">
                  <c:v>2213.39794921875</c:v>
                </c:pt>
                <c:pt idx="23">
                  <c:v>2287.139404296875</c:v>
                </c:pt>
                <c:pt idx="24">
                  <c:v>2317.14892578125</c:v>
                </c:pt>
                <c:pt idx="25">
                  <c:v>2330.743896484375</c:v>
                </c:pt>
                <c:pt idx="26">
                  <c:v>2334.29248046875</c:v>
                </c:pt>
                <c:pt idx="27">
                  <c:v>2322.49560546875</c:v>
                </c:pt>
                <c:pt idx="28">
                  <c:v>2263.076904296875</c:v>
                </c:pt>
                <c:pt idx="29">
                  <c:v>2160.89306640625</c:v>
                </c:pt>
                <c:pt idx="30">
                  <c:v>2103.173828125</c:v>
                </c:pt>
                <c:pt idx="31">
                  <c:v>1982.41943359375</c:v>
                </c:pt>
                <c:pt idx="32">
                  <c:v>1884.5294189453125</c:v>
                </c:pt>
                <c:pt idx="33">
                  <c:v>1731.3048095703125</c:v>
                </c:pt>
                <c:pt idx="34">
                  <c:v>1604.8013916015625</c:v>
                </c:pt>
                <c:pt idx="35">
                  <c:v>1431.999755859375</c:v>
                </c:pt>
                <c:pt idx="36">
                  <c:v>1239.5040283203125</c:v>
                </c:pt>
                <c:pt idx="37">
                  <c:v>1051.8702392578125</c:v>
                </c:pt>
                <c:pt idx="38">
                  <c:v>775.521240234375</c:v>
                </c:pt>
                <c:pt idx="39">
                  <c:v>405.283447265625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E2-4AC5-91CB-75A47B717FDA}"/>
            </c:ext>
          </c:extLst>
        </c:ser>
        <c:ser>
          <c:idx val="18"/>
          <c:order val="18"/>
          <c:tx>
            <c:strRef>
              <c:f>Skymaps!$D$800</c:f>
              <c:strCache>
                <c:ptCount val="1"/>
                <c:pt idx="0">
                  <c:v>18000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Skymaps!$E$800:$BC$800</c:f>
              <c:numCache>
                <c:formatCode>General</c:formatCode>
                <c:ptCount val="51"/>
                <c:pt idx="20">
                  <c:v>589.1695556640625</c:v>
                </c:pt>
                <c:pt idx="21">
                  <c:v>1746.7373046875</c:v>
                </c:pt>
                <c:pt idx="22">
                  <c:v>2137.299560546875</c:v>
                </c:pt>
                <c:pt idx="23">
                  <c:v>2216.0869140625</c:v>
                </c:pt>
                <c:pt idx="24">
                  <c:v>2287.390869140625</c:v>
                </c:pt>
                <c:pt idx="25">
                  <c:v>2321.52197265625</c:v>
                </c:pt>
                <c:pt idx="26">
                  <c:v>2323.580322265625</c:v>
                </c:pt>
                <c:pt idx="27">
                  <c:v>2297.90283203125</c:v>
                </c:pt>
                <c:pt idx="28">
                  <c:v>2255.77392578125</c:v>
                </c:pt>
                <c:pt idx="29">
                  <c:v>2205.93798828125</c:v>
                </c:pt>
                <c:pt idx="30">
                  <c:v>2117.102783203125</c:v>
                </c:pt>
                <c:pt idx="31">
                  <c:v>2021.03857421875</c:v>
                </c:pt>
                <c:pt idx="32">
                  <c:v>1914.6907958984375</c:v>
                </c:pt>
                <c:pt idx="33">
                  <c:v>1789.636474609375</c:v>
                </c:pt>
                <c:pt idx="34">
                  <c:v>1646.6776123046875</c:v>
                </c:pt>
                <c:pt idx="35">
                  <c:v>1503.0885009765625</c:v>
                </c:pt>
                <c:pt idx="36">
                  <c:v>1298.70849609375</c:v>
                </c:pt>
                <c:pt idx="37">
                  <c:v>1119.6905517578125</c:v>
                </c:pt>
                <c:pt idx="38">
                  <c:v>870.5804443359375</c:v>
                </c:pt>
                <c:pt idx="39">
                  <c:v>529.792236328125</c:v>
                </c:pt>
                <c:pt idx="40">
                  <c:v>1.3867381811141968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4E2-4AC5-91CB-75A47B717FDA}"/>
            </c:ext>
          </c:extLst>
        </c:ser>
        <c:ser>
          <c:idx val="19"/>
          <c:order val="19"/>
          <c:tx>
            <c:strRef>
              <c:f>Skymaps!$D$801</c:f>
              <c:strCache>
                <c:ptCount val="1"/>
                <c:pt idx="0">
                  <c:v>19000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Skymaps!$E$801:$BC$801</c:f>
              <c:numCache>
                <c:formatCode>General</c:formatCode>
                <c:ptCount val="51"/>
                <c:pt idx="21">
                  <c:v>1310.449951171875</c:v>
                </c:pt>
                <c:pt idx="22">
                  <c:v>2030.2786865234375</c:v>
                </c:pt>
                <c:pt idx="23">
                  <c:v>2177.791259765625</c:v>
                </c:pt>
                <c:pt idx="24">
                  <c:v>2243.45556640625</c:v>
                </c:pt>
                <c:pt idx="25">
                  <c:v>2278.216552734375</c:v>
                </c:pt>
                <c:pt idx="26">
                  <c:v>2293.65087890625</c:v>
                </c:pt>
                <c:pt idx="27">
                  <c:v>2294.4248046875</c:v>
                </c:pt>
                <c:pt idx="28">
                  <c:v>2276.818359375</c:v>
                </c:pt>
                <c:pt idx="29">
                  <c:v>2212.773681640625</c:v>
                </c:pt>
                <c:pt idx="30">
                  <c:v>2131.40185546875</c:v>
                </c:pt>
                <c:pt idx="31">
                  <c:v>2056.515625</c:v>
                </c:pt>
                <c:pt idx="32">
                  <c:v>1925.0928955078125</c:v>
                </c:pt>
                <c:pt idx="33">
                  <c:v>1835.5802001953125</c:v>
                </c:pt>
                <c:pt idx="34">
                  <c:v>1686.5389404296875</c:v>
                </c:pt>
                <c:pt idx="35">
                  <c:v>1552.33154296875</c:v>
                </c:pt>
                <c:pt idx="36">
                  <c:v>1382.0333251953125</c:v>
                </c:pt>
                <c:pt idx="37">
                  <c:v>1162.6785888671875</c:v>
                </c:pt>
                <c:pt idx="38">
                  <c:v>946.5263671875</c:v>
                </c:pt>
                <c:pt idx="39">
                  <c:v>635.10052490234375</c:v>
                </c:pt>
                <c:pt idx="40">
                  <c:v>144.76937866210938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4E2-4AC5-91CB-75A47B717FDA}"/>
            </c:ext>
          </c:extLst>
        </c:ser>
        <c:ser>
          <c:idx val="20"/>
          <c:order val="20"/>
          <c:tx>
            <c:strRef>
              <c:f>Skymaps!$D$802</c:f>
              <c:strCache>
                <c:ptCount val="1"/>
                <c:pt idx="0">
                  <c:v>20000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Skymaps!$E$802:$BC$802</c:f>
              <c:numCache>
                <c:formatCode>General</c:formatCode>
                <c:ptCount val="51"/>
                <c:pt idx="21">
                  <c:v>725.71533203125</c:v>
                </c:pt>
                <c:pt idx="22">
                  <c:v>1770.3746337890625</c:v>
                </c:pt>
                <c:pt idx="23">
                  <c:v>2092.9052734375</c:v>
                </c:pt>
                <c:pt idx="24">
                  <c:v>2181.8330078125</c:v>
                </c:pt>
                <c:pt idx="25">
                  <c:v>2250.550537109375</c:v>
                </c:pt>
                <c:pt idx="26">
                  <c:v>2278.140869140625</c:v>
                </c:pt>
                <c:pt idx="27">
                  <c:v>2274.02197265625</c:v>
                </c:pt>
                <c:pt idx="28">
                  <c:v>2240.222900390625</c:v>
                </c:pt>
                <c:pt idx="29">
                  <c:v>2223.78564453125</c:v>
                </c:pt>
                <c:pt idx="30">
                  <c:v>2166.084716796875</c:v>
                </c:pt>
                <c:pt idx="31">
                  <c:v>2057.697998046875</c:v>
                </c:pt>
                <c:pt idx="32">
                  <c:v>1981.761474609375</c:v>
                </c:pt>
                <c:pt idx="33">
                  <c:v>1853.72216796875</c:v>
                </c:pt>
                <c:pt idx="34">
                  <c:v>1748.85546875</c:v>
                </c:pt>
                <c:pt idx="35">
                  <c:v>1579.53564453125</c:v>
                </c:pt>
                <c:pt idx="36">
                  <c:v>1443.225830078125</c:v>
                </c:pt>
                <c:pt idx="37">
                  <c:v>1258.5059814453125</c:v>
                </c:pt>
                <c:pt idx="38">
                  <c:v>1002.8295288085938</c:v>
                </c:pt>
                <c:pt idx="39">
                  <c:v>718.06524658203125</c:v>
                </c:pt>
                <c:pt idx="40">
                  <c:v>266.1453857421875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4E2-4AC5-91CB-75A47B717FDA}"/>
            </c:ext>
          </c:extLst>
        </c:ser>
        <c:ser>
          <c:idx val="21"/>
          <c:order val="21"/>
          <c:tx>
            <c:strRef>
              <c:f>Skymaps!$D$803</c:f>
              <c:strCache>
                <c:ptCount val="1"/>
                <c:pt idx="0">
                  <c:v>21000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Skymaps!$E$803:$BC$803</c:f>
              <c:numCache>
                <c:formatCode>General</c:formatCode>
                <c:ptCount val="51"/>
                <c:pt idx="22">
                  <c:v>1318.3675537109375</c:v>
                </c:pt>
                <c:pt idx="23">
                  <c:v>1968.945556640625</c:v>
                </c:pt>
                <c:pt idx="24">
                  <c:v>2102.37255859375</c:v>
                </c:pt>
                <c:pt idx="25">
                  <c:v>2168.989990234375</c:v>
                </c:pt>
                <c:pt idx="26">
                  <c:v>2201.988525390625</c:v>
                </c:pt>
                <c:pt idx="27">
                  <c:v>2221.223876953125</c:v>
                </c:pt>
                <c:pt idx="28">
                  <c:v>2220.396728515625</c:v>
                </c:pt>
                <c:pt idx="29">
                  <c:v>2197.5556640625</c:v>
                </c:pt>
                <c:pt idx="30">
                  <c:v>2133.357177734375</c:v>
                </c:pt>
                <c:pt idx="31">
                  <c:v>2075.994384765625</c:v>
                </c:pt>
                <c:pt idx="32">
                  <c:v>1984.038330078125</c:v>
                </c:pt>
                <c:pt idx="33">
                  <c:v>1881.999755859375</c:v>
                </c:pt>
                <c:pt idx="34">
                  <c:v>1772.1839599609375</c:v>
                </c:pt>
                <c:pt idx="35">
                  <c:v>1651.782470703125</c:v>
                </c:pt>
                <c:pt idx="36">
                  <c:v>1478.5362548828125</c:v>
                </c:pt>
                <c:pt idx="37">
                  <c:v>1327.4345703125</c:v>
                </c:pt>
                <c:pt idx="38">
                  <c:v>1081.9453125</c:v>
                </c:pt>
                <c:pt idx="39">
                  <c:v>776.34747314453125</c:v>
                </c:pt>
                <c:pt idx="40">
                  <c:v>357.60733032226563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4E2-4AC5-91CB-75A47B717FDA}"/>
            </c:ext>
          </c:extLst>
        </c:ser>
        <c:ser>
          <c:idx val="22"/>
          <c:order val="22"/>
          <c:tx>
            <c:strRef>
              <c:f>Skymaps!$D$804</c:f>
              <c:strCache>
                <c:ptCount val="1"/>
                <c:pt idx="0">
                  <c:v>22000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Skymaps!$E$804:$BC$804</c:f>
              <c:numCache>
                <c:formatCode>General</c:formatCode>
                <c:ptCount val="51"/>
                <c:pt idx="22">
                  <c:v>708.95782470703125</c:v>
                </c:pt>
                <c:pt idx="23">
                  <c:v>1683.0540771484375</c:v>
                </c:pt>
                <c:pt idx="24">
                  <c:v>1977.0802001953125</c:v>
                </c:pt>
                <c:pt idx="25">
                  <c:v>2057.467529296875</c:v>
                </c:pt>
                <c:pt idx="26">
                  <c:v>2121.1455078125</c:v>
                </c:pt>
                <c:pt idx="27">
                  <c:v>2152.126708984375</c:v>
                </c:pt>
                <c:pt idx="28">
                  <c:v>2147.63037109375</c:v>
                </c:pt>
                <c:pt idx="29">
                  <c:v>2137.528564453125</c:v>
                </c:pt>
                <c:pt idx="30">
                  <c:v>2136.398193359375</c:v>
                </c:pt>
                <c:pt idx="31">
                  <c:v>2071.666748046875</c:v>
                </c:pt>
                <c:pt idx="32">
                  <c:v>1980.8638916015625</c:v>
                </c:pt>
                <c:pt idx="33">
                  <c:v>1907.7489013671875</c:v>
                </c:pt>
                <c:pt idx="34">
                  <c:v>1783.79296875</c:v>
                </c:pt>
                <c:pt idx="35">
                  <c:v>1693.647216796875</c:v>
                </c:pt>
                <c:pt idx="36">
                  <c:v>1535.140625</c:v>
                </c:pt>
                <c:pt idx="37">
                  <c:v>1373.0010986328125</c:v>
                </c:pt>
                <c:pt idx="38">
                  <c:v>1161.6351318359375</c:v>
                </c:pt>
                <c:pt idx="39">
                  <c:v>855.0703125</c:v>
                </c:pt>
                <c:pt idx="40">
                  <c:v>421.69644165039063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4E2-4AC5-91CB-75A47B717FDA}"/>
            </c:ext>
          </c:extLst>
        </c:ser>
        <c:ser>
          <c:idx val="23"/>
          <c:order val="23"/>
          <c:tx>
            <c:strRef>
              <c:f>Skymaps!$D$805</c:f>
              <c:strCache>
                <c:ptCount val="1"/>
                <c:pt idx="0">
                  <c:v>23000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Skymaps!$E$805:$BC$805</c:f>
              <c:numCache>
                <c:formatCode>General</c:formatCode>
                <c:ptCount val="51"/>
                <c:pt idx="23">
                  <c:v>1232.8935546875</c:v>
                </c:pt>
                <c:pt idx="24">
                  <c:v>1855.28076171875</c:v>
                </c:pt>
                <c:pt idx="25">
                  <c:v>1985.693115234375</c:v>
                </c:pt>
                <c:pt idx="26">
                  <c:v>2054.5185546875</c:v>
                </c:pt>
                <c:pt idx="27">
                  <c:v>2094.486572265625</c:v>
                </c:pt>
                <c:pt idx="28">
                  <c:v>2119.730712890625</c:v>
                </c:pt>
                <c:pt idx="29">
                  <c:v>2118.46630859375</c:v>
                </c:pt>
                <c:pt idx="30">
                  <c:v>2092.245849609375</c:v>
                </c:pt>
                <c:pt idx="31">
                  <c:v>2054.0634765625</c:v>
                </c:pt>
                <c:pt idx="32">
                  <c:v>2003.8658447265625</c:v>
                </c:pt>
                <c:pt idx="33">
                  <c:v>1896.3314208984375</c:v>
                </c:pt>
                <c:pt idx="34">
                  <c:v>1831.994140625</c:v>
                </c:pt>
                <c:pt idx="35">
                  <c:v>1704.624755859375</c:v>
                </c:pt>
                <c:pt idx="36">
                  <c:v>1590.7196044921875</c:v>
                </c:pt>
                <c:pt idx="37">
                  <c:v>1414.9505615234375</c:v>
                </c:pt>
                <c:pt idx="38">
                  <c:v>1215.6204833984375</c:v>
                </c:pt>
                <c:pt idx="39">
                  <c:v>946.17681884765625</c:v>
                </c:pt>
                <c:pt idx="40">
                  <c:v>491.80209350585938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4E2-4AC5-91CB-75A47B717FDA}"/>
            </c:ext>
          </c:extLst>
        </c:ser>
        <c:ser>
          <c:idx val="24"/>
          <c:order val="24"/>
          <c:tx>
            <c:strRef>
              <c:f>Skymaps!$D$806</c:f>
              <c:strCache>
                <c:ptCount val="1"/>
                <c:pt idx="0">
                  <c:v>24000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Skymaps!$E$806:$BC$806</c:f>
              <c:numCache>
                <c:formatCode>General</c:formatCode>
                <c:ptCount val="51"/>
                <c:pt idx="23">
                  <c:v>615.7784423828125</c:v>
                </c:pt>
                <c:pt idx="24">
                  <c:v>1562.0206298828125</c:v>
                </c:pt>
                <c:pt idx="25">
                  <c:v>1867.9542236328125</c:v>
                </c:pt>
                <c:pt idx="26">
                  <c:v>1936.327392578125</c:v>
                </c:pt>
                <c:pt idx="27">
                  <c:v>1993.1243896484375</c:v>
                </c:pt>
                <c:pt idx="28">
                  <c:v>2029.099609375</c:v>
                </c:pt>
                <c:pt idx="29">
                  <c:v>2052.734130859375</c:v>
                </c:pt>
                <c:pt idx="30">
                  <c:v>2068.80615234375</c:v>
                </c:pt>
                <c:pt idx="31">
                  <c:v>2049.57275390625</c:v>
                </c:pt>
                <c:pt idx="32">
                  <c:v>1983.7554931640625</c:v>
                </c:pt>
                <c:pt idx="33">
                  <c:v>1933.7957763671875</c:v>
                </c:pt>
                <c:pt idx="34">
                  <c:v>1841.8282470703125</c:v>
                </c:pt>
                <c:pt idx="35">
                  <c:v>1760.2999267578125</c:v>
                </c:pt>
                <c:pt idx="36">
                  <c:v>1614.460205078125</c:v>
                </c:pt>
                <c:pt idx="37">
                  <c:v>1483.3037109375</c:v>
                </c:pt>
                <c:pt idx="38">
                  <c:v>1247.4814453125</c:v>
                </c:pt>
                <c:pt idx="39">
                  <c:v>1007.493408203125</c:v>
                </c:pt>
                <c:pt idx="40">
                  <c:v>596.5645751953125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4E2-4AC5-91CB-75A47B717FDA}"/>
            </c:ext>
          </c:extLst>
        </c:ser>
        <c:ser>
          <c:idx val="25"/>
          <c:order val="25"/>
          <c:tx>
            <c:strRef>
              <c:f>Skymaps!$D$807</c:f>
              <c:strCache>
                <c:ptCount val="1"/>
                <c:pt idx="0">
                  <c:v>25000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Skymaps!$E$807:$BC$807</c:f>
              <c:numCache>
                <c:formatCode>General</c:formatCode>
                <c:ptCount val="51"/>
                <c:pt idx="24">
                  <c:v>1095.2340087890625</c:v>
                </c:pt>
                <c:pt idx="25">
                  <c:v>1725.9078369140625</c:v>
                </c:pt>
                <c:pt idx="26">
                  <c:v>1864.59228515625</c:v>
                </c:pt>
                <c:pt idx="27">
                  <c:v>1947.959716796875</c:v>
                </c:pt>
                <c:pt idx="28">
                  <c:v>1995.581298828125</c:v>
                </c:pt>
                <c:pt idx="29">
                  <c:v>2026.3349609375</c:v>
                </c:pt>
                <c:pt idx="30">
                  <c:v>2026.605712890625</c:v>
                </c:pt>
                <c:pt idx="31">
                  <c:v>1994.667724609375</c:v>
                </c:pt>
                <c:pt idx="32">
                  <c:v>1995.6893310546875</c:v>
                </c:pt>
                <c:pt idx="33">
                  <c:v>1938.3956298828125</c:v>
                </c:pt>
                <c:pt idx="34">
                  <c:v>1864.8843994140625</c:v>
                </c:pt>
                <c:pt idx="35">
                  <c:v>1792.9591064453125</c:v>
                </c:pt>
                <c:pt idx="36">
                  <c:v>1659.463623046875</c:v>
                </c:pt>
                <c:pt idx="37">
                  <c:v>1519.577392578125</c:v>
                </c:pt>
                <c:pt idx="38">
                  <c:v>1331.3759765625</c:v>
                </c:pt>
                <c:pt idx="39">
                  <c:v>1038.7418212890625</c:v>
                </c:pt>
                <c:pt idx="40">
                  <c:v>662.25408935546875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4E2-4AC5-91CB-75A47B717FDA}"/>
            </c:ext>
          </c:extLst>
        </c:ser>
        <c:ser>
          <c:idx val="26"/>
          <c:order val="26"/>
          <c:tx>
            <c:strRef>
              <c:f>Skymaps!$D$808</c:f>
              <c:strCache>
                <c:ptCount val="1"/>
                <c:pt idx="0">
                  <c:v>26000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Skymaps!$E$808:$BC$808</c:f>
              <c:numCache>
                <c:formatCode>General</c:formatCode>
                <c:ptCount val="51"/>
                <c:pt idx="24">
                  <c:v>433.9569091796875</c:v>
                </c:pt>
                <c:pt idx="25">
                  <c:v>1380.314453125</c:v>
                </c:pt>
                <c:pt idx="26">
                  <c:v>1741.0814208984375</c:v>
                </c:pt>
                <c:pt idx="27">
                  <c:v>1826.6136474609375</c:v>
                </c:pt>
                <c:pt idx="28">
                  <c:v>1878.6531982421875</c:v>
                </c:pt>
                <c:pt idx="29">
                  <c:v>1921.8570556640625</c:v>
                </c:pt>
                <c:pt idx="30">
                  <c:v>1958.10986328125</c:v>
                </c:pt>
                <c:pt idx="31">
                  <c:v>1957.8126220703125</c:v>
                </c:pt>
                <c:pt idx="32">
                  <c:v>1920.3074951171875</c:v>
                </c:pt>
                <c:pt idx="33">
                  <c:v>1893.5518798828125</c:v>
                </c:pt>
                <c:pt idx="34">
                  <c:v>1849.0782470703125</c:v>
                </c:pt>
                <c:pt idx="35">
                  <c:v>1755.113037109375</c:v>
                </c:pt>
                <c:pt idx="36">
                  <c:v>1667.18017578125</c:v>
                </c:pt>
                <c:pt idx="37">
                  <c:v>1522.167236328125</c:v>
                </c:pt>
                <c:pt idx="38">
                  <c:v>1355.8670654296875</c:v>
                </c:pt>
                <c:pt idx="39">
                  <c:v>1106.8448486328125</c:v>
                </c:pt>
                <c:pt idx="40">
                  <c:v>674.88360595703125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4E2-4AC5-91CB-75A47B717FDA}"/>
            </c:ext>
          </c:extLst>
        </c:ser>
        <c:ser>
          <c:idx val="27"/>
          <c:order val="27"/>
          <c:tx>
            <c:strRef>
              <c:f>Skymaps!$D$809</c:f>
              <c:strCache>
                <c:ptCount val="1"/>
                <c:pt idx="0">
                  <c:v>27000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Skymaps!$E$809:$BC$809</c:f>
              <c:numCache>
                <c:formatCode>General</c:formatCode>
                <c:ptCount val="51"/>
                <c:pt idx="25">
                  <c:v>847.55352783203125</c:v>
                </c:pt>
                <c:pt idx="26">
                  <c:v>1539.245849609375</c:v>
                </c:pt>
                <c:pt idx="27">
                  <c:v>1685.64306640625</c:v>
                </c:pt>
                <c:pt idx="28">
                  <c:v>1781.3695068359375</c:v>
                </c:pt>
                <c:pt idx="29">
                  <c:v>1828.538818359375</c:v>
                </c:pt>
                <c:pt idx="30">
                  <c:v>1852.7398681640625</c:v>
                </c:pt>
                <c:pt idx="31">
                  <c:v>1857.7440185546875</c:v>
                </c:pt>
                <c:pt idx="32">
                  <c:v>1874.2462158203125</c:v>
                </c:pt>
                <c:pt idx="33">
                  <c:v>1850.6483154296875</c:v>
                </c:pt>
                <c:pt idx="34">
                  <c:v>1787.483154296875</c:v>
                </c:pt>
                <c:pt idx="35">
                  <c:v>1759.0438232421875</c:v>
                </c:pt>
                <c:pt idx="36">
                  <c:v>1636.132568359375</c:v>
                </c:pt>
                <c:pt idx="37">
                  <c:v>1549.29052734375</c:v>
                </c:pt>
                <c:pt idx="38">
                  <c:v>1345.74462890625</c:v>
                </c:pt>
                <c:pt idx="39">
                  <c:v>1143.779052734375</c:v>
                </c:pt>
                <c:pt idx="40">
                  <c:v>743.78485107421875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24E2-4AC5-91CB-75A47B717FDA}"/>
            </c:ext>
          </c:extLst>
        </c:ser>
        <c:ser>
          <c:idx val="28"/>
          <c:order val="28"/>
          <c:tx>
            <c:strRef>
              <c:f>Skymaps!$D$810</c:f>
              <c:strCache>
                <c:ptCount val="1"/>
                <c:pt idx="0">
                  <c:v>28000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Skymaps!$E$810:$BC$810</c:f>
              <c:numCache>
                <c:formatCode>General</c:formatCode>
                <c:ptCount val="51"/>
                <c:pt idx="25">
                  <c:v>124.40000152587891</c:v>
                </c:pt>
                <c:pt idx="26">
                  <c:v>1142.7227783203125</c:v>
                </c:pt>
                <c:pt idx="27">
                  <c:v>1581.2530517578125</c:v>
                </c:pt>
                <c:pt idx="28">
                  <c:v>1681.57080078125</c:v>
                </c:pt>
                <c:pt idx="29">
                  <c:v>1744.021728515625</c:v>
                </c:pt>
                <c:pt idx="30">
                  <c:v>1785.818115234375</c:v>
                </c:pt>
                <c:pt idx="31">
                  <c:v>1805.87109375</c:v>
                </c:pt>
                <c:pt idx="32">
                  <c:v>1797.1524658203125</c:v>
                </c:pt>
                <c:pt idx="33">
                  <c:v>1781.759033203125</c:v>
                </c:pt>
                <c:pt idx="34">
                  <c:v>1774.9322509765625</c:v>
                </c:pt>
                <c:pt idx="35">
                  <c:v>1713.091552734375</c:v>
                </c:pt>
                <c:pt idx="36">
                  <c:v>1644.8739013671875</c:v>
                </c:pt>
                <c:pt idx="37">
                  <c:v>1536.4552001953125</c:v>
                </c:pt>
                <c:pt idx="38">
                  <c:v>1392.2655029296875</c:v>
                </c:pt>
                <c:pt idx="39">
                  <c:v>1141.7315673828125</c:v>
                </c:pt>
                <c:pt idx="40">
                  <c:v>785.99737548828125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4E2-4AC5-91CB-75A47B717FDA}"/>
            </c:ext>
          </c:extLst>
        </c:ser>
        <c:ser>
          <c:idx val="29"/>
          <c:order val="29"/>
          <c:tx>
            <c:strRef>
              <c:f>Skymaps!$D$811</c:f>
              <c:strCache>
                <c:ptCount val="1"/>
                <c:pt idx="0">
                  <c:v>29000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Skymaps!$E$811:$BC$811</c:f>
              <c:numCache>
                <c:formatCode>General</c:formatCode>
                <c:ptCount val="51"/>
                <c:pt idx="26">
                  <c:v>548.4283447265625</c:v>
                </c:pt>
                <c:pt idx="27">
                  <c:v>1316.1212158203125</c:v>
                </c:pt>
                <c:pt idx="28">
                  <c:v>1530.3045654296875</c:v>
                </c:pt>
                <c:pt idx="29">
                  <c:v>1608.6776123046875</c:v>
                </c:pt>
                <c:pt idx="30">
                  <c:v>1663.798583984375</c:v>
                </c:pt>
                <c:pt idx="31">
                  <c:v>1706.9586181640625</c:v>
                </c:pt>
                <c:pt idx="32">
                  <c:v>1739.8255615234375</c:v>
                </c:pt>
                <c:pt idx="33">
                  <c:v>1740.6768798828125</c:v>
                </c:pt>
                <c:pt idx="34">
                  <c:v>1689.5140380859375</c:v>
                </c:pt>
                <c:pt idx="35">
                  <c:v>1699.6602783203125</c:v>
                </c:pt>
                <c:pt idx="36">
                  <c:v>1620.73681640625</c:v>
                </c:pt>
                <c:pt idx="37">
                  <c:v>1538.9747314453125</c:v>
                </c:pt>
                <c:pt idx="38">
                  <c:v>1395.3314208984375</c:v>
                </c:pt>
                <c:pt idx="39">
                  <c:v>1196.402099609375</c:v>
                </c:pt>
                <c:pt idx="40">
                  <c:v>769.8267822265625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24E2-4AC5-91CB-75A47B717FDA}"/>
            </c:ext>
          </c:extLst>
        </c:ser>
        <c:ser>
          <c:idx val="30"/>
          <c:order val="30"/>
          <c:tx>
            <c:strRef>
              <c:f>Skymaps!$D$812</c:f>
              <c:strCache>
                <c:ptCount val="1"/>
                <c:pt idx="0">
                  <c:v>30000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Skymaps!$E$812:$BC$812</c:f>
              <c:numCache>
                <c:formatCode>General</c:formatCode>
                <c:ptCount val="51"/>
                <c:pt idx="27">
                  <c:v>845.73858642578125</c:v>
                </c:pt>
                <c:pt idx="28">
                  <c:v>1391.29345703125</c:v>
                </c:pt>
                <c:pt idx="29">
                  <c:v>1506.63623046875</c:v>
                </c:pt>
                <c:pt idx="30">
                  <c:v>1583.4688720703125</c:v>
                </c:pt>
                <c:pt idx="31">
                  <c:v>1620.41259765625</c:v>
                </c:pt>
                <c:pt idx="32">
                  <c:v>1629.6365966796875</c:v>
                </c:pt>
                <c:pt idx="33">
                  <c:v>1662.3236083984375</c:v>
                </c:pt>
                <c:pt idx="34">
                  <c:v>1678.690673828125</c:v>
                </c:pt>
                <c:pt idx="35">
                  <c:v>1646.9365234375</c:v>
                </c:pt>
                <c:pt idx="36">
                  <c:v>1599.1021728515625</c:v>
                </c:pt>
                <c:pt idx="37">
                  <c:v>1535.1173095703125</c:v>
                </c:pt>
                <c:pt idx="38">
                  <c:v>1394.2982177734375</c:v>
                </c:pt>
                <c:pt idx="39">
                  <c:v>1210.998046875</c:v>
                </c:pt>
                <c:pt idx="40">
                  <c:v>821.37066650390625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24E2-4AC5-91CB-75A47B717FDA}"/>
            </c:ext>
          </c:extLst>
        </c:ser>
        <c:ser>
          <c:idx val="31"/>
          <c:order val="31"/>
          <c:tx>
            <c:strRef>
              <c:f>Skymaps!$D$813</c:f>
              <c:strCache>
                <c:ptCount val="1"/>
                <c:pt idx="0">
                  <c:v>31000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Skymaps!$E$813:$BC$813</c:f>
              <c:numCache>
                <c:formatCode>General</c:formatCode>
                <c:ptCount val="51"/>
                <c:pt idx="27">
                  <c:v>157.64399719238281</c:v>
                </c:pt>
                <c:pt idx="28">
                  <c:v>1029.26220703125</c:v>
                </c:pt>
                <c:pt idx="29">
                  <c:v>1378.3863525390625</c:v>
                </c:pt>
                <c:pt idx="30">
                  <c:v>1470.192138671875</c:v>
                </c:pt>
                <c:pt idx="31">
                  <c:v>1526.6129150390625</c:v>
                </c:pt>
                <c:pt idx="32">
                  <c:v>1562.537841796875</c:v>
                </c:pt>
                <c:pt idx="33">
                  <c:v>1576.1458740234375</c:v>
                </c:pt>
                <c:pt idx="34">
                  <c:v>1561.5411376953125</c:v>
                </c:pt>
                <c:pt idx="35">
                  <c:v>1589.28076171875</c:v>
                </c:pt>
                <c:pt idx="36">
                  <c:v>1543.3375244140625</c:v>
                </c:pt>
                <c:pt idx="37">
                  <c:v>1474.1002197265625</c:v>
                </c:pt>
                <c:pt idx="38">
                  <c:v>1372.2247314453125</c:v>
                </c:pt>
                <c:pt idx="39">
                  <c:v>1168.6485595703125</c:v>
                </c:pt>
                <c:pt idx="40">
                  <c:v>789.9344482421875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24E2-4AC5-91CB-75A47B717FDA}"/>
            </c:ext>
          </c:extLst>
        </c:ser>
        <c:ser>
          <c:idx val="32"/>
          <c:order val="32"/>
          <c:tx>
            <c:strRef>
              <c:f>Skymaps!$D$814</c:f>
              <c:strCache>
                <c:ptCount val="1"/>
                <c:pt idx="0">
                  <c:v>32000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Skymaps!$E$814:$BC$814</c:f>
              <c:numCache>
                <c:formatCode>General</c:formatCode>
                <c:ptCount val="51"/>
                <c:pt idx="28">
                  <c:v>450.83810424804688</c:v>
                </c:pt>
                <c:pt idx="29">
                  <c:v>1127.4471435546875</c:v>
                </c:pt>
                <c:pt idx="30">
                  <c:v>1305.53173828125</c:v>
                </c:pt>
                <c:pt idx="31">
                  <c:v>1387.1607666015625</c:v>
                </c:pt>
                <c:pt idx="32">
                  <c:v>1441.8165283203125</c:v>
                </c:pt>
                <c:pt idx="33">
                  <c:v>1485.3001708984375</c:v>
                </c:pt>
                <c:pt idx="34">
                  <c:v>1508.0440673828125</c:v>
                </c:pt>
                <c:pt idx="35">
                  <c:v>1494.291748046875</c:v>
                </c:pt>
                <c:pt idx="36">
                  <c:v>1465.0682373046875</c:v>
                </c:pt>
                <c:pt idx="37">
                  <c:v>1437.58935546875</c:v>
                </c:pt>
                <c:pt idx="38">
                  <c:v>1286.29052734375</c:v>
                </c:pt>
                <c:pt idx="39">
                  <c:v>1144.0299072265625</c:v>
                </c:pt>
                <c:pt idx="40">
                  <c:v>717.08453369140625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24E2-4AC5-91CB-75A47B717FDA}"/>
            </c:ext>
          </c:extLst>
        </c:ser>
        <c:ser>
          <c:idx val="33"/>
          <c:order val="33"/>
          <c:tx>
            <c:strRef>
              <c:f>Skymaps!$D$815</c:f>
              <c:strCache>
                <c:ptCount val="1"/>
                <c:pt idx="0">
                  <c:v>33000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Skymaps!$E$815:$BC$815</c:f>
              <c:numCache>
                <c:formatCode>General</c:formatCode>
                <c:ptCount val="51"/>
                <c:pt idx="29">
                  <c:v>652.282958984375</c:v>
                </c:pt>
                <c:pt idx="30">
                  <c:v>1161.7537841796875</c:v>
                </c:pt>
                <c:pt idx="31">
                  <c:v>1255.4425048828125</c:v>
                </c:pt>
                <c:pt idx="32">
                  <c:v>1324.1102294921875</c:v>
                </c:pt>
                <c:pt idx="33">
                  <c:v>1351.259765625</c:v>
                </c:pt>
                <c:pt idx="34">
                  <c:v>1395.3626708984375</c:v>
                </c:pt>
                <c:pt idx="35">
                  <c:v>1431.00146484375</c:v>
                </c:pt>
                <c:pt idx="36">
                  <c:v>1395.39111328125</c:v>
                </c:pt>
                <c:pt idx="37">
                  <c:v>1340.4896240234375</c:v>
                </c:pt>
                <c:pt idx="38">
                  <c:v>1262.7623291015625</c:v>
                </c:pt>
                <c:pt idx="39">
                  <c:v>1034.3858642578125</c:v>
                </c:pt>
                <c:pt idx="40">
                  <c:v>695.10174560546875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24E2-4AC5-91CB-75A47B717FDA}"/>
            </c:ext>
          </c:extLst>
        </c:ser>
        <c:ser>
          <c:idx val="34"/>
          <c:order val="34"/>
          <c:tx>
            <c:strRef>
              <c:f>Skymaps!$D$816</c:f>
              <c:strCache>
                <c:ptCount val="1"/>
                <c:pt idx="0">
                  <c:v>34000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Skymaps!$E$816:$BC$816</c:f>
              <c:numCache>
                <c:formatCode>General</c:formatCode>
                <c:ptCount val="51"/>
                <c:pt idx="30">
                  <c:v>789.86798095703125</c:v>
                </c:pt>
                <c:pt idx="31">
                  <c:v>1137.0567626953125</c:v>
                </c:pt>
                <c:pt idx="32">
                  <c:v>1220.526123046875</c:v>
                </c:pt>
                <c:pt idx="33">
                  <c:v>1275.0477294921875</c:v>
                </c:pt>
                <c:pt idx="34">
                  <c:v>1301.4537353515625</c:v>
                </c:pt>
                <c:pt idx="35">
                  <c:v>1299.224365234375</c:v>
                </c:pt>
                <c:pt idx="36">
                  <c:v>1313.2733154296875</c:v>
                </c:pt>
                <c:pt idx="37">
                  <c:v>1293.012451171875</c:v>
                </c:pt>
                <c:pt idx="38">
                  <c:v>1146.204833984375</c:v>
                </c:pt>
                <c:pt idx="39">
                  <c:v>1019.5866088867188</c:v>
                </c:pt>
                <c:pt idx="40">
                  <c:v>543.73345947265625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4E2-4AC5-91CB-75A47B717FDA}"/>
            </c:ext>
          </c:extLst>
        </c:ser>
        <c:ser>
          <c:idx val="35"/>
          <c:order val="35"/>
          <c:tx>
            <c:strRef>
              <c:f>Skymaps!$D$817</c:f>
              <c:strCache>
                <c:ptCount val="1"/>
                <c:pt idx="0">
                  <c:v>35000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Skymaps!$E$817:$BC$817</c:f>
              <c:numCache>
                <c:formatCode>General</c:formatCode>
                <c:ptCount val="51"/>
                <c:pt idx="31">
                  <c:v>852.57464599609375</c:v>
                </c:pt>
                <c:pt idx="32">
                  <c:v>1075.794189453125</c:v>
                </c:pt>
                <c:pt idx="33">
                  <c:v>1158.44775390625</c:v>
                </c:pt>
                <c:pt idx="34">
                  <c:v>1210.03173828125</c:v>
                </c:pt>
                <c:pt idx="35">
                  <c:v>1238.948974609375</c:v>
                </c:pt>
                <c:pt idx="36">
                  <c:v>1205.45263671875</c:v>
                </c:pt>
                <c:pt idx="37">
                  <c:v>1194.5677490234375</c:v>
                </c:pt>
                <c:pt idx="38">
                  <c:v>1113.6715087890625</c:v>
                </c:pt>
                <c:pt idx="39">
                  <c:v>886.25750732421875</c:v>
                </c:pt>
                <c:pt idx="40">
                  <c:v>528.85601806640625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24E2-4AC5-91CB-75A47B717FDA}"/>
            </c:ext>
          </c:extLst>
        </c:ser>
        <c:ser>
          <c:idx val="36"/>
          <c:order val="36"/>
          <c:tx>
            <c:strRef>
              <c:f>Skymaps!$D$818</c:f>
              <c:strCache>
                <c:ptCount val="1"/>
                <c:pt idx="0">
                  <c:v>36000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Skymaps!$E$818:$BC$818</c:f>
              <c:numCache>
                <c:formatCode>General</c:formatCode>
                <c:ptCount val="51"/>
                <c:pt idx="33">
                  <c:v>936.843017578125</c:v>
                </c:pt>
                <c:pt idx="34">
                  <c:v>1022.4771118164063</c:v>
                </c:pt>
                <c:pt idx="35">
                  <c:v>1075.8489990234375</c:v>
                </c:pt>
                <c:pt idx="36">
                  <c:v>1068.623291015625</c:v>
                </c:pt>
                <c:pt idx="37">
                  <c:v>1046.812744140625</c:v>
                </c:pt>
                <c:pt idx="38">
                  <c:v>932.41168212890625</c:v>
                </c:pt>
                <c:pt idx="39">
                  <c:v>788.62103271484375</c:v>
                </c:pt>
                <c:pt idx="40">
                  <c:v>315.29031372070313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24E2-4AC5-91CB-75A47B717FDA}"/>
            </c:ext>
          </c:extLst>
        </c:ser>
        <c:ser>
          <c:idx val="37"/>
          <c:order val="37"/>
          <c:tx>
            <c:strRef>
              <c:f>Skymaps!$D$819</c:f>
              <c:strCache>
                <c:ptCount val="1"/>
                <c:pt idx="0">
                  <c:v>37000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Skymaps!$E$819:$BC$819</c:f>
              <c:numCache>
                <c:formatCode>General</c:formatCode>
                <c:ptCount val="51"/>
                <c:pt idx="35">
                  <c:v>832.40814208984375</c:v>
                </c:pt>
                <c:pt idx="36">
                  <c:v>840.1761474609375</c:v>
                </c:pt>
                <c:pt idx="37">
                  <c:v>846.564697265625</c:v>
                </c:pt>
                <c:pt idx="38">
                  <c:v>750.3441162109375</c:v>
                </c:pt>
                <c:pt idx="39">
                  <c:v>558.58734130859375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24E2-4AC5-91CB-75A47B717FDA}"/>
            </c:ext>
          </c:extLst>
        </c:ser>
        <c:ser>
          <c:idx val="38"/>
          <c:order val="38"/>
          <c:tx>
            <c:strRef>
              <c:f>Skymaps!$D$820</c:f>
              <c:strCache>
                <c:ptCount val="1"/>
                <c:pt idx="0">
                  <c:v>38000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Skymaps!$E$820:$BC$820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6-24E2-4AC5-91CB-75A47B717FDA}"/>
            </c:ext>
          </c:extLst>
        </c:ser>
        <c:ser>
          <c:idx val="39"/>
          <c:order val="39"/>
          <c:tx>
            <c:strRef>
              <c:f>Skymaps!$D$821</c:f>
              <c:strCache>
                <c:ptCount val="1"/>
                <c:pt idx="0">
                  <c:v>39000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Skymaps!$E$821:$BC$821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24E2-4AC5-91CB-75A47B717FDA}"/>
            </c:ext>
          </c:extLst>
        </c:ser>
        <c:ser>
          <c:idx val="40"/>
          <c:order val="40"/>
          <c:tx>
            <c:strRef>
              <c:f>Skymaps!$D$822</c:f>
              <c:strCache>
                <c:ptCount val="1"/>
                <c:pt idx="0">
                  <c:v>40000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Skymaps!$E$822:$BC$822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24E2-4AC5-91CB-75A47B717FDA}"/>
            </c:ext>
          </c:extLst>
        </c:ser>
        <c:ser>
          <c:idx val="41"/>
          <c:order val="41"/>
          <c:tx>
            <c:strRef>
              <c:f>Skymaps!$D$823</c:f>
              <c:strCache>
                <c:ptCount val="1"/>
                <c:pt idx="0">
                  <c:v>41000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Skymaps!$E$823:$BC$823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24E2-4AC5-91CB-75A47B717FDA}"/>
            </c:ext>
          </c:extLst>
        </c:ser>
        <c:ser>
          <c:idx val="42"/>
          <c:order val="42"/>
          <c:tx>
            <c:strRef>
              <c:f>Skymaps!$D$824</c:f>
              <c:strCache>
                <c:ptCount val="1"/>
                <c:pt idx="0">
                  <c:v>42000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Skymaps!$E$824:$BC$824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24E2-4AC5-91CB-75A47B717FDA}"/>
            </c:ext>
          </c:extLst>
        </c:ser>
        <c:ser>
          <c:idx val="43"/>
          <c:order val="43"/>
          <c:tx>
            <c:strRef>
              <c:f>Skymaps!$D$825</c:f>
              <c:strCache>
                <c:ptCount val="1"/>
                <c:pt idx="0">
                  <c:v>43000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Skymaps!$E$825:$BC$825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24E2-4AC5-91CB-75A47B717FDA}"/>
            </c:ext>
          </c:extLst>
        </c:ser>
        <c:ser>
          <c:idx val="44"/>
          <c:order val="44"/>
          <c:tx>
            <c:strRef>
              <c:f>Skymaps!$D$826</c:f>
              <c:strCache>
                <c:ptCount val="1"/>
                <c:pt idx="0">
                  <c:v>44000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Skymaps!$E$826:$BC$826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24E2-4AC5-91CB-75A47B717FDA}"/>
            </c:ext>
          </c:extLst>
        </c:ser>
        <c:ser>
          <c:idx val="45"/>
          <c:order val="45"/>
          <c:tx>
            <c:strRef>
              <c:f>Skymaps!$D$827</c:f>
              <c:strCache>
                <c:ptCount val="1"/>
                <c:pt idx="0">
                  <c:v>45000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Skymaps!$E$827:$BC$827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24E2-4AC5-91CB-75A47B717FDA}"/>
            </c:ext>
          </c:extLst>
        </c:ser>
        <c:ser>
          <c:idx val="46"/>
          <c:order val="46"/>
          <c:tx>
            <c:strRef>
              <c:f>Skymaps!$D$828</c:f>
              <c:strCache>
                <c:ptCount val="1"/>
                <c:pt idx="0">
                  <c:v>46000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Skymaps!$E$828:$BC$828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24E2-4AC5-91CB-75A47B717FDA}"/>
            </c:ext>
          </c:extLst>
        </c:ser>
        <c:ser>
          <c:idx val="47"/>
          <c:order val="47"/>
          <c:tx>
            <c:strRef>
              <c:f>Skymaps!$D$829</c:f>
              <c:strCache>
                <c:ptCount val="1"/>
                <c:pt idx="0">
                  <c:v>47000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Skymaps!$E$829:$BC$829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24E2-4AC5-91CB-75A47B717FDA}"/>
            </c:ext>
          </c:extLst>
        </c:ser>
        <c:ser>
          <c:idx val="48"/>
          <c:order val="48"/>
          <c:tx>
            <c:strRef>
              <c:f>Skymaps!$D$830</c:f>
              <c:strCache>
                <c:ptCount val="1"/>
                <c:pt idx="0">
                  <c:v>48000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Skymaps!$E$830:$BC$830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24E2-4AC5-91CB-75A47B717FDA}"/>
            </c:ext>
          </c:extLst>
        </c:ser>
        <c:ser>
          <c:idx val="49"/>
          <c:order val="49"/>
          <c:tx>
            <c:strRef>
              <c:f>Skymaps!$D$831</c:f>
              <c:strCache>
                <c:ptCount val="1"/>
                <c:pt idx="0">
                  <c:v>49000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Skymaps!$E$831:$BC$831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24E2-4AC5-91CB-75A47B717FDA}"/>
            </c:ext>
          </c:extLst>
        </c:ser>
        <c:ser>
          <c:idx val="50"/>
          <c:order val="50"/>
          <c:tx>
            <c:strRef>
              <c:f>Skymaps!$D$832</c:f>
              <c:strCache>
                <c:ptCount val="1"/>
                <c:pt idx="0">
                  <c:v>50000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Skymaps!$E$832:$BC$832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24E2-4AC5-91CB-75A47B717FDA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24975728"/>
        <c:axId val="624977040"/>
        <c:axId val="505158024"/>
      </c:surfaceChart>
      <c:catAx>
        <c:axId val="624975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977040"/>
        <c:crosses val="autoZero"/>
        <c:auto val="1"/>
        <c:lblAlgn val="ctr"/>
        <c:lblOffset val="100"/>
        <c:noMultiLvlLbl val="0"/>
      </c:catAx>
      <c:valAx>
        <c:axId val="62497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975728"/>
        <c:crosses val="autoZero"/>
        <c:crossBetween val="midCat"/>
        <c:majorUnit val="200"/>
      </c:valAx>
      <c:serAx>
        <c:axId val="5051580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977040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Skymaps!$D$834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Skymaps!$E$834:$BC$834</c:f>
              <c:numCache>
                <c:formatCode>General</c:formatCode>
                <c:ptCount val="51"/>
                <c:pt idx="13">
                  <c:v>654.5655517578125</c:v>
                </c:pt>
                <c:pt idx="14">
                  <c:v>3523.6962890625</c:v>
                </c:pt>
                <c:pt idx="15">
                  <c:v>5106.47021484375</c:v>
                </c:pt>
                <c:pt idx="16">
                  <c:v>5635.916015625</c:v>
                </c:pt>
                <c:pt idx="17">
                  <c:v>5969.794921875</c:v>
                </c:pt>
                <c:pt idx="18">
                  <c:v>6255.46923828125</c:v>
                </c:pt>
                <c:pt idx="19">
                  <c:v>6505.61572265625</c:v>
                </c:pt>
                <c:pt idx="20">
                  <c:v>6737.21630859375</c:v>
                </c:pt>
                <c:pt idx="21">
                  <c:v>6086.71923828125</c:v>
                </c:pt>
                <c:pt idx="22">
                  <c:v>5343.3486328125</c:v>
                </c:pt>
                <c:pt idx="23">
                  <c:v>4503.95703125</c:v>
                </c:pt>
                <c:pt idx="24">
                  <c:v>3524.380615234375</c:v>
                </c:pt>
                <c:pt idx="25">
                  <c:v>2446.066162109375</c:v>
                </c:pt>
                <c:pt idx="26">
                  <c:v>2264.28955078125</c:v>
                </c:pt>
                <c:pt idx="27">
                  <c:v>2078.63818359375</c:v>
                </c:pt>
                <c:pt idx="28">
                  <c:v>1815.2747802734375</c:v>
                </c:pt>
                <c:pt idx="29">
                  <c:v>1546.228271484375</c:v>
                </c:pt>
                <c:pt idx="30">
                  <c:v>1230.2318115234375</c:v>
                </c:pt>
                <c:pt idx="31">
                  <c:v>854.00286865234375</c:v>
                </c:pt>
                <c:pt idx="32">
                  <c:v>407.30450439453125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52-42DA-9ACF-4AB67FD73571}"/>
            </c:ext>
          </c:extLst>
        </c:ser>
        <c:ser>
          <c:idx val="1"/>
          <c:order val="1"/>
          <c:tx>
            <c:strRef>
              <c:f>Skymaps!$D$835</c:f>
              <c:strCache>
                <c:ptCount val="1"/>
                <c:pt idx="0">
                  <c:v>1000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Skymaps!$E$835:$BC$835</c:f>
              <c:numCache>
                <c:formatCode>General</c:formatCode>
                <c:ptCount val="51"/>
                <c:pt idx="14">
                  <c:v>2809.76318359375</c:v>
                </c:pt>
                <c:pt idx="15">
                  <c:v>4702.81591796875</c:v>
                </c:pt>
                <c:pt idx="16">
                  <c:v>5404.4990234375</c:v>
                </c:pt>
                <c:pt idx="17">
                  <c:v>5766.43115234375</c:v>
                </c:pt>
                <c:pt idx="18">
                  <c:v>6077.373046875</c:v>
                </c:pt>
                <c:pt idx="19">
                  <c:v>6337.57421875</c:v>
                </c:pt>
                <c:pt idx="20">
                  <c:v>6565.13671875</c:v>
                </c:pt>
                <c:pt idx="21">
                  <c:v>5964.72216796875</c:v>
                </c:pt>
                <c:pt idx="22">
                  <c:v>5261.197265625</c:v>
                </c:pt>
                <c:pt idx="23">
                  <c:v>4443.4560546875</c:v>
                </c:pt>
                <c:pt idx="24">
                  <c:v>3519.66455078125</c:v>
                </c:pt>
                <c:pt idx="25">
                  <c:v>2510.772216796875</c:v>
                </c:pt>
                <c:pt idx="26">
                  <c:v>2327.8056640625</c:v>
                </c:pt>
                <c:pt idx="27">
                  <c:v>2164.604248046875</c:v>
                </c:pt>
                <c:pt idx="28">
                  <c:v>1938.4744873046875</c:v>
                </c:pt>
                <c:pt idx="29">
                  <c:v>1664.7906494140625</c:v>
                </c:pt>
                <c:pt idx="30">
                  <c:v>1375.807373046875</c:v>
                </c:pt>
                <c:pt idx="31">
                  <c:v>1028.3212890625</c:v>
                </c:pt>
                <c:pt idx="32">
                  <c:v>598.55938720703125</c:v>
                </c:pt>
                <c:pt idx="33">
                  <c:v>149.82310485839844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52-42DA-9ACF-4AB67FD73571}"/>
            </c:ext>
          </c:extLst>
        </c:ser>
        <c:ser>
          <c:idx val="2"/>
          <c:order val="2"/>
          <c:tx>
            <c:strRef>
              <c:f>Skymaps!$D$836</c:f>
              <c:strCache>
                <c:ptCount val="1"/>
                <c:pt idx="0">
                  <c:v>2000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Skymaps!$E$836:$BC$836</c:f>
              <c:numCache>
                <c:formatCode>General</c:formatCode>
                <c:ptCount val="51"/>
                <c:pt idx="14">
                  <c:v>2004.2537841796875</c:v>
                </c:pt>
                <c:pt idx="15">
                  <c:v>4201.47509765625</c:v>
                </c:pt>
                <c:pt idx="16">
                  <c:v>5234.6005859375</c:v>
                </c:pt>
                <c:pt idx="17">
                  <c:v>5584.58642578125</c:v>
                </c:pt>
                <c:pt idx="18">
                  <c:v>5868.18017578125</c:v>
                </c:pt>
                <c:pt idx="19">
                  <c:v>6143.34521484375</c:v>
                </c:pt>
                <c:pt idx="20">
                  <c:v>6384.0634765625</c:v>
                </c:pt>
                <c:pt idx="21">
                  <c:v>5828.4033203125</c:v>
                </c:pt>
                <c:pt idx="22">
                  <c:v>5155.81396484375</c:v>
                </c:pt>
                <c:pt idx="23">
                  <c:v>4370.3583984375</c:v>
                </c:pt>
                <c:pt idx="24">
                  <c:v>3536.503662109375</c:v>
                </c:pt>
                <c:pt idx="25">
                  <c:v>2558.308349609375</c:v>
                </c:pt>
                <c:pt idx="26">
                  <c:v>2419.4599609375</c:v>
                </c:pt>
                <c:pt idx="27">
                  <c:v>2236.19580078125</c:v>
                </c:pt>
                <c:pt idx="28">
                  <c:v>2046.5374755859375</c:v>
                </c:pt>
                <c:pt idx="29">
                  <c:v>1782.1666259765625</c:v>
                </c:pt>
                <c:pt idx="30">
                  <c:v>1511.513427734375</c:v>
                </c:pt>
                <c:pt idx="31">
                  <c:v>1192.128662109375</c:v>
                </c:pt>
                <c:pt idx="32">
                  <c:v>818.846923828125</c:v>
                </c:pt>
                <c:pt idx="33">
                  <c:v>357.40509033203125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52-42DA-9ACF-4AB67FD73571}"/>
            </c:ext>
          </c:extLst>
        </c:ser>
        <c:ser>
          <c:idx val="3"/>
          <c:order val="3"/>
          <c:tx>
            <c:strRef>
              <c:f>Skymaps!$D$837</c:f>
              <c:strCache>
                <c:ptCount val="1"/>
                <c:pt idx="0">
                  <c:v>3000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Skymaps!$E$837:$BC$837</c:f>
              <c:numCache>
                <c:formatCode>General</c:formatCode>
                <c:ptCount val="51"/>
                <c:pt idx="14">
                  <c:v>1105.3419189453125</c:v>
                </c:pt>
                <c:pt idx="15">
                  <c:v>3600.98046875</c:v>
                </c:pt>
                <c:pt idx="16">
                  <c:v>4968.34716796875</c:v>
                </c:pt>
                <c:pt idx="17">
                  <c:v>5385.36181640625</c:v>
                </c:pt>
                <c:pt idx="18">
                  <c:v>5694.890625</c:v>
                </c:pt>
                <c:pt idx="19">
                  <c:v>5949.60205078125</c:v>
                </c:pt>
                <c:pt idx="20">
                  <c:v>6162.7197265625</c:v>
                </c:pt>
                <c:pt idx="21">
                  <c:v>5664.6669921875</c:v>
                </c:pt>
                <c:pt idx="22">
                  <c:v>5047.15478515625</c:v>
                </c:pt>
                <c:pt idx="23">
                  <c:v>4342.7236328125</c:v>
                </c:pt>
                <c:pt idx="24">
                  <c:v>3529.90966796875</c:v>
                </c:pt>
                <c:pt idx="25">
                  <c:v>2598.541259765625</c:v>
                </c:pt>
                <c:pt idx="26">
                  <c:v>2492.92919921875</c:v>
                </c:pt>
                <c:pt idx="27">
                  <c:v>2302.8984375</c:v>
                </c:pt>
                <c:pt idx="28">
                  <c:v>2139.396484375</c:v>
                </c:pt>
                <c:pt idx="29">
                  <c:v>1912.7913818359375</c:v>
                </c:pt>
                <c:pt idx="30">
                  <c:v>1637.3546142578125</c:v>
                </c:pt>
                <c:pt idx="31">
                  <c:v>1345.452392578125</c:v>
                </c:pt>
                <c:pt idx="32">
                  <c:v>1001.3114013671875</c:v>
                </c:pt>
                <c:pt idx="33">
                  <c:v>603.57501220703125</c:v>
                </c:pt>
                <c:pt idx="34">
                  <c:v>112.537353515625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52-42DA-9ACF-4AB67FD73571}"/>
            </c:ext>
          </c:extLst>
        </c:ser>
        <c:ser>
          <c:idx val="4"/>
          <c:order val="4"/>
          <c:tx>
            <c:strRef>
              <c:f>Skymaps!$D$838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Skymaps!$E$838:$BC$838</c:f>
              <c:numCache>
                <c:formatCode>General</c:formatCode>
                <c:ptCount val="51"/>
                <c:pt idx="14">
                  <c:v>111.037353515625</c:v>
                </c:pt>
                <c:pt idx="15">
                  <c:v>2899.70263671875</c:v>
                </c:pt>
                <c:pt idx="16">
                  <c:v>4595.99609375</c:v>
                </c:pt>
                <c:pt idx="17">
                  <c:v>5175.91943359375</c:v>
                </c:pt>
                <c:pt idx="18">
                  <c:v>5478.15625</c:v>
                </c:pt>
                <c:pt idx="19">
                  <c:v>5765.57958984375</c:v>
                </c:pt>
                <c:pt idx="20">
                  <c:v>6004.224609375</c:v>
                </c:pt>
                <c:pt idx="21">
                  <c:v>5541.50634765625</c:v>
                </c:pt>
                <c:pt idx="22">
                  <c:v>4965.3857421875</c:v>
                </c:pt>
                <c:pt idx="23">
                  <c:v>4289.9228515625</c:v>
                </c:pt>
                <c:pt idx="24">
                  <c:v>3499.667724609375</c:v>
                </c:pt>
                <c:pt idx="25">
                  <c:v>2673.0107421875</c:v>
                </c:pt>
                <c:pt idx="26">
                  <c:v>2548.087158203125</c:v>
                </c:pt>
                <c:pt idx="27">
                  <c:v>2402.898193359375</c:v>
                </c:pt>
                <c:pt idx="28">
                  <c:v>2216.966064453125</c:v>
                </c:pt>
                <c:pt idx="29">
                  <c:v>2027.3414306640625</c:v>
                </c:pt>
                <c:pt idx="30">
                  <c:v>1767.291015625</c:v>
                </c:pt>
                <c:pt idx="31">
                  <c:v>1488.306884765625</c:v>
                </c:pt>
                <c:pt idx="32">
                  <c:v>1172.6505126953125</c:v>
                </c:pt>
                <c:pt idx="33">
                  <c:v>805.08624267578125</c:v>
                </c:pt>
                <c:pt idx="34">
                  <c:v>330.57095336914063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52-42DA-9ACF-4AB67FD73571}"/>
            </c:ext>
          </c:extLst>
        </c:ser>
        <c:ser>
          <c:idx val="5"/>
          <c:order val="5"/>
          <c:tx>
            <c:strRef>
              <c:f>Skymaps!$D$839</c:f>
              <c:strCache>
                <c:ptCount val="1"/>
                <c:pt idx="0">
                  <c:v>5000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Skymaps!$E$839:$BC$839</c:f>
              <c:numCache>
                <c:formatCode>General</c:formatCode>
                <c:ptCount val="51"/>
                <c:pt idx="15">
                  <c:v>2095.837646484375</c:v>
                </c:pt>
                <c:pt idx="16">
                  <c:v>4116.294921875</c:v>
                </c:pt>
                <c:pt idx="17">
                  <c:v>4980.4482421875</c:v>
                </c:pt>
                <c:pt idx="18">
                  <c:v>5300.69189453125</c:v>
                </c:pt>
                <c:pt idx="19">
                  <c:v>5557.41650390625</c:v>
                </c:pt>
                <c:pt idx="20">
                  <c:v>5795.78125</c:v>
                </c:pt>
                <c:pt idx="21">
                  <c:v>5379.98876953125</c:v>
                </c:pt>
                <c:pt idx="22">
                  <c:v>4854.171875</c:v>
                </c:pt>
                <c:pt idx="23">
                  <c:v>4212.13671875</c:v>
                </c:pt>
                <c:pt idx="24">
                  <c:v>3513.9482421875</c:v>
                </c:pt>
                <c:pt idx="25">
                  <c:v>2723.47314453125</c:v>
                </c:pt>
                <c:pt idx="26">
                  <c:v>2589.7744140625</c:v>
                </c:pt>
                <c:pt idx="27">
                  <c:v>2483.988525390625</c:v>
                </c:pt>
                <c:pt idx="28">
                  <c:v>2292.40576171875</c:v>
                </c:pt>
                <c:pt idx="29">
                  <c:v>2126.8818359375</c:v>
                </c:pt>
                <c:pt idx="30">
                  <c:v>1904.173583984375</c:v>
                </c:pt>
                <c:pt idx="31">
                  <c:v>1621.0460205078125</c:v>
                </c:pt>
                <c:pt idx="32">
                  <c:v>1333.6617431640625</c:v>
                </c:pt>
                <c:pt idx="33">
                  <c:v>996.08154296875</c:v>
                </c:pt>
                <c:pt idx="34">
                  <c:v>607.018310546875</c:v>
                </c:pt>
                <c:pt idx="35">
                  <c:v>174.32684326171875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52-42DA-9ACF-4AB67FD73571}"/>
            </c:ext>
          </c:extLst>
        </c:ser>
        <c:ser>
          <c:idx val="6"/>
          <c:order val="6"/>
          <c:tx>
            <c:strRef>
              <c:f>Skymaps!$D$840</c:f>
              <c:strCache>
                <c:ptCount val="1"/>
                <c:pt idx="0">
                  <c:v>6000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Skymaps!$E$840:$BC$840</c:f>
              <c:numCache>
                <c:formatCode>General</c:formatCode>
                <c:ptCount val="51"/>
                <c:pt idx="15">
                  <c:v>881.17742919921875</c:v>
                </c:pt>
                <c:pt idx="16">
                  <c:v>3196.27490234375</c:v>
                </c:pt>
                <c:pt idx="17">
                  <c:v>4376.25439453125</c:v>
                </c:pt>
                <c:pt idx="18">
                  <c:v>4709.17578125</c:v>
                </c:pt>
                <c:pt idx="19">
                  <c:v>4965.18212890625</c:v>
                </c:pt>
                <c:pt idx="20">
                  <c:v>5176.81884765625</c:v>
                </c:pt>
                <c:pt idx="21">
                  <c:v>4845.60107421875</c:v>
                </c:pt>
                <c:pt idx="22">
                  <c:v>4451.2998046875</c:v>
                </c:pt>
                <c:pt idx="23">
                  <c:v>3961.819580078125</c:v>
                </c:pt>
                <c:pt idx="24">
                  <c:v>3392.8251953125</c:v>
                </c:pt>
                <c:pt idx="25">
                  <c:v>2729.4384765625</c:v>
                </c:pt>
                <c:pt idx="26">
                  <c:v>2653.27490234375</c:v>
                </c:pt>
                <c:pt idx="27">
                  <c:v>2525.44189453125</c:v>
                </c:pt>
                <c:pt idx="28">
                  <c:v>2379.749267578125</c:v>
                </c:pt>
                <c:pt idx="29">
                  <c:v>2190.299072265625</c:v>
                </c:pt>
                <c:pt idx="30">
                  <c:v>2006.2054443359375</c:v>
                </c:pt>
                <c:pt idx="31">
                  <c:v>1748.3271484375</c:v>
                </c:pt>
                <c:pt idx="32">
                  <c:v>1465.4658203125</c:v>
                </c:pt>
                <c:pt idx="33">
                  <c:v>1156.99072265625</c:v>
                </c:pt>
                <c:pt idx="34">
                  <c:v>798.7435302734375</c:v>
                </c:pt>
                <c:pt idx="35">
                  <c:v>389.90762329101563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52-42DA-9ACF-4AB67FD73571}"/>
            </c:ext>
          </c:extLst>
        </c:ser>
        <c:ser>
          <c:idx val="7"/>
          <c:order val="7"/>
          <c:tx>
            <c:strRef>
              <c:f>Skymaps!$D$841</c:f>
              <c:strCache>
                <c:ptCount val="1"/>
                <c:pt idx="0">
                  <c:v>7000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Skymaps!$E$841:$BC$841</c:f>
              <c:numCache>
                <c:formatCode>General</c:formatCode>
                <c:ptCount val="51"/>
                <c:pt idx="16">
                  <c:v>2167.813232421875</c:v>
                </c:pt>
                <c:pt idx="17">
                  <c:v>3658.111572265625</c:v>
                </c:pt>
                <c:pt idx="18">
                  <c:v>4119.4931640625</c:v>
                </c:pt>
                <c:pt idx="19">
                  <c:v>4344.6923828125</c:v>
                </c:pt>
                <c:pt idx="20">
                  <c:v>4539.9111328125</c:v>
                </c:pt>
                <c:pt idx="21">
                  <c:v>4333.14892578125</c:v>
                </c:pt>
                <c:pt idx="22">
                  <c:v>4053.924560546875</c:v>
                </c:pt>
                <c:pt idx="23">
                  <c:v>3690.825927734375</c:v>
                </c:pt>
                <c:pt idx="24">
                  <c:v>3245.15380859375</c:v>
                </c:pt>
                <c:pt idx="25">
                  <c:v>2757.485595703125</c:v>
                </c:pt>
                <c:pt idx="26">
                  <c:v>2691.348876953125</c:v>
                </c:pt>
                <c:pt idx="27">
                  <c:v>2554.1904296875</c:v>
                </c:pt>
                <c:pt idx="28">
                  <c:v>2446.674072265625</c:v>
                </c:pt>
                <c:pt idx="29">
                  <c:v>2259.267822265625</c:v>
                </c:pt>
                <c:pt idx="30">
                  <c:v>2091.2392578125</c:v>
                </c:pt>
                <c:pt idx="31">
                  <c:v>1872.542236328125</c:v>
                </c:pt>
                <c:pt idx="32">
                  <c:v>1586.3377685546875</c:v>
                </c:pt>
                <c:pt idx="33">
                  <c:v>1306.3216552734375</c:v>
                </c:pt>
                <c:pt idx="34">
                  <c:v>978.18682861328125</c:v>
                </c:pt>
                <c:pt idx="35">
                  <c:v>601.648681640625</c:v>
                </c:pt>
                <c:pt idx="36">
                  <c:v>89.554145812988281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52-42DA-9ACF-4AB67FD73571}"/>
            </c:ext>
          </c:extLst>
        </c:ser>
        <c:ser>
          <c:idx val="8"/>
          <c:order val="8"/>
          <c:tx>
            <c:strRef>
              <c:f>Skymaps!$D$842</c:f>
              <c:strCache>
                <c:ptCount val="1"/>
                <c:pt idx="0">
                  <c:v>8000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Skymaps!$E$842:$BC$842</c:f>
              <c:numCache>
                <c:formatCode>General</c:formatCode>
                <c:ptCount val="51"/>
                <c:pt idx="16">
                  <c:v>1028.9609375</c:v>
                </c:pt>
                <c:pt idx="17">
                  <c:v>2824.5087890625</c:v>
                </c:pt>
                <c:pt idx="18">
                  <c:v>3537.314208984375</c:v>
                </c:pt>
                <c:pt idx="19">
                  <c:v>3748.21923828125</c:v>
                </c:pt>
                <c:pt idx="20">
                  <c:v>3914.8310546875</c:v>
                </c:pt>
                <c:pt idx="21">
                  <c:v>3778.9482421875</c:v>
                </c:pt>
                <c:pt idx="22">
                  <c:v>3611.230224609375</c:v>
                </c:pt>
                <c:pt idx="23">
                  <c:v>3396.98974609375</c:v>
                </c:pt>
                <c:pt idx="24">
                  <c:v>3121.416015625</c:v>
                </c:pt>
                <c:pt idx="25">
                  <c:v>2791.6962890625</c:v>
                </c:pt>
                <c:pt idx="26">
                  <c:v>2703.773681640625</c:v>
                </c:pt>
                <c:pt idx="27">
                  <c:v>2625.02587890625</c:v>
                </c:pt>
                <c:pt idx="28">
                  <c:v>2493.033447265625</c:v>
                </c:pt>
                <c:pt idx="29">
                  <c:v>2352.12841796875</c:v>
                </c:pt>
                <c:pt idx="30">
                  <c:v>2159.169921875</c:v>
                </c:pt>
                <c:pt idx="31">
                  <c:v>1978.8184814453125</c:v>
                </c:pt>
                <c:pt idx="32">
                  <c:v>1730.9791259765625</c:v>
                </c:pt>
                <c:pt idx="33">
                  <c:v>1444.0845947265625</c:v>
                </c:pt>
                <c:pt idx="34">
                  <c:v>1145.380859375</c:v>
                </c:pt>
                <c:pt idx="35">
                  <c:v>800.364990234375</c:v>
                </c:pt>
                <c:pt idx="36">
                  <c:v>359.63162231445313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52-42DA-9ACF-4AB67FD73571}"/>
            </c:ext>
          </c:extLst>
        </c:ser>
        <c:ser>
          <c:idx val="9"/>
          <c:order val="9"/>
          <c:tx>
            <c:strRef>
              <c:f>Skymaps!$D$843</c:f>
              <c:strCache>
                <c:ptCount val="1"/>
                <c:pt idx="0">
                  <c:v>9000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Skymaps!$E$843:$BC$843</c:f>
              <c:numCache>
                <c:formatCode>General</c:formatCode>
                <c:ptCount val="51"/>
                <c:pt idx="17">
                  <c:v>1873.7291259765625</c:v>
                </c:pt>
                <c:pt idx="18">
                  <c:v>2907.78369140625</c:v>
                </c:pt>
                <c:pt idx="19">
                  <c:v>3144.033203125</c:v>
                </c:pt>
                <c:pt idx="20">
                  <c:v>3278.21484375</c:v>
                </c:pt>
                <c:pt idx="21">
                  <c:v>3283.070556640625</c:v>
                </c:pt>
                <c:pt idx="22">
                  <c:v>3230.478759765625</c:v>
                </c:pt>
                <c:pt idx="23">
                  <c:v>3143.071533203125</c:v>
                </c:pt>
                <c:pt idx="24">
                  <c:v>2996.188720703125</c:v>
                </c:pt>
                <c:pt idx="25">
                  <c:v>2796.44384765625</c:v>
                </c:pt>
                <c:pt idx="26">
                  <c:v>2733.908447265625</c:v>
                </c:pt>
                <c:pt idx="27">
                  <c:v>2668.77734375</c:v>
                </c:pt>
                <c:pt idx="28">
                  <c:v>2535.023681640625</c:v>
                </c:pt>
                <c:pt idx="29">
                  <c:v>2423.292236328125</c:v>
                </c:pt>
                <c:pt idx="30">
                  <c:v>2247.4775390625</c:v>
                </c:pt>
                <c:pt idx="31">
                  <c:v>2067.063232421875</c:v>
                </c:pt>
                <c:pt idx="32">
                  <c:v>1858.810302734375</c:v>
                </c:pt>
                <c:pt idx="33">
                  <c:v>1583.9176025390625</c:v>
                </c:pt>
                <c:pt idx="34">
                  <c:v>1300.345458984375</c:v>
                </c:pt>
                <c:pt idx="35">
                  <c:v>986.1011962890625</c:v>
                </c:pt>
                <c:pt idx="36">
                  <c:v>578.196533203125</c:v>
                </c:pt>
                <c:pt idx="37">
                  <c:v>113.02869415283203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52-42DA-9ACF-4AB67FD73571}"/>
            </c:ext>
          </c:extLst>
        </c:ser>
        <c:ser>
          <c:idx val="10"/>
          <c:order val="10"/>
          <c:tx>
            <c:strRef>
              <c:f>Skymaps!$D$844</c:f>
              <c:strCache>
                <c:ptCount val="1"/>
                <c:pt idx="0">
                  <c:v>10000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Skymaps!$E$844:$BC$844</c:f>
              <c:numCache>
                <c:formatCode>General</c:formatCode>
                <c:ptCount val="51"/>
                <c:pt idx="17">
                  <c:v>803.93939208984375</c:v>
                </c:pt>
                <c:pt idx="18">
                  <c:v>2153.542724609375</c:v>
                </c:pt>
                <c:pt idx="19">
                  <c:v>2511.096923828125</c:v>
                </c:pt>
                <c:pt idx="20">
                  <c:v>2658.48876953125</c:v>
                </c:pt>
                <c:pt idx="21">
                  <c:v>2721.21435546875</c:v>
                </c:pt>
                <c:pt idx="22">
                  <c:v>2802.800048828125</c:v>
                </c:pt>
                <c:pt idx="23">
                  <c:v>2840.265869140625</c:v>
                </c:pt>
                <c:pt idx="24">
                  <c:v>2837.9482421875</c:v>
                </c:pt>
                <c:pt idx="25">
                  <c:v>2813.884033203125</c:v>
                </c:pt>
                <c:pt idx="26">
                  <c:v>2775.765380859375</c:v>
                </c:pt>
                <c:pt idx="27">
                  <c:v>2685.9423828125</c:v>
                </c:pt>
                <c:pt idx="28">
                  <c:v>2611.845458984375</c:v>
                </c:pt>
                <c:pt idx="29">
                  <c:v>2474.441162109375</c:v>
                </c:pt>
                <c:pt idx="30">
                  <c:v>2345.751953125</c:v>
                </c:pt>
                <c:pt idx="31">
                  <c:v>2137.4423828125</c:v>
                </c:pt>
                <c:pt idx="32">
                  <c:v>1968.2674560546875</c:v>
                </c:pt>
                <c:pt idx="33">
                  <c:v>1734.5989990234375</c:v>
                </c:pt>
                <c:pt idx="34">
                  <c:v>1444.5989990234375</c:v>
                </c:pt>
                <c:pt idx="35">
                  <c:v>1158.8863525390625</c:v>
                </c:pt>
                <c:pt idx="36">
                  <c:v>782.08795166015625</c:v>
                </c:pt>
                <c:pt idx="37">
                  <c:v>349.87542724609375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52-42DA-9ACF-4AB67FD73571}"/>
            </c:ext>
          </c:extLst>
        </c:ser>
        <c:ser>
          <c:idx val="11"/>
          <c:order val="11"/>
          <c:tx>
            <c:strRef>
              <c:f>Skymaps!$D$845</c:f>
              <c:strCache>
                <c:ptCount val="1"/>
                <c:pt idx="0">
                  <c:v>11000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Skymaps!$E$845:$BC$845</c:f>
              <c:numCache>
                <c:formatCode>General</c:formatCode>
                <c:ptCount val="51"/>
                <c:pt idx="17">
                  <c:v>103.25298309326172</c:v>
                </c:pt>
                <c:pt idx="18">
                  <c:v>1795.1375732421875</c:v>
                </c:pt>
                <c:pt idx="19">
                  <c:v>2474.126953125</c:v>
                </c:pt>
                <c:pt idx="20">
                  <c:v>2599.333984375</c:v>
                </c:pt>
                <c:pt idx="21">
                  <c:v>2725.63232421875</c:v>
                </c:pt>
                <c:pt idx="22">
                  <c:v>2794.058837890625</c:v>
                </c:pt>
                <c:pt idx="23">
                  <c:v>2835.044921875</c:v>
                </c:pt>
                <c:pt idx="24">
                  <c:v>2860.80322265625</c:v>
                </c:pt>
                <c:pt idx="25">
                  <c:v>2837.857177734375</c:v>
                </c:pt>
                <c:pt idx="26">
                  <c:v>2780.83837890625</c:v>
                </c:pt>
                <c:pt idx="27">
                  <c:v>2716.30517578125</c:v>
                </c:pt>
                <c:pt idx="28">
                  <c:v>2647.048828125</c:v>
                </c:pt>
                <c:pt idx="29">
                  <c:v>2520.181396484375</c:v>
                </c:pt>
                <c:pt idx="30">
                  <c:v>2403.2080078125</c:v>
                </c:pt>
                <c:pt idx="31">
                  <c:v>2228.2265625</c:v>
                </c:pt>
                <c:pt idx="32">
                  <c:v>2035.15625</c:v>
                </c:pt>
                <c:pt idx="33">
                  <c:v>1839.468017578125</c:v>
                </c:pt>
                <c:pt idx="34">
                  <c:v>1580.0743408203125</c:v>
                </c:pt>
                <c:pt idx="35">
                  <c:v>1289.91015625</c:v>
                </c:pt>
                <c:pt idx="36">
                  <c:v>945.50115966796875</c:v>
                </c:pt>
                <c:pt idx="37">
                  <c:v>547.74658203125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452-42DA-9ACF-4AB67FD73571}"/>
            </c:ext>
          </c:extLst>
        </c:ser>
        <c:ser>
          <c:idx val="12"/>
          <c:order val="12"/>
          <c:tx>
            <c:strRef>
              <c:f>Skymaps!$D$846</c:f>
              <c:strCache>
                <c:ptCount val="1"/>
                <c:pt idx="0">
                  <c:v>12000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Skymaps!$E$846:$BC$846</c:f>
              <c:numCache>
                <c:formatCode>General</c:formatCode>
                <c:ptCount val="51"/>
                <c:pt idx="18">
                  <c:v>1304.3609619140625</c:v>
                </c:pt>
                <c:pt idx="19">
                  <c:v>2340.75830078125</c:v>
                </c:pt>
                <c:pt idx="20">
                  <c:v>2574.707763671875</c:v>
                </c:pt>
                <c:pt idx="21">
                  <c:v>2659.065673828125</c:v>
                </c:pt>
                <c:pt idx="22">
                  <c:v>2756.86474609375</c:v>
                </c:pt>
                <c:pt idx="23">
                  <c:v>2816.0751953125</c:v>
                </c:pt>
                <c:pt idx="24">
                  <c:v>2840.15673828125</c:v>
                </c:pt>
                <c:pt idx="25">
                  <c:v>2824.376708984375</c:v>
                </c:pt>
                <c:pt idx="26">
                  <c:v>2795.890869140625</c:v>
                </c:pt>
                <c:pt idx="27">
                  <c:v>2753.983642578125</c:v>
                </c:pt>
                <c:pt idx="28">
                  <c:v>2653.28955078125</c:v>
                </c:pt>
                <c:pt idx="29">
                  <c:v>2582.58642578125</c:v>
                </c:pt>
                <c:pt idx="30">
                  <c:v>2439.108642578125</c:v>
                </c:pt>
                <c:pt idx="31">
                  <c:v>2307.22509765625</c:v>
                </c:pt>
                <c:pt idx="32">
                  <c:v>2099.890380859375</c:v>
                </c:pt>
                <c:pt idx="33">
                  <c:v>1924.491455078125</c:v>
                </c:pt>
                <c:pt idx="34">
                  <c:v>1704.179443359375</c:v>
                </c:pt>
                <c:pt idx="35">
                  <c:v>1421.6971435546875</c:v>
                </c:pt>
                <c:pt idx="36">
                  <c:v>1095.5220947265625</c:v>
                </c:pt>
                <c:pt idx="37">
                  <c:v>731.3912353515625</c:v>
                </c:pt>
                <c:pt idx="38">
                  <c:v>217.50347900390625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452-42DA-9ACF-4AB67FD73571}"/>
            </c:ext>
          </c:extLst>
        </c:ser>
        <c:ser>
          <c:idx val="13"/>
          <c:order val="13"/>
          <c:tx>
            <c:strRef>
              <c:f>Skymaps!$D$847</c:f>
              <c:strCache>
                <c:ptCount val="1"/>
                <c:pt idx="0">
                  <c:v>13000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Skymaps!$E$847:$BC$847</c:f>
              <c:numCache>
                <c:formatCode>General</c:formatCode>
                <c:ptCount val="51"/>
                <c:pt idx="18">
                  <c:v>679.0218505859375</c:v>
                </c:pt>
                <c:pt idx="19">
                  <c:v>2066.657470703125</c:v>
                </c:pt>
                <c:pt idx="20">
                  <c:v>2488.104248046875</c:v>
                </c:pt>
                <c:pt idx="21">
                  <c:v>2647.48046875</c:v>
                </c:pt>
                <c:pt idx="22">
                  <c:v>2737.03759765625</c:v>
                </c:pt>
                <c:pt idx="23">
                  <c:v>2788.3740234375</c:v>
                </c:pt>
                <c:pt idx="24">
                  <c:v>2822.79052734375</c:v>
                </c:pt>
                <c:pt idx="25">
                  <c:v>2845.2880859375</c:v>
                </c:pt>
                <c:pt idx="26">
                  <c:v>2822.586669921875</c:v>
                </c:pt>
                <c:pt idx="27">
                  <c:v>2758.255126953125</c:v>
                </c:pt>
                <c:pt idx="28">
                  <c:v>2695.306640625</c:v>
                </c:pt>
                <c:pt idx="29">
                  <c:v>2614.516357421875</c:v>
                </c:pt>
                <c:pt idx="30">
                  <c:v>2496.6044921875</c:v>
                </c:pt>
                <c:pt idx="31">
                  <c:v>2363.5341796875</c:v>
                </c:pt>
                <c:pt idx="32">
                  <c:v>2200.5830078125</c:v>
                </c:pt>
                <c:pt idx="33">
                  <c:v>1989.5404052734375</c:v>
                </c:pt>
                <c:pt idx="34">
                  <c:v>1807.4202880859375</c:v>
                </c:pt>
                <c:pt idx="35">
                  <c:v>1565.437255859375</c:v>
                </c:pt>
                <c:pt idx="36">
                  <c:v>1232.15771484375</c:v>
                </c:pt>
                <c:pt idx="37">
                  <c:v>900.84149169921875</c:v>
                </c:pt>
                <c:pt idx="38">
                  <c:v>426.36618041992188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452-42DA-9ACF-4AB67FD73571}"/>
            </c:ext>
          </c:extLst>
        </c:ser>
        <c:ser>
          <c:idx val="14"/>
          <c:order val="14"/>
          <c:tx>
            <c:strRef>
              <c:f>Skymaps!$D$848</c:f>
              <c:strCache>
                <c:ptCount val="1"/>
                <c:pt idx="0">
                  <c:v>14000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Skymaps!$E$848:$BC$848</c:f>
              <c:numCache>
                <c:formatCode>General</c:formatCode>
                <c:ptCount val="51"/>
                <c:pt idx="19">
                  <c:v>1649.8563232421875</c:v>
                </c:pt>
                <c:pt idx="20">
                  <c:v>2439.43359375</c:v>
                </c:pt>
                <c:pt idx="21">
                  <c:v>2594.22216796875</c:v>
                </c:pt>
                <c:pt idx="22">
                  <c:v>2682.896240234375</c:v>
                </c:pt>
                <c:pt idx="23">
                  <c:v>2770.06689453125</c:v>
                </c:pt>
                <c:pt idx="24">
                  <c:v>2814.26611328125</c:v>
                </c:pt>
                <c:pt idx="25">
                  <c:v>2828.612060546875</c:v>
                </c:pt>
                <c:pt idx="26">
                  <c:v>2809.334716796875</c:v>
                </c:pt>
                <c:pt idx="27">
                  <c:v>2779.131103515625</c:v>
                </c:pt>
                <c:pt idx="28">
                  <c:v>2730.662353515625</c:v>
                </c:pt>
                <c:pt idx="29">
                  <c:v>2615.6748046875</c:v>
                </c:pt>
                <c:pt idx="30">
                  <c:v>2554.4228515625</c:v>
                </c:pt>
                <c:pt idx="31">
                  <c:v>2396.967529296875</c:v>
                </c:pt>
                <c:pt idx="32">
                  <c:v>2277.404052734375</c:v>
                </c:pt>
                <c:pt idx="33">
                  <c:v>2085.6826171875</c:v>
                </c:pt>
                <c:pt idx="34">
                  <c:v>1889.6776123046875</c:v>
                </c:pt>
                <c:pt idx="35">
                  <c:v>1687.228271484375</c:v>
                </c:pt>
                <c:pt idx="36">
                  <c:v>1393.001220703125</c:v>
                </c:pt>
                <c:pt idx="37">
                  <c:v>1056.116943359375</c:v>
                </c:pt>
                <c:pt idx="38">
                  <c:v>620.0174560546875</c:v>
                </c:pt>
                <c:pt idx="39">
                  <c:v>22.973703384399414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452-42DA-9ACF-4AB67FD73571}"/>
            </c:ext>
          </c:extLst>
        </c:ser>
        <c:ser>
          <c:idx val="15"/>
          <c:order val="15"/>
          <c:tx>
            <c:strRef>
              <c:f>Skymaps!$D$849</c:f>
              <c:strCache>
                <c:ptCount val="1"/>
                <c:pt idx="0">
                  <c:v>15000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Skymaps!$E$849:$BC$849</c:f>
              <c:numCache>
                <c:formatCode>General</c:formatCode>
                <c:ptCount val="51"/>
                <c:pt idx="19">
                  <c:v>1088.5247802734375</c:v>
                </c:pt>
                <c:pt idx="20">
                  <c:v>2241.75439453125</c:v>
                </c:pt>
                <c:pt idx="21">
                  <c:v>2523.60888671875</c:v>
                </c:pt>
                <c:pt idx="22">
                  <c:v>2664.764404296875</c:v>
                </c:pt>
                <c:pt idx="23">
                  <c:v>2733.14453125</c:v>
                </c:pt>
                <c:pt idx="24">
                  <c:v>2776.285400390625</c:v>
                </c:pt>
                <c:pt idx="25">
                  <c:v>2807.468994140625</c:v>
                </c:pt>
                <c:pt idx="26">
                  <c:v>2833.696044921875</c:v>
                </c:pt>
                <c:pt idx="27">
                  <c:v>2804.5859375</c:v>
                </c:pt>
                <c:pt idx="28">
                  <c:v>2730.978759765625</c:v>
                </c:pt>
                <c:pt idx="29">
                  <c:v>2676.291015625</c:v>
                </c:pt>
                <c:pt idx="30">
                  <c:v>2579.888671875</c:v>
                </c:pt>
                <c:pt idx="31">
                  <c:v>2475.45654296875</c:v>
                </c:pt>
                <c:pt idx="32">
                  <c:v>2330.68310546875</c:v>
                </c:pt>
                <c:pt idx="33">
                  <c:v>2183.89013671875</c:v>
                </c:pt>
                <c:pt idx="34">
                  <c:v>1966.04150390625</c:v>
                </c:pt>
                <c:pt idx="35">
                  <c:v>1786.9595947265625</c:v>
                </c:pt>
                <c:pt idx="36">
                  <c:v>1537.3487548828125</c:v>
                </c:pt>
                <c:pt idx="37">
                  <c:v>1222.0853271484375</c:v>
                </c:pt>
                <c:pt idx="38">
                  <c:v>798.4903564453125</c:v>
                </c:pt>
                <c:pt idx="39">
                  <c:v>249.40814208984375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452-42DA-9ACF-4AB67FD73571}"/>
            </c:ext>
          </c:extLst>
        </c:ser>
        <c:ser>
          <c:idx val="16"/>
          <c:order val="16"/>
          <c:tx>
            <c:strRef>
              <c:f>Skymaps!$D$850</c:f>
              <c:strCache>
                <c:ptCount val="1"/>
                <c:pt idx="0">
                  <c:v>16000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Skymaps!$E$850:$BC$850</c:f>
              <c:numCache>
                <c:formatCode>General</c:formatCode>
                <c:ptCount val="51"/>
                <c:pt idx="19">
                  <c:v>350.99395751953125</c:v>
                </c:pt>
                <c:pt idx="20">
                  <c:v>1867.267333984375</c:v>
                </c:pt>
                <c:pt idx="21">
                  <c:v>2459.163818359375</c:v>
                </c:pt>
                <c:pt idx="22">
                  <c:v>2566.786376953125</c:v>
                </c:pt>
                <c:pt idx="23">
                  <c:v>2684.576171875</c:v>
                </c:pt>
                <c:pt idx="24">
                  <c:v>2758.936767578125</c:v>
                </c:pt>
                <c:pt idx="25">
                  <c:v>2797.931884765625</c:v>
                </c:pt>
                <c:pt idx="26">
                  <c:v>2811.749267578125</c:v>
                </c:pt>
                <c:pt idx="27">
                  <c:v>2785.267578125</c:v>
                </c:pt>
                <c:pt idx="28">
                  <c:v>2763.127197265625</c:v>
                </c:pt>
                <c:pt idx="29">
                  <c:v>2706.320068359375</c:v>
                </c:pt>
                <c:pt idx="30">
                  <c:v>2600.42529296875</c:v>
                </c:pt>
                <c:pt idx="31">
                  <c:v>2527.196044921875</c:v>
                </c:pt>
                <c:pt idx="32">
                  <c:v>2380.7255859375</c:v>
                </c:pt>
                <c:pt idx="33">
                  <c:v>2250.500244140625</c:v>
                </c:pt>
                <c:pt idx="34">
                  <c:v>2075.395751953125</c:v>
                </c:pt>
                <c:pt idx="35">
                  <c:v>1853.0845947265625</c:v>
                </c:pt>
                <c:pt idx="36">
                  <c:v>1641.60498046875</c:v>
                </c:pt>
                <c:pt idx="37">
                  <c:v>1366.560302734375</c:v>
                </c:pt>
                <c:pt idx="38">
                  <c:v>951.16778564453125</c:v>
                </c:pt>
                <c:pt idx="39">
                  <c:v>428.53164672851563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452-42DA-9ACF-4AB67FD73571}"/>
            </c:ext>
          </c:extLst>
        </c:ser>
        <c:ser>
          <c:idx val="17"/>
          <c:order val="17"/>
          <c:tx>
            <c:strRef>
              <c:f>Skymaps!$D$851</c:f>
              <c:strCache>
                <c:ptCount val="1"/>
                <c:pt idx="0">
                  <c:v>17000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Skymaps!$E$851:$BC$851</c:f>
              <c:numCache>
                <c:formatCode>General</c:formatCode>
                <c:ptCount val="51"/>
                <c:pt idx="20">
                  <c:v>1339.735107421875</c:v>
                </c:pt>
                <c:pt idx="21">
                  <c:v>2294.49462890625</c:v>
                </c:pt>
                <c:pt idx="22">
                  <c:v>2521.296875</c:v>
                </c:pt>
                <c:pt idx="23">
                  <c:v>2635.734375</c:v>
                </c:pt>
                <c:pt idx="24">
                  <c:v>2702.689208984375</c:v>
                </c:pt>
                <c:pt idx="25">
                  <c:v>2752.67236328125</c:v>
                </c:pt>
                <c:pt idx="26">
                  <c:v>2792.633544921875</c:v>
                </c:pt>
                <c:pt idx="27">
                  <c:v>2815.718505859375</c:v>
                </c:pt>
                <c:pt idx="28">
                  <c:v>2781.52099609375</c:v>
                </c:pt>
                <c:pt idx="29">
                  <c:v>2693.607421875</c:v>
                </c:pt>
                <c:pt idx="30">
                  <c:v>2659.864501953125</c:v>
                </c:pt>
                <c:pt idx="31">
                  <c:v>2544.6318359375</c:v>
                </c:pt>
                <c:pt idx="32">
                  <c:v>2456.038818359375</c:v>
                </c:pt>
                <c:pt idx="33">
                  <c:v>2291.72705078125</c:v>
                </c:pt>
                <c:pt idx="34">
                  <c:v>2158.332275390625</c:v>
                </c:pt>
                <c:pt idx="35">
                  <c:v>1957.4677734375</c:v>
                </c:pt>
                <c:pt idx="36">
                  <c:v>1722.6531982421875</c:v>
                </c:pt>
                <c:pt idx="37">
                  <c:v>1486.7928466796875</c:v>
                </c:pt>
                <c:pt idx="38">
                  <c:v>1115.2113037109375</c:v>
                </c:pt>
                <c:pt idx="39">
                  <c:v>593.1044921875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452-42DA-9ACF-4AB67FD73571}"/>
            </c:ext>
          </c:extLst>
        </c:ser>
        <c:ser>
          <c:idx val="18"/>
          <c:order val="18"/>
          <c:tx>
            <c:strRef>
              <c:f>Skymaps!$D$852</c:f>
              <c:strCache>
                <c:ptCount val="1"/>
                <c:pt idx="0">
                  <c:v>18000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Skymaps!$E$852:$BC$852</c:f>
              <c:numCache>
                <c:formatCode>General</c:formatCode>
                <c:ptCount val="51"/>
                <c:pt idx="20">
                  <c:v>656.59332275390625</c:v>
                </c:pt>
                <c:pt idx="21">
                  <c:v>1967.61376953125</c:v>
                </c:pt>
                <c:pt idx="22">
                  <c:v>2434.612548828125</c:v>
                </c:pt>
                <c:pt idx="23">
                  <c:v>2553.8525390625</c:v>
                </c:pt>
                <c:pt idx="24">
                  <c:v>2667.979736328125</c:v>
                </c:pt>
                <c:pt idx="25">
                  <c:v>2741.78125</c:v>
                </c:pt>
                <c:pt idx="26">
                  <c:v>2779.818115234375</c:v>
                </c:pt>
                <c:pt idx="27">
                  <c:v>2785.90283203125</c:v>
                </c:pt>
                <c:pt idx="28">
                  <c:v>2772.545166015625</c:v>
                </c:pt>
                <c:pt idx="29">
                  <c:v>2749.7568359375</c:v>
                </c:pt>
                <c:pt idx="30">
                  <c:v>2677.48046875</c:v>
                </c:pt>
                <c:pt idx="31">
                  <c:v>2594.203369140625</c:v>
                </c:pt>
                <c:pt idx="32">
                  <c:v>2495.346923828125</c:v>
                </c:pt>
                <c:pt idx="33">
                  <c:v>2368.940673828125</c:v>
                </c:pt>
                <c:pt idx="34">
                  <c:v>2214.65234375</c:v>
                </c:pt>
                <c:pt idx="35">
                  <c:v>2054.642333984375</c:v>
                </c:pt>
                <c:pt idx="36">
                  <c:v>1804.93505859375</c:v>
                </c:pt>
                <c:pt idx="37">
                  <c:v>1582.655029296875</c:v>
                </c:pt>
                <c:pt idx="38">
                  <c:v>1251.907958984375</c:v>
                </c:pt>
                <c:pt idx="39">
                  <c:v>775.3145751953125</c:v>
                </c:pt>
                <c:pt idx="40">
                  <c:v>2.0658857822418213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452-42DA-9ACF-4AB67FD73571}"/>
            </c:ext>
          </c:extLst>
        </c:ser>
        <c:ser>
          <c:idx val="19"/>
          <c:order val="19"/>
          <c:tx>
            <c:strRef>
              <c:f>Skymaps!$D$853</c:f>
              <c:strCache>
                <c:ptCount val="1"/>
                <c:pt idx="0">
                  <c:v>19000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Skymaps!$E$853:$BC$853</c:f>
              <c:numCache>
                <c:formatCode>General</c:formatCode>
                <c:ptCount val="51"/>
                <c:pt idx="21">
                  <c:v>1476.157470703125</c:v>
                </c:pt>
                <c:pt idx="22">
                  <c:v>2312.704345703125</c:v>
                </c:pt>
                <c:pt idx="23">
                  <c:v>2509.719970703125</c:v>
                </c:pt>
                <c:pt idx="24">
                  <c:v>2616.734130859375</c:v>
                </c:pt>
                <c:pt idx="25">
                  <c:v>2690.636474609375</c:v>
                </c:pt>
                <c:pt idx="26">
                  <c:v>2744.011962890625</c:v>
                </c:pt>
                <c:pt idx="27">
                  <c:v>2781.686279296875</c:v>
                </c:pt>
                <c:pt idx="28">
                  <c:v>2798.41064453125</c:v>
                </c:pt>
                <c:pt idx="29">
                  <c:v>2758.27783203125</c:v>
                </c:pt>
                <c:pt idx="30">
                  <c:v>2695.564208984375</c:v>
                </c:pt>
                <c:pt idx="31">
                  <c:v>2639.74169921875</c:v>
                </c:pt>
                <c:pt idx="32">
                  <c:v>2508.90380859375</c:v>
                </c:pt>
                <c:pt idx="33">
                  <c:v>2429.75634765625</c:v>
                </c:pt>
                <c:pt idx="34">
                  <c:v>2268.2626953125</c:v>
                </c:pt>
                <c:pt idx="35">
                  <c:v>2121.954833984375</c:v>
                </c:pt>
                <c:pt idx="36">
                  <c:v>1920.7392578125</c:v>
                </c:pt>
                <c:pt idx="37">
                  <c:v>1643.4176025390625</c:v>
                </c:pt>
                <c:pt idx="38">
                  <c:v>1361.1192626953125</c:v>
                </c:pt>
                <c:pt idx="39">
                  <c:v>929.426025390625</c:v>
                </c:pt>
                <c:pt idx="40">
                  <c:v>215.66941833496094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452-42DA-9ACF-4AB67FD73571}"/>
            </c:ext>
          </c:extLst>
        </c:ser>
        <c:ser>
          <c:idx val="20"/>
          <c:order val="20"/>
          <c:tx>
            <c:strRef>
              <c:f>Skymaps!$D$854</c:f>
              <c:strCache>
                <c:ptCount val="1"/>
                <c:pt idx="0">
                  <c:v>20000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Skymaps!$E$854:$BC$854</c:f>
              <c:numCache>
                <c:formatCode>General</c:formatCode>
                <c:ptCount val="51"/>
                <c:pt idx="21">
                  <c:v>817.482666015625</c:v>
                </c:pt>
                <c:pt idx="22">
                  <c:v>2016.6458740234375</c:v>
                </c:pt>
                <c:pt idx="23">
                  <c:v>2411.896240234375</c:v>
                </c:pt>
                <c:pt idx="24">
                  <c:v>2544.8583984375</c:v>
                </c:pt>
                <c:pt idx="25">
                  <c:v>2657.962158203125</c:v>
                </c:pt>
                <c:pt idx="26">
                  <c:v>2725.456298828125</c:v>
                </c:pt>
                <c:pt idx="27">
                  <c:v>2756.950439453125</c:v>
                </c:pt>
                <c:pt idx="28">
                  <c:v>2753.431396484375</c:v>
                </c:pt>
                <c:pt idx="29">
                  <c:v>2772.004638671875</c:v>
                </c:pt>
                <c:pt idx="30">
                  <c:v>2739.427734375</c:v>
                </c:pt>
                <c:pt idx="31">
                  <c:v>2641.259521484375</c:v>
                </c:pt>
                <c:pt idx="32">
                  <c:v>2582.7578125</c:v>
                </c:pt>
                <c:pt idx="33">
                  <c:v>2453.770751953125</c:v>
                </c:pt>
                <c:pt idx="34">
                  <c:v>2352.07373046875</c:v>
                </c:pt>
                <c:pt idx="35">
                  <c:v>2159.141357421875</c:v>
                </c:pt>
                <c:pt idx="36">
                  <c:v>2005.7841796875</c:v>
                </c:pt>
                <c:pt idx="37">
                  <c:v>1778.8671875</c:v>
                </c:pt>
                <c:pt idx="38">
                  <c:v>1442.0841064453125</c:v>
                </c:pt>
                <c:pt idx="39">
                  <c:v>1050.8392333984375</c:v>
                </c:pt>
                <c:pt idx="40">
                  <c:v>396.48867797851563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452-42DA-9ACF-4AB67FD73571}"/>
            </c:ext>
          </c:extLst>
        </c:ser>
        <c:ser>
          <c:idx val="21"/>
          <c:order val="21"/>
          <c:tx>
            <c:strRef>
              <c:f>Skymaps!$D$855</c:f>
              <c:strCache>
                <c:ptCount val="1"/>
                <c:pt idx="0">
                  <c:v>21000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Skymaps!$E$855:$BC$855</c:f>
              <c:numCache>
                <c:formatCode>General</c:formatCode>
                <c:ptCount val="51"/>
                <c:pt idx="22">
                  <c:v>1501.761474609375</c:v>
                </c:pt>
                <c:pt idx="23">
                  <c:v>2269.04296875</c:v>
                </c:pt>
                <c:pt idx="24">
                  <c:v>2452.177001953125</c:v>
                </c:pt>
                <c:pt idx="25">
                  <c:v>2561.63671875</c:v>
                </c:pt>
                <c:pt idx="26">
                  <c:v>2634.3515625</c:v>
                </c:pt>
                <c:pt idx="27">
                  <c:v>2692.939697265625</c:v>
                </c:pt>
                <c:pt idx="28">
                  <c:v>2729.063232421875</c:v>
                </c:pt>
                <c:pt idx="29">
                  <c:v>2739.308349609375</c:v>
                </c:pt>
                <c:pt idx="30">
                  <c:v>2698.037353515625</c:v>
                </c:pt>
                <c:pt idx="31">
                  <c:v>2664.744384765625</c:v>
                </c:pt>
                <c:pt idx="32">
                  <c:v>2585.72509765625</c:v>
                </c:pt>
                <c:pt idx="33">
                  <c:v>2491.201904296875</c:v>
                </c:pt>
                <c:pt idx="34">
                  <c:v>2383.44873046875</c:v>
                </c:pt>
                <c:pt idx="35">
                  <c:v>2257.899169921875</c:v>
                </c:pt>
                <c:pt idx="36">
                  <c:v>2054.858154296875</c:v>
                </c:pt>
                <c:pt idx="37">
                  <c:v>1876.296142578125</c:v>
                </c:pt>
                <c:pt idx="38">
                  <c:v>1555.853759765625</c:v>
                </c:pt>
                <c:pt idx="39">
                  <c:v>1136.1312255859375</c:v>
                </c:pt>
                <c:pt idx="40">
                  <c:v>532.74365234375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452-42DA-9ACF-4AB67FD73571}"/>
            </c:ext>
          </c:extLst>
        </c:ser>
        <c:ser>
          <c:idx val="22"/>
          <c:order val="22"/>
          <c:tx>
            <c:strRef>
              <c:f>Skymaps!$D$856</c:f>
              <c:strCache>
                <c:ptCount val="1"/>
                <c:pt idx="0">
                  <c:v>22000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Skymaps!$E$856:$BC$856</c:f>
              <c:numCache>
                <c:formatCode>General</c:formatCode>
                <c:ptCount val="51"/>
                <c:pt idx="22">
                  <c:v>807.57867431640625</c:v>
                </c:pt>
                <c:pt idx="23">
                  <c:v>1939.5772705078125</c:v>
                </c:pt>
                <c:pt idx="24">
                  <c:v>2306.037841796875</c:v>
                </c:pt>
                <c:pt idx="25">
                  <c:v>2429.925537109375</c:v>
                </c:pt>
                <c:pt idx="26">
                  <c:v>2537.635009765625</c:v>
                </c:pt>
                <c:pt idx="27">
                  <c:v>2609.168701171875</c:v>
                </c:pt>
                <c:pt idx="28">
                  <c:v>2639.627197265625</c:v>
                </c:pt>
                <c:pt idx="29">
                  <c:v>2664.483154296875</c:v>
                </c:pt>
                <c:pt idx="30">
                  <c:v>2701.883056640625</c:v>
                </c:pt>
                <c:pt idx="31">
                  <c:v>2659.189697265625</c:v>
                </c:pt>
                <c:pt idx="32">
                  <c:v>2581.588134765625</c:v>
                </c:pt>
                <c:pt idx="33">
                  <c:v>2525.285888671875</c:v>
                </c:pt>
                <c:pt idx="34">
                  <c:v>2399.061767578125</c:v>
                </c:pt>
                <c:pt idx="35">
                  <c:v>2315.1259765625</c:v>
                </c:pt>
                <c:pt idx="36">
                  <c:v>2133.526611328125</c:v>
                </c:pt>
                <c:pt idx="37">
                  <c:v>1940.7032470703125</c:v>
                </c:pt>
                <c:pt idx="38">
                  <c:v>1670.4490966796875</c:v>
                </c:pt>
                <c:pt idx="39">
                  <c:v>1251.336669921875</c:v>
                </c:pt>
                <c:pt idx="40">
                  <c:v>628.22003173828125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452-42DA-9ACF-4AB67FD73571}"/>
            </c:ext>
          </c:extLst>
        </c:ser>
        <c:ser>
          <c:idx val="23"/>
          <c:order val="23"/>
          <c:tx>
            <c:strRef>
              <c:f>Skymaps!$D$857</c:f>
              <c:strCache>
                <c:ptCount val="1"/>
                <c:pt idx="0">
                  <c:v>23000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Skymaps!$E$857:$BC$857</c:f>
              <c:numCache>
                <c:formatCode>General</c:formatCode>
                <c:ptCount val="51"/>
                <c:pt idx="23">
                  <c:v>1420.805419921875</c:v>
                </c:pt>
                <c:pt idx="24">
                  <c:v>2163.972900390625</c:v>
                </c:pt>
                <c:pt idx="25">
                  <c:v>2345.157958984375</c:v>
                </c:pt>
                <c:pt idx="26">
                  <c:v>2457.92578125</c:v>
                </c:pt>
                <c:pt idx="27">
                  <c:v>2539.28759765625</c:v>
                </c:pt>
                <c:pt idx="28">
                  <c:v>2605.3359375</c:v>
                </c:pt>
                <c:pt idx="29">
                  <c:v>2640.721435546875</c:v>
                </c:pt>
                <c:pt idx="30">
                  <c:v>2646.044189453125</c:v>
                </c:pt>
                <c:pt idx="31">
                  <c:v>2636.593994140625</c:v>
                </c:pt>
                <c:pt idx="32">
                  <c:v>2611.565673828125</c:v>
                </c:pt>
                <c:pt idx="33">
                  <c:v>2510.172607421875</c:v>
                </c:pt>
                <c:pt idx="34">
                  <c:v>2463.888671875</c:v>
                </c:pt>
                <c:pt idx="35">
                  <c:v>2330.131591796875</c:v>
                </c:pt>
                <c:pt idx="36">
                  <c:v>2210.769775390625</c:v>
                </c:pt>
                <c:pt idx="37">
                  <c:v>1999.9979248046875</c:v>
                </c:pt>
                <c:pt idx="38">
                  <c:v>1748.0806884765625</c:v>
                </c:pt>
                <c:pt idx="39">
                  <c:v>1384.664794921875</c:v>
                </c:pt>
                <c:pt idx="40">
                  <c:v>732.65960693359375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452-42DA-9ACF-4AB67FD73571}"/>
            </c:ext>
          </c:extLst>
        </c:ser>
        <c:ser>
          <c:idx val="24"/>
          <c:order val="24"/>
          <c:tx>
            <c:strRef>
              <c:f>Skymaps!$D$858</c:f>
              <c:strCache>
                <c:ptCount val="1"/>
                <c:pt idx="0">
                  <c:v>24000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Skymaps!$E$858:$BC$858</c:f>
              <c:numCache>
                <c:formatCode>General</c:formatCode>
                <c:ptCount val="51"/>
                <c:pt idx="23">
                  <c:v>709.63250732421875</c:v>
                </c:pt>
                <c:pt idx="24">
                  <c:v>1821.91845703125</c:v>
                </c:pt>
                <c:pt idx="25">
                  <c:v>2206.105224609375</c:v>
                </c:pt>
                <c:pt idx="26">
                  <c:v>2316.52734375</c:v>
                </c:pt>
                <c:pt idx="27">
                  <c:v>2416.399169921875</c:v>
                </c:pt>
                <c:pt idx="28">
                  <c:v>2493.9423828125</c:v>
                </c:pt>
                <c:pt idx="29">
                  <c:v>2558.784423828125</c:v>
                </c:pt>
                <c:pt idx="30">
                  <c:v>2616.400390625</c:v>
                </c:pt>
                <c:pt idx="31">
                  <c:v>2630.82958984375</c:v>
                </c:pt>
                <c:pt idx="32">
                  <c:v>2585.356689453125</c:v>
                </c:pt>
                <c:pt idx="33">
                  <c:v>2559.76416015625</c:v>
                </c:pt>
                <c:pt idx="34">
                  <c:v>2477.11474609375</c:v>
                </c:pt>
                <c:pt idx="35">
                  <c:v>2406.236572265625</c:v>
                </c:pt>
                <c:pt idx="36">
                  <c:v>2243.764404296875</c:v>
                </c:pt>
                <c:pt idx="37">
                  <c:v>2096.61328125</c:v>
                </c:pt>
                <c:pt idx="38">
                  <c:v>1793.8973388671875</c:v>
                </c:pt>
                <c:pt idx="39">
                  <c:v>1474.3974609375</c:v>
                </c:pt>
                <c:pt idx="40">
                  <c:v>888.72894287109375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452-42DA-9ACF-4AB67FD73571}"/>
            </c:ext>
          </c:extLst>
        </c:ser>
        <c:ser>
          <c:idx val="25"/>
          <c:order val="25"/>
          <c:tx>
            <c:strRef>
              <c:f>Skymaps!$D$859</c:f>
              <c:strCache>
                <c:ptCount val="1"/>
                <c:pt idx="0">
                  <c:v>25000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Skymaps!$E$859:$BC$859</c:f>
              <c:numCache>
                <c:formatCode>General</c:formatCode>
                <c:ptCount val="51"/>
                <c:pt idx="24">
                  <c:v>1277.4652099609375</c:v>
                </c:pt>
                <c:pt idx="25">
                  <c:v>2038.3446044921875</c:v>
                </c:pt>
                <c:pt idx="26">
                  <c:v>2230.70703125</c:v>
                </c:pt>
                <c:pt idx="27">
                  <c:v>2361.64306640625</c:v>
                </c:pt>
                <c:pt idx="28">
                  <c:v>2452.745361328125</c:v>
                </c:pt>
                <c:pt idx="29">
                  <c:v>2525.87744140625</c:v>
                </c:pt>
                <c:pt idx="30">
                  <c:v>2563.029541015625</c:v>
                </c:pt>
                <c:pt idx="31">
                  <c:v>2560.353759765625</c:v>
                </c:pt>
                <c:pt idx="32">
                  <c:v>2600.909423828125</c:v>
                </c:pt>
                <c:pt idx="33">
                  <c:v>2565.85302734375</c:v>
                </c:pt>
                <c:pt idx="34">
                  <c:v>2508.12353515625</c:v>
                </c:pt>
                <c:pt idx="35">
                  <c:v>2450.880126953125</c:v>
                </c:pt>
                <c:pt idx="36">
                  <c:v>2306.309814453125</c:v>
                </c:pt>
                <c:pt idx="37">
                  <c:v>2147.88525390625</c:v>
                </c:pt>
                <c:pt idx="38">
                  <c:v>1914.5389404296875</c:v>
                </c:pt>
                <c:pt idx="39">
                  <c:v>1520.12744140625</c:v>
                </c:pt>
                <c:pt idx="40">
                  <c:v>986.5894775390625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452-42DA-9ACF-4AB67FD73571}"/>
            </c:ext>
          </c:extLst>
        </c:ser>
        <c:ser>
          <c:idx val="26"/>
          <c:order val="26"/>
          <c:tx>
            <c:strRef>
              <c:f>Skymaps!$D$860</c:f>
              <c:strCache>
                <c:ptCount val="1"/>
                <c:pt idx="0">
                  <c:v>26000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Skymaps!$E$860:$BC$860</c:f>
              <c:numCache>
                <c:formatCode>General</c:formatCode>
                <c:ptCount val="51"/>
                <c:pt idx="24">
                  <c:v>506.16107177734375</c:v>
                </c:pt>
                <c:pt idx="25">
                  <c:v>1630.189208984375</c:v>
                </c:pt>
                <c:pt idx="26">
                  <c:v>2082.94482421875</c:v>
                </c:pt>
                <c:pt idx="27">
                  <c:v>2214.527099609375</c:v>
                </c:pt>
                <c:pt idx="28">
                  <c:v>2309.030517578125</c:v>
                </c:pt>
                <c:pt idx="29">
                  <c:v>2395.64306640625</c:v>
                </c:pt>
                <c:pt idx="30">
                  <c:v>2476.403564453125</c:v>
                </c:pt>
                <c:pt idx="31">
                  <c:v>2513.04638671875</c:v>
                </c:pt>
                <c:pt idx="32">
                  <c:v>2502.6669921875</c:v>
                </c:pt>
                <c:pt idx="33">
                  <c:v>2506.493408203125</c:v>
                </c:pt>
                <c:pt idx="34">
                  <c:v>2486.865478515625</c:v>
                </c:pt>
                <c:pt idx="35">
                  <c:v>2399.146484375</c:v>
                </c:pt>
                <c:pt idx="36">
                  <c:v>2317.033935546875</c:v>
                </c:pt>
                <c:pt idx="37">
                  <c:v>2151.5458984375</c:v>
                </c:pt>
                <c:pt idx="38">
                  <c:v>1949.7574462890625</c:v>
                </c:pt>
                <c:pt idx="39">
                  <c:v>1619.79150390625</c:v>
                </c:pt>
                <c:pt idx="40">
                  <c:v>1005.404296875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452-42DA-9ACF-4AB67FD73571}"/>
            </c:ext>
          </c:extLst>
        </c:ser>
        <c:ser>
          <c:idx val="27"/>
          <c:order val="27"/>
          <c:tx>
            <c:strRef>
              <c:f>Skymaps!$D$861</c:f>
              <c:strCache>
                <c:ptCount val="1"/>
                <c:pt idx="0">
                  <c:v>27000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Skymaps!$E$861:$BC$861</c:f>
              <c:numCache>
                <c:formatCode>General</c:formatCode>
                <c:ptCount val="51"/>
                <c:pt idx="25">
                  <c:v>1000.9840087890625</c:v>
                </c:pt>
                <c:pt idx="26">
                  <c:v>1841.478515625</c:v>
                </c:pt>
                <c:pt idx="27">
                  <c:v>2043.618896484375</c:v>
                </c:pt>
                <c:pt idx="28">
                  <c:v>2189.460205078125</c:v>
                </c:pt>
                <c:pt idx="29">
                  <c:v>2279.319580078125</c:v>
                </c:pt>
                <c:pt idx="30">
                  <c:v>2343.14306640625</c:v>
                </c:pt>
                <c:pt idx="31">
                  <c:v>2384.5986328125</c:v>
                </c:pt>
                <c:pt idx="32">
                  <c:v>2442.63720703125</c:v>
                </c:pt>
                <c:pt idx="33">
                  <c:v>2449.701904296875</c:v>
                </c:pt>
                <c:pt idx="34">
                  <c:v>2404.02490234375</c:v>
                </c:pt>
                <c:pt idx="35">
                  <c:v>2404.51953125</c:v>
                </c:pt>
                <c:pt idx="36">
                  <c:v>2273.884521484375</c:v>
                </c:pt>
                <c:pt idx="37">
                  <c:v>2189.884033203125</c:v>
                </c:pt>
                <c:pt idx="38">
                  <c:v>1935.201171875</c:v>
                </c:pt>
                <c:pt idx="39">
                  <c:v>1673.842041015625</c:v>
                </c:pt>
                <c:pt idx="40">
                  <c:v>1108.049560546875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452-42DA-9ACF-4AB67FD73571}"/>
            </c:ext>
          </c:extLst>
        </c:ser>
        <c:ser>
          <c:idx val="28"/>
          <c:order val="28"/>
          <c:tx>
            <c:strRef>
              <c:f>Skymaps!$D$862</c:f>
              <c:strCache>
                <c:ptCount val="1"/>
                <c:pt idx="0">
                  <c:v>28000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Skymaps!$E$862:$BC$862</c:f>
              <c:numCache>
                <c:formatCode>General</c:formatCode>
                <c:ptCount val="51"/>
                <c:pt idx="25">
                  <c:v>146.91983032226563</c:v>
                </c:pt>
                <c:pt idx="26">
                  <c:v>1367.09765625</c:v>
                </c:pt>
                <c:pt idx="27">
                  <c:v>1917.0599365234375</c:v>
                </c:pt>
                <c:pt idx="28">
                  <c:v>2066.798828125</c:v>
                </c:pt>
                <c:pt idx="29">
                  <c:v>2173.966796875</c:v>
                </c:pt>
                <c:pt idx="30">
                  <c:v>2258.5078125</c:v>
                </c:pt>
                <c:pt idx="31">
                  <c:v>2318.0146484375</c:v>
                </c:pt>
                <c:pt idx="32">
                  <c:v>2342.16357421875</c:v>
                </c:pt>
                <c:pt idx="33">
                  <c:v>2358.51318359375</c:v>
                </c:pt>
                <c:pt idx="34">
                  <c:v>2387.144775390625</c:v>
                </c:pt>
                <c:pt idx="35">
                  <c:v>2341.705322265625</c:v>
                </c:pt>
                <c:pt idx="36">
                  <c:v>2286.032958984375</c:v>
                </c:pt>
                <c:pt idx="37">
                  <c:v>2171.74169921875</c:v>
                </c:pt>
                <c:pt idx="38">
                  <c:v>2002.0989990234375</c:v>
                </c:pt>
                <c:pt idx="39">
                  <c:v>1670.845703125</c:v>
                </c:pt>
                <c:pt idx="40">
                  <c:v>1170.9354248046875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452-42DA-9ACF-4AB67FD73571}"/>
            </c:ext>
          </c:extLst>
        </c:ser>
        <c:ser>
          <c:idx val="29"/>
          <c:order val="29"/>
          <c:tx>
            <c:strRef>
              <c:f>Skymaps!$D$863</c:f>
              <c:strCache>
                <c:ptCount val="1"/>
                <c:pt idx="0">
                  <c:v>29000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Skymaps!$E$863:$BC$863</c:f>
              <c:numCache>
                <c:formatCode>General</c:formatCode>
                <c:ptCount val="51"/>
                <c:pt idx="26">
                  <c:v>656.11285400390625</c:v>
                </c:pt>
                <c:pt idx="27">
                  <c:v>1595.6226806640625</c:v>
                </c:pt>
                <c:pt idx="28">
                  <c:v>1880.8792724609375</c:v>
                </c:pt>
                <c:pt idx="29">
                  <c:v>2005.2569580078125</c:v>
                </c:pt>
                <c:pt idx="30">
                  <c:v>2104.190673828125</c:v>
                </c:pt>
                <c:pt idx="31">
                  <c:v>2191.050537109375</c:v>
                </c:pt>
                <c:pt idx="32">
                  <c:v>2267.451416015625</c:v>
                </c:pt>
                <c:pt idx="33">
                  <c:v>2304.1328125</c:v>
                </c:pt>
                <c:pt idx="34">
                  <c:v>2272.26416015625</c:v>
                </c:pt>
                <c:pt idx="35">
                  <c:v>2323.345458984375</c:v>
                </c:pt>
                <c:pt idx="36">
                  <c:v>2252.487548828125</c:v>
                </c:pt>
                <c:pt idx="37">
                  <c:v>2175.302978515625</c:v>
                </c:pt>
                <c:pt idx="38">
                  <c:v>2006.5078125</c:v>
                </c:pt>
                <c:pt idx="39">
                  <c:v>1750.852294921875</c:v>
                </c:pt>
                <c:pt idx="40">
                  <c:v>1146.845458984375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452-42DA-9ACF-4AB67FD73571}"/>
            </c:ext>
          </c:extLst>
        </c:ser>
        <c:ser>
          <c:idx val="30"/>
          <c:order val="30"/>
          <c:tx>
            <c:strRef>
              <c:f>Skymaps!$D$864</c:f>
              <c:strCache>
                <c:ptCount val="1"/>
                <c:pt idx="0">
                  <c:v>30000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Skymaps!$E$864:$BC$864</c:f>
              <c:numCache>
                <c:formatCode>General</c:formatCode>
                <c:ptCount val="51"/>
                <c:pt idx="27">
                  <c:v>1025.345947265625</c:v>
                </c:pt>
                <c:pt idx="28">
                  <c:v>1710.0223388671875</c:v>
                </c:pt>
                <c:pt idx="29">
                  <c:v>1878.0599365234375</c:v>
                </c:pt>
                <c:pt idx="30">
                  <c:v>2002.5985107421875</c:v>
                </c:pt>
                <c:pt idx="31">
                  <c:v>2079.960205078125</c:v>
                </c:pt>
                <c:pt idx="32">
                  <c:v>2123.84619140625</c:v>
                </c:pt>
                <c:pt idx="33">
                  <c:v>2200.416748046875</c:v>
                </c:pt>
                <c:pt idx="34">
                  <c:v>2257.70751953125</c:v>
                </c:pt>
                <c:pt idx="35">
                  <c:v>2251.27490234375</c:v>
                </c:pt>
                <c:pt idx="36">
                  <c:v>2222.419921875</c:v>
                </c:pt>
                <c:pt idx="37">
                  <c:v>2169.8505859375</c:v>
                </c:pt>
                <c:pt idx="38">
                  <c:v>2005.02197265625</c:v>
                </c:pt>
                <c:pt idx="39">
                  <c:v>1772.2125244140625</c:v>
                </c:pt>
                <c:pt idx="40">
                  <c:v>1223.6326904296875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452-42DA-9ACF-4AB67FD73571}"/>
            </c:ext>
          </c:extLst>
        </c:ser>
        <c:ser>
          <c:idx val="31"/>
          <c:order val="31"/>
          <c:tx>
            <c:strRef>
              <c:f>Skymaps!$D$865</c:f>
              <c:strCache>
                <c:ptCount val="1"/>
                <c:pt idx="0">
                  <c:v>31000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Skymaps!$E$865:$BC$865</c:f>
              <c:numCache>
                <c:formatCode>General</c:formatCode>
                <c:ptCount val="51"/>
                <c:pt idx="27">
                  <c:v>191.12246704101563</c:v>
                </c:pt>
                <c:pt idx="28">
                  <c:v>1265.0540771484375</c:v>
                </c:pt>
                <c:pt idx="29">
                  <c:v>1718.193115234375</c:v>
                </c:pt>
                <c:pt idx="30">
                  <c:v>1859.3385009765625</c:v>
                </c:pt>
                <c:pt idx="31">
                  <c:v>1959.55908203125</c:v>
                </c:pt>
                <c:pt idx="32">
                  <c:v>2036.39892578125</c:v>
                </c:pt>
                <c:pt idx="33">
                  <c:v>2086.34326171875</c:v>
                </c:pt>
                <c:pt idx="34">
                  <c:v>2100.150634765625</c:v>
                </c:pt>
                <c:pt idx="35">
                  <c:v>2172.462646484375</c:v>
                </c:pt>
                <c:pt idx="36">
                  <c:v>2144.91845703125</c:v>
                </c:pt>
                <c:pt idx="37">
                  <c:v>2083.6044921875</c:v>
                </c:pt>
                <c:pt idx="38">
                  <c:v>1973.280029296875</c:v>
                </c:pt>
                <c:pt idx="39">
                  <c:v>1710.237060546875</c:v>
                </c:pt>
                <c:pt idx="40">
                  <c:v>1176.80078125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452-42DA-9ACF-4AB67FD73571}"/>
            </c:ext>
          </c:extLst>
        </c:ser>
        <c:ser>
          <c:idx val="32"/>
          <c:order val="32"/>
          <c:tx>
            <c:strRef>
              <c:f>Skymaps!$D$866</c:f>
              <c:strCache>
                <c:ptCount val="1"/>
                <c:pt idx="0">
                  <c:v>32000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Skymaps!$E$866:$BC$866</c:f>
              <c:numCache>
                <c:formatCode>General</c:formatCode>
                <c:ptCount val="51"/>
                <c:pt idx="28">
                  <c:v>554.1197509765625</c:v>
                </c:pt>
                <c:pt idx="29">
                  <c:v>1405.39111328125</c:v>
                </c:pt>
                <c:pt idx="30">
                  <c:v>1651.0941162109375</c:v>
                </c:pt>
                <c:pt idx="31">
                  <c:v>1780.558349609375</c:v>
                </c:pt>
                <c:pt idx="32">
                  <c:v>1879.067138671875</c:v>
                </c:pt>
                <c:pt idx="33">
                  <c:v>1966.0909423828125</c:v>
                </c:pt>
                <c:pt idx="34">
                  <c:v>2028.201171875</c:v>
                </c:pt>
                <c:pt idx="35">
                  <c:v>2042.6175537109375</c:v>
                </c:pt>
                <c:pt idx="36">
                  <c:v>2036.1405029296875</c:v>
                </c:pt>
                <c:pt idx="37">
                  <c:v>2031.9971923828125</c:v>
                </c:pt>
                <c:pt idx="38">
                  <c:v>1849.7052001953125</c:v>
                </c:pt>
                <c:pt idx="39">
                  <c:v>1674.209228515625</c:v>
                </c:pt>
                <c:pt idx="40">
                  <c:v>1068.27294921875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452-42DA-9ACF-4AB67FD73571}"/>
            </c:ext>
          </c:extLst>
        </c:ser>
        <c:ser>
          <c:idx val="33"/>
          <c:order val="33"/>
          <c:tx>
            <c:strRef>
              <c:f>Skymaps!$D$867</c:f>
              <c:strCache>
                <c:ptCount val="1"/>
                <c:pt idx="0">
                  <c:v>33000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Skymaps!$E$867:$BC$867</c:f>
              <c:numCache>
                <c:formatCode>General</c:formatCode>
                <c:ptCount val="51"/>
                <c:pt idx="29">
                  <c:v>813.08709716796875</c:v>
                </c:pt>
                <c:pt idx="30">
                  <c:v>1469.2593994140625</c:v>
                </c:pt>
                <c:pt idx="31">
                  <c:v>1611.48486328125</c:v>
                </c:pt>
                <c:pt idx="32">
                  <c:v>1725.664794921875</c:v>
                </c:pt>
                <c:pt idx="33">
                  <c:v>1788.6617431640625</c:v>
                </c:pt>
                <c:pt idx="34">
                  <c:v>1876.653564453125</c:v>
                </c:pt>
                <c:pt idx="35">
                  <c:v>1956.10302734375</c:v>
                </c:pt>
                <c:pt idx="36">
                  <c:v>1939.3038330078125</c:v>
                </c:pt>
                <c:pt idx="37">
                  <c:v>1894.7491455078125</c:v>
                </c:pt>
                <c:pt idx="38">
                  <c:v>1815.8714599609375</c:v>
                </c:pt>
                <c:pt idx="39">
                  <c:v>1513.7528076171875</c:v>
                </c:pt>
                <c:pt idx="40">
                  <c:v>1035.524169921875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452-42DA-9ACF-4AB67FD73571}"/>
            </c:ext>
          </c:extLst>
        </c:ser>
        <c:ser>
          <c:idx val="34"/>
          <c:order val="34"/>
          <c:tx>
            <c:strRef>
              <c:f>Skymaps!$D$868</c:f>
              <c:strCache>
                <c:ptCount val="1"/>
                <c:pt idx="0">
                  <c:v>34000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Skymaps!$E$868:$BC$868</c:f>
              <c:numCache>
                <c:formatCode>General</c:formatCode>
                <c:ptCount val="51"/>
                <c:pt idx="30">
                  <c:v>998.93878173828125</c:v>
                </c:pt>
                <c:pt idx="31">
                  <c:v>1459.5250244140625</c:v>
                </c:pt>
                <c:pt idx="32">
                  <c:v>1590.6673583984375</c:v>
                </c:pt>
                <c:pt idx="33">
                  <c:v>1687.7799072265625</c:v>
                </c:pt>
                <c:pt idx="34">
                  <c:v>1750.3533935546875</c:v>
                </c:pt>
                <c:pt idx="35">
                  <c:v>1775.970947265625</c:v>
                </c:pt>
                <c:pt idx="36">
                  <c:v>1825.1771240234375</c:v>
                </c:pt>
                <c:pt idx="37">
                  <c:v>1827.641357421875</c:v>
                </c:pt>
                <c:pt idx="38">
                  <c:v>1648.2598876953125</c:v>
                </c:pt>
                <c:pt idx="39">
                  <c:v>1492.094970703125</c:v>
                </c:pt>
                <c:pt idx="40">
                  <c:v>810.0240478515625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452-42DA-9ACF-4AB67FD73571}"/>
            </c:ext>
          </c:extLst>
        </c:ser>
        <c:ser>
          <c:idx val="35"/>
          <c:order val="35"/>
          <c:tx>
            <c:strRef>
              <c:f>Skymaps!$D$869</c:f>
              <c:strCache>
                <c:ptCount val="1"/>
                <c:pt idx="0">
                  <c:v>35000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Skymaps!$E$869:$BC$869</c:f>
              <c:numCache>
                <c:formatCode>General</c:formatCode>
                <c:ptCount val="51"/>
                <c:pt idx="31">
                  <c:v>1094.364013671875</c:v>
                </c:pt>
                <c:pt idx="32">
                  <c:v>1402.04345703125</c:v>
                </c:pt>
                <c:pt idx="33">
                  <c:v>1533.4365234375</c:v>
                </c:pt>
                <c:pt idx="34">
                  <c:v>1627.39794921875</c:v>
                </c:pt>
                <c:pt idx="35">
                  <c:v>1693.5775146484375</c:v>
                </c:pt>
                <c:pt idx="36">
                  <c:v>1675.3287353515625</c:v>
                </c:pt>
                <c:pt idx="37">
                  <c:v>1688.4921875</c:v>
                </c:pt>
                <c:pt idx="38">
                  <c:v>1601.4765625</c:v>
                </c:pt>
                <c:pt idx="39">
                  <c:v>1296.97705078125</c:v>
                </c:pt>
                <c:pt idx="40">
                  <c:v>787.86041259765625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452-42DA-9ACF-4AB67FD73571}"/>
            </c:ext>
          </c:extLst>
        </c:ser>
        <c:ser>
          <c:idx val="36"/>
          <c:order val="36"/>
          <c:tx>
            <c:strRef>
              <c:f>Skymaps!$D$870</c:f>
              <c:strCache>
                <c:ptCount val="1"/>
                <c:pt idx="0">
                  <c:v>36000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Skymaps!$E$870:$BC$870</c:f>
              <c:numCache>
                <c:formatCode>General</c:formatCode>
                <c:ptCount val="51"/>
                <c:pt idx="33">
                  <c:v>1240.0985107421875</c:v>
                </c:pt>
                <c:pt idx="34">
                  <c:v>1375.1517333984375</c:v>
                </c:pt>
                <c:pt idx="35">
                  <c:v>1470.6285400390625</c:v>
                </c:pt>
                <c:pt idx="36">
                  <c:v>1485.164306640625</c:v>
                </c:pt>
                <c:pt idx="37">
                  <c:v>1479.6441650390625</c:v>
                </c:pt>
                <c:pt idx="38">
                  <c:v>1340.8221435546875</c:v>
                </c:pt>
                <c:pt idx="39">
                  <c:v>1154.0927734375</c:v>
                </c:pt>
                <c:pt idx="40">
                  <c:v>469.70211791992188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452-42DA-9ACF-4AB67FD73571}"/>
            </c:ext>
          </c:extLst>
        </c:ser>
        <c:ser>
          <c:idx val="37"/>
          <c:order val="37"/>
          <c:tx>
            <c:strRef>
              <c:f>Skymaps!$D$871</c:f>
              <c:strCache>
                <c:ptCount val="1"/>
                <c:pt idx="0">
                  <c:v>37000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Skymaps!$E$871:$BC$871</c:f>
              <c:numCache>
                <c:formatCode>General</c:formatCode>
                <c:ptCount val="51"/>
                <c:pt idx="35">
                  <c:v>1117.924072265625</c:v>
                </c:pt>
                <c:pt idx="36">
                  <c:v>1145.0592041015625</c:v>
                </c:pt>
                <c:pt idx="37">
                  <c:v>1171.06982421875</c:v>
                </c:pt>
                <c:pt idx="38">
                  <c:v>1053.7232666015625</c:v>
                </c:pt>
                <c:pt idx="39">
                  <c:v>796.478515625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452-42DA-9ACF-4AB67FD73571}"/>
            </c:ext>
          </c:extLst>
        </c:ser>
        <c:ser>
          <c:idx val="38"/>
          <c:order val="38"/>
          <c:tx>
            <c:strRef>
              <c:f>Skymaps!$D$872</c:f>
              <c:strCache>
                <c:ptCount val="1"/>
                <c:pt idx="0">
                  <c:v>38000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Skymaps!$E$872:$BC$872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6-3452-42DA-9ACF-4AB67FD73571}"/>
            </c:ext>
          </c:extLst>
        </c:ser>
        <c:ser>
          <c:idx val="39"/>
          <c:order val="39"/>
          <c:tx>
            <c:strRef>
              <c:f>Skymaps!$D$873</c:f>
              <c:strCache>
                <c:ptCount val="1"/>
                <c:pt idx="0">
                  <c:v>39000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Skymaps!$E$873:$BC$873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3452-42DA-9ACF-4AB67FD73571}"/>
            </c:ext>
          </c:extLst>
        </c:ser>
        <c:ser>
          <c:idx val="40"/>
          <c:order val="40"/>
          <c:tx>
            <c:strRef>
              <c:f>Skymaps!$D$874</c:f>
              <c:strCache>
                <c:ptCount val="1"/>
                <c:pt idx="0">
                  <c:v>40000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Skymaps!$E$874:$BC$874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3452-42DA-9ACF-4AB67FD73571}"/>
            </c:ext>
          </c:extLst>
        </c:ser>
        <c:ser>
          <c:idx val="41"/>
          <c:order val="41"/>
          <c:tx>
            <c:strRef>
              <c:f>Skymaps!$D$875</c:f>
              <c:strCache>
                <c:ptCount val="1"/>
                <c:pt idx="0">
                  <c:v>41000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Skymaps!$E$875:$BC$875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3452-42DA-9ACF-4AB67FD73571}"/>
            </c:ext>
          </c:extLst>
        </c:ser>
        <c:ser>
          <c:idx val="42"/>
          <c:order val="42"/>
          <c:tx>
            <c:strRef>
              <c:f>Skymaps!$D$876</c:f>
              <c:strCache>
                <c:ptCount val="1"/>
                <c:pt idx="0">
                  <c:v>42000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Skymaps!$E$876:$BC$876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3452-42DA-9ACF-4AB67FD73571}"/>
            </c:ext>
          </c:extLst>
        </c:ser>
        <c:ser>
          <c:idx val="43"/>
          <c:order val="43"/>
          <c:tx>
            <c:strRef>
              <c:f>Skymaps!$D$877</c:f>
              <c:strCache>
                <c:ptCount val="1"/>
                <c:pt idx="0">
                  <c:v>43000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Skymaps!$E$877:$BC$877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3452-42DA-9ACF-4AB67FD73571}"/>
            </c:ext>
          </c:extLst>
        </c:ser>
        <c:ser>
          <c:idx val="44"/>
          <c:order val="44"/>
          <c:tx>
            <c:strRef>
              <c:f>Skymaps!$D$878</c:f>
              <c:strCache>
                <c:ptCount val="1"/>
                <c:pt idx="0">
                  <c:v>44000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Skymaps!$E$878:$BC$878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3452-42DA-9ACF-4AB67FD73571}"/>
            </c:ext>
          </c:extLst>
        </c:ser>
        <c:ser>
          <c:idx val="45"/>
          <c:order val="45"/>
          <c:tx>
            <c:strRef>
              <c:f>Skymaps!$D$879</c:f>
              <c:strCache>
                <c:ptCount val="1"/>
                <c:pt idx="0">
                  <c:v>45000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Skymaps!$E$879:$BC$879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3452-42DA-9ACF-4AB67FD73571}"/>
            </c:ext>
          </c:extLst>
        </c:ser>
        <c:ser>
          <c:idx val="46"/>
          <c:order val="46"/>
          <c:tx>
            <c:strRef>
              <c:f>Skymaps!$D$880</c:f>
              <c:strCache>
                <c:ptCount val="1"/>
                <c:pt idx="0">
                  <c:v>46000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Skymaps!$E$880:$BC$880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3452-42DA-9ACF-4AB67FD73571}"/>
            </c:ext>
          </c:extLst>
        </c:ser>
        <c:ser>
          <c:idx val="47"/>
          <c:order val="47"/>
          <c:tx>
            <c:strRef>
              <c:f>Skymaps!$D$881</c:f>
              <c:strCache>
                <c:ptCount val="1"/>
                <c:pt idx="0">
                  <c:v>47000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Skymaps!$E$881:$BC$881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3452-42DA-9ACF-4AB67FD73571}"/>
            </c:ext>
          </c:extLst>
        </c:ser>
        <c:ser>
          <c:idx val="48"/>
          <c:order val="48"/>
          <c:tx>
            <c:strRef>
              <c:f>Skymaps!$D$882</c:f>
              <c:strCache>
                <c:ptCount val="1"/>
                <c:pt idx="0">
                  <c:v>48000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Skymaps!$E$882:$BC$882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3452-42DA-9ACF-4AB67FD73571}"/>
            </c:ext>
          </c:extLst>
        </c:ser>
        <c:ser>
          <c:idx val="49"/>
          <c:order val="49"/>
          <c:tx>
            <c:strRef>
              <c:f>Skymaps!$D$883</c:f>
              <c:strCache>
                <c:ptCount val="1"/>
                <c:pt idx="0">
                  <c:v>49000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Skymaps!$E$883:$BC$883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3452-42DA-9ACF-4AB67FD73571}"/>
            </c:ext>
          </c:extLst>
        </c:ser>
        <c:ser>
          <c:idx val="50"/>
          <c:order val="50"/>
          <c:tx>
            <c:strRef>
              <c:f>Skymaps!$D$884</c:f>
              <c:strCache>
                <c:ptCount val="1"/>
                <c:pt idx="0">
                  <c:v>50000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Skymaps!$E$884:$BC$884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3452-42DA-9ACF-4AB67FD73571}"/>
            </c:ext>
          </c:extLst>
        </c:ser>
        <c:bandFmts/>
        <c:axId val="624975728"/>
        <c:axId val="624977040"/>
        <c:axId val="505158024"/>
      </c:surfaceChart>
      <c:catAx>
        <c:axId val="624975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977040"/>
        <c:crosses val="autoZero"/>
        <c:auto val="1"/>
        <c:lblAlgn val="ctr"/>
        <c:lblOffset val="100"/>
        <c:noMultiLvlLbl val="0"/>
      </c:catAx>
      <c:valAx>
        <c:axId val="62497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975728"/>
        <c:crosses val="autoZero"/>
        <c:crossBetween val="midCat"/>
        <c:majorUnit val="250"/>
      </c:valAx>
      <c:serAx>
        <c:axId val="5051580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977040"/>
        <c:crosses val="autoZero"/>
      </c:ser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Skymaps!$D$470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Skymaps!$E$470:$BC$470</c:f>
              <c:numCache>
                <c:formatCode>General</c:formatCode>
                <c:ptCount val="51"/>
                <c:pt idx="13">
                  <c:v>15072.61328125</c:v>
                </c:pt>
                <c:pt idx="14">
                  <c:v>7527.224609375</c:v>
                </c:pt>
                <c:pt idx="15">
                  <c:v>4477.6298828125</c:v>
                </c:pt>
                <c:pt idx="16">
                  <c:v>3867.63818359375</c:v>
                </c:pt>
                <c:pt idx="17">
                  <c:v>3823.149658203125</c:v>
                </c:pt>
                <c:pt idx="18">
                  <c:v>3904.31298828125</c:v>
                </c:pt>
                <c:pt idx="19">
                  <c:v>4072.329833984375</c:v>
                </c:pt>
                <c:pt idx="20">
                  <c:v>4281.92724609375</c:v>
                </c:pt>
                <c:pt idx="21">
                  <c:v>4629.69287109375</c:v>
                </c:pt>
                <c:pt idx="22">
                  <c:v>4999.6142578125</c:v>
                </c:pt>
                <c:pt idx="23">
                  <c:v>5403.82373046875</c:v>
                </c:pt>
                <c:pt idx="24">
                  <c:v>5964.86865234375</c:v>
                </c:pt>
                <c:pt idx="25">
                  <c:v>6581.75732421875</c:v>
                </c:pt>
                <c:pt idx="26">
                  <c:v>7300.2724609375</c:v>
                </c:pt>
                <c:pt idx="27">
                  <c:v>8051.8154296875</c:v>
                </c:pt>
                <c:pt idx="28">
                  <c:v>9057.5615234375</c:v>
                </c:pt>
                <c:pt idx="29">
                  <c:v>6800.37548828125</c:v>
                </c:pt>
                <c:pt idx="30">
                  <c:v>7428.96826171875</c:v>
                </c:pt>
                <c:pt idx="31">
                  <c:v>8149.4619140625</c:v>
                </c:pt>
                <c:pt idx="32">
                  <c:v>9000.2890625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01-4A51-9BB3-7C312A8EB151}"/>
            </c:ext>
          </c:extLst>
        </c:ser>
        <c:ser>
          <c:idx val="1"/>
          <c:order val="1"/>
          <c:tx>
            <c:strRef>
              <c:f>Skymaps!$D$471</c:f>
              <c:strCache>
                <c:ptCount val="1"/>
                <c:pt idx="0">
                  <c:v>1000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Skymaps!$E$471:$BC$471</c:f>
              <c:numCache>
                <c:formatCode>General</c:formatCode>
                <c:ptCount val="51"/>
                <c:pt idx="14">
                  <c:v>9030.7958984375</c:v>
                </c:pt>
                <c:pt idx="15">
                  <c:v>5111.55078125</c:v>
                </c:pt>
                <c:pt idx="16">
                  <c:v>3981.388916015625</c:v>
                </c:pt>
                <c:pt idx="17">
                  <c:v>3831.827880859375</c:v>
                </c:pt>
                <c:pt idx="18">
                  <c:v>3818.470458984375</c:v>
                </c:pt>
                <c:pt idx="19">
                  <c:v>3933.4169921875</c:v>
                </c:pt>
                <c:pt idx="20">
                  <c:v>4126.35986328125</c:v>
                </c:pt>
                <c:pt idx="21">
                  <c:v>4413.2197265625</c:v>
                </c:pt>
                <c:pt idx="22">
                  <c:v>4757.17431640625</c:v>
                </c:pt>
                <c:pt idx="23">
                  <c:v>5189.5888671875</c:v>
                </c:pt>
                <c:pt idx="24">
                  <c:v>5694.28515625</c:v>
                </c:pt>
                <c:pt idx="25">
                  <c:v>6223.84326171875</c:v>
                </c:pt>
                <c:pt idx="26">
                  <c:v>6919.34765625</c:v>
                </c:pt>
                <c:pt idx="27">
                  <c:v>7579.99755859375</c:v>
                </c:pt>
                <c:pt idx="28">
                  <c:v>8439.2626953125</c:v>
                </c:pt>
                <c:pt idx="29">
                  <c:v>6524.45751953125</c:v>
                </c:pt>
                <c:pt idx="30">
                  <c:v>7094.16064453125</c:v>
                </c:pt>
                <c:pt idx="31">
                  <c:v>7752.32666015625</c:v>
                </c:pt>
                <c:pt idx="32">
                  <c:v>8558.83984375</c:v>
                </c:pt>
                <c:pt idx="33">
                  <c:v>9400.1103515625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01-4A51-9BB3-7C312A8EB151}"/>
            </c:ext>
          </c:extLst>
        </c:ser>
        <c:ser>
          <c:idx val="2"/>
          <c:order val="2"/>
          <c:tx>
            <c:strRef>
              <c:f>Skymaps!$D$472</c:f>
              <c:strCache>
                <c:ptCount val="1"/>
                <c:pt idx="0">
                  <c:v>2000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Skymaps!$E$472:$BC$472</c:f>
              <c:numCache>
                <c:formatCode>General</c:formatCode>
                <c:ptCount val="51"/>
                <c:pt idx="14">
                  <c:v>10778.47265625</c:v>
                </c:pt>
                <c:pt idx="15">
                  <c:v>6009.08203125</c:v>
                </c:pt>
                <c:pt idx="16">
                  <c:v>3925.301513671875</c:v>
                </c:pt>
                <c:pt idx="17">
                  <c:v>3785.512451171875</c:v>
                </c:pt>
                <c:pt idx="18">
                  <c:v>3820.498291015625</c:v>
                </c:pt>
                <c:pt idx="19">
                  <c:v>3870.735595703125</c:v>
                </c:pt>
                <c:pt idx="20">
                  <c:v>4003.516845703125</c:v>
                </c:pt>
                <c:pt idx="21">
                  <c:v>4245.302734375</c:v>
                </c:pt>
                <c:pt idx="22">
                  <c:v>4586.8466796875</c:v>
                </c:pt>
                <c:pt idx="23">
                  <c:v>5019.4892578125</c:v>
                </c:pt>
                <c:pt idx="24">
                  <c:v>5384.99365234375</c:v>
                </c:pt>
                <c:pt idx="25">
                  <c:v>5930.74267578125</c:v>
                </c:pt>
                <c:pt idx="26">
                  <c:v>6490.27099609375</c:v>
                </c:pt>
                <c:pt idx="27">
                  <c:v>7176.1513671875</c:v>
                </c:pt>
                <c:pt idx="28">
                  <c:v>7903.32470703125</c:v>
                </c:pt>
                <c:pt idx="29">
                  <c:v>8867.80859375</c:v>
                </c:pt>
                <c:pt idx="30">
                  <c:v>6786.27783203125</c:v>
                </c:pt>
                <c:pt idx="31">
                  <c:v>7385.65087890625</c:v>
                </c:pt>
                <c:pt idx="32">
                  <c:v>8076.9873046875</c:v>
                </c:pt>
                <c:pt idx="33">
                  <c:v>8927.6142578125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01-4A51-9BB3-7C312A8EB151}"/>
            </c:ext>
          </c:extLst>
        </c:ser>
        <c:ser>
          <c:idx val="3"/>
          <c:order val="3"/>
          <c:tx>
            <c:strRef>
              <c:f>Skymaps!$D$473</c:f>
              <c:strCache>
                <c:ptCount val="1"/>
                <c:pt idx="0">
                  <c:v>3000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Skymaps!$E$473:$BC$473</c:f>
              <c:numCache>
                <c:formatCode>General</c:formatCode>
                <c:ptCount val="51"/>
                <c:pt idx="14">
                  <c:v>12773.65625</c:v>
                </c:pt>
                <c:pt idx="15">
                  <c:v>7164.08935546875</c:v>
                </c:pt>
                <c:pt idx="16">
                  <c:v>4135.478515625</c:v>
                </c:pt>
                <c:pt idx="17">
                  <c:v>3789.59130859375</c:v>
                </c:pt>
                <c:pt idx="18">
                  <c:v>3732.70947265625</c:v>
                </c:pt>
                <c:pt idx="19">
                  <c:v>3812.296630859375</c:v>
                </c:pt>
                <c:pt idx="20">
                  <c:v>3990.006591796875</c:v>
                </c:pt>
                <c:pt idx="21">
                  <c:v>4155.3154296875</c:v>
                </c:pt>
                <c:pt idx="22">
                  <c:v>4434.5546875</c:v>
                </c:pt>
                <c:pt idx="23">
                  <c:v>4747.76123046875</c:v>
                </c:pt>
                <c:pt idx="24">
                  <c:v>5150.4189453125</c:v>
                </c:pt>
                <c:pt idx="25">
                  <c:v>5672.505859375</c:v>
                </c:pt>
                <c:pt idx="26">
                  <c:v>6131.94287109375</c:v>
                </c:pt>
                <c:pt idx="27">
                  <c:v>6810.0712890625</c:v>
                </c:pt>
                <c:pt idx="28">
                  <c:v>7441.55615234375</c:v>
                </c:pt>
                <c:pt idx="29">
                  <c:v>8265.4921875</c:v>
                </c:pt>
                <c:pt idx="30">
                  <c:v>6504.23095703125</c:v>
                </c:pt>
                <c:pt idx="31">
                  <c:v>7048.06005859375</c:v>
                </c:pt>
                <c:pt idx="32">
                  <c:v>7678.14306640625</c:v>
                </c:pt>
                <c:pt idx="33">
                  <c:v>8400.1953125</c:v>
                </c:pt>
                <c:pt idx="34">
                  <c:v>9290.8671875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01-4A51-9BB3-7C312A8EB151}"/>
            </c:ext>
          </c:extLst>
        </c:ser>
        <c:ser>
          <c:idx val="4"/>
          <c:order val="4"/>
          <c:tx>
            <c:strRef>
              <c:f>Skymaps!$D$474</c:f>
              <c:strCache>
                <c:ptCount val="1"/>
                <c:pt idx="0">
                  <c:v>4000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Skymaps!$E$474:$BC$474</c:f>
              <c:numCache>
                <c:formatCode>General</c:formatCode>
                <c:ptCount val="51"/>
                <c:pt idx="14">
                  <c:v>15020.177734375</c:v>
                </c:pt>
                <c:pt idx="15">
                  <c:v>7989.1279296875</c:v>
                </c:pt>
                <c:pt idx="16">
                  <c:v>4626.8564453125</c:v>
                </c:pt>
                <c:pt idx="17">
                  <c:v>3823.140869140625</c:v>
                </c:pt>
                <c:pt idx="18">
                  <c:v>3761.38037109375</c:v>
                </c:pt>
                <c:pt idx="19">
                  <c:v>3734.79150390625</c:v>
                </c:pt>
                <c:pt idx="20">
                  <c:v>3825.3994140625</c:v>
                </c:pt>
                <c:pt idx="21">
                  <c:v>3973.12548828125</c:v>
                </c:pt>
                <c:pt idx="22">
                  <c:v>4226.38134765625</c:v>
                </c:pt>
                <c:pt idx="23">
                  <c:v>4550.74267578125</c:v>
                </c:pt>
                <c:pt idx="24">
                  <c:v>4985.35693359375</c:v>
                </c:pt>
                <c:pt idx="25">
                  <c:v>5346.21533203125</c:v>
                </c:pt>
                <c:pt idx="26">
                  <c:v>5838.48681640625</c:v>
                </c:pt>
                <c:pt idx="27">
                  <c:v>6385.64501953125</c:v>
                </c:pt>
                <c:pt idx="28">
                  <c:v>7046.9140625</c:v>
                </c:pt>
                <c:pt idx="29">
                  <c:v>7744.072265625</c:v>
                </c:pt>
                <c:pt idx="30">
                  <c:v>8659.6865234375</c:v>
                </c:pt>
                <c:pt idx="31">
                  <c:v>6738.28955078125</c:v>
                </c:pt>
                <c:pt idx="32">
                  <c:v>7310.70068359375</c:v>
                </c:pt>
                <c:pt idx="33">
                  <c:v>7968.97802734375</c:v>
                </c:pt>
                <c:pt idx="34">
                  <c:v>8814.923828125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01-4A51-9BB3-7C312A8EB151}"/>
            </c:ext>
          </c:extLst>
        </c:ser>
        <c:ser>
          <c:idx val="5"/>
          <c:order val="5"/>
          <c:tx>
            <c:strRef>
              <c:f>Skymaps!$D$475</c:f>
              <c:strCache>
                <c:ptCount val="1"/>
                <c:pt idx="0">
                  <c:v>5000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Skymaps!$E$475:$BC$475</c:f>
              <c:numCache>
                <c:formatCode>General</c:formatCode>
                <c:ptCount val="51"/>
                <c:pt idx="15">
                  <c:v>9630.47265625</c:v>
                </c:pt>
                <c:pt idx="16">
                  <c:v>5391.30419921875</c:v>
                </c:pt>
                <c:pt idx="17">
                  <c:v>3822.823486328125</c:v>
                </c:pt>
                <c:pt idx="18">
                  <c:v>3693.844970703125</c:v>
                </c:pt>
                <c:pt idx="19">
                  <c:v>3722.338623046875</c:v>
                </c:pt>
                <c:pt idx="20">
                  <c:v>3790.950439453125</c:v>
                </c:pt>
                <c:pt idx="21">
                  <c:v>3892.302978515625</c:v>
                </c:pt>
                <c:pt idx="22">
                  <c:v>4098.662109375</c:v>
                </c:pt>
                <c:pt idx="23">
                  <c:v>4422.841796875</c:v>
                </c:pt>
                <c:pt idx="24">
                  <c:v>4725.23486328125</c:v>
                </c:pt>
                <c:pt idx="25">
                  <c:v>5093.587890625</c:v>
                </c:pt>
                <c:pt idx="26">
                  <c:v>5593.0888671875</c:v>
                </c:pt>
                <c:pt idx="27">
                  <c:v>6030.6318359375</c:v>
                </c:pt>
                <c:pt idx="28">
                  <c:v>6681.8310546875</c:v>
                </c:pt>
                <c:pt idx="29">
                  <c:v>7292.90478515625</c:v>
                </c:pt>
                <c:pt idx="30">
                  <c:v>8076.052734375</c:v>
                </c:pt>
                <c:pt idx="31">
                  <c:v>6454.54296875</c:v>
                </c:pt>
                <c:pt idx="32">
                  <c:v>6971.82861328125</c:v>
                </c:pt>
                <c:pt idx="33">
                  <c:v>7569.3828125</c:v>
                </c:pt>
                <c:pt idx="34">
                  <c:v>8252.3369140625</c:v>
                </c:pt>
                <c:pt idx="35">
                  <c:v>9011.0517578125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E01-4A51-9BB3-7C312A8EB151}"/>
            </c:ext>
          </c:extLst>
        </c:ser>
        <c:ser>
          <c:idx val="6"/>
          <c:order val="6"/>
          <c:tx>
            <c:strRef>
              <c:f>Skymaps!$D$476</c:f>
              <c:strCache>
                <c:ptCount val="1"/>
                <c:pt idx="0">
                  <c:v>6000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Skymaps!$E$476:$BC$476</c:f>
              <c:numCache>
                <c:formatCode>General</c:formatCode>
                <c:ptCount val="51"/>
                <c:pt idx="15">
                  <c:v>11553.4150390625</c:v>
                </c:pt>
                <c:pt idx="16">
                  <c:v>6447.4482421875</c:v>
                </c:pt>
                <c:pt idx="17">
                  <c:v>3972.93310546875</c:v>
                </c:pt>
                <c:pt idx="18">
                  <c:v>3723.839111328125</c:v>
                </c:pt>
                <c:pt idx="19">
                  <c:v>3667.501220703125</c:v>
                </c:pt>
                <c:pt idx="20">
                  <c:v>3714.45263671875</c:v>
                </c:pt>
                <c:pt idx="21">
                  <c:v>3838.16796875</c:v>
                </c:pt>
                <c:pt idx="22">
                  <c:v>3984.3212890625</c:v>
                </c:pt>
                <c:pt idx="23">
                  <c:v>4227.04345703125</c:v>
                </c:pt>
                <c:pt idx="24">
                  <c:v>4530.3671875</c:v>
                </c:pt>
                <c:pt idx="25">
                  <c:v>4930.8046875</c:v>
                </c:pt>
                <c:pt idx="26">
                  <c:v>5287.90966796875</c:v>
                </c:pt>
                <c:pt idx="27">
                  <c:v>5764.98974609375</c:v>
                </c:pt>
                <c:pt idx="28">
                  <c:v>6291.37255859375</c:v>
                </c:pt>
                <c:pt idx="29">
                  <c:v>6936.3203125</c:v>
                </c:pt>
                <c:pt idx="30">
                  <c:v>7597.0009765625</c:v>
                </c:pt>
                <c:pt idx="31">
                  <c:v>8409.5283203125</c:v>
                </c:pt>
                <c:pt idx="32">
                  <c:v>6683.12646484375</c:v>
                </c:pt>
                <c:pt idx="33">
                  <c:v>7226.21484375</c:v>
                </c:pt>
                <c:pt idx="34">
                  <c:v>7849.283203125</c:v>
                </c:pt>
                <c:pt idx="35">
                  <c:v>8557.02734375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E01-4A51-9BB3-7C312A8EB151}"/>
            </c:ext>
          </c:extLst>
        </c:ser>
        <c:ser>
          <c:idx val="7"/>
          <c:order val="7"/>
          <c:tx>
            <c:strRef>
              <c:f>Skymaps!$D$477</c:f>
              <c:strCache>
                <c:ptCount val="1"/>
                <c:pt idx="0">
                  <c:v>7000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Skymaps!$E$477:$BC$477</c:f>
              <c:numCache>
                <c:formatCode>General</c:formatCode>
                <c:ptCount val="51"/>
                <c:pt idx="16">
                  <c:v>7375.8056640625</c:v>
                </c:pt>
                <c:pt idx="17">
                  <c:v>4415.41796875</c:v>
                </c:pt>
                <c:pt idx="18">
                  <c:v>3758.237548828125</c:v>
                </c:pt>
                <c:pt idx="19">
                  <c:v>3691.640380859375</c:v>
                </c:pt>
                <c:pt idx="20">
                  <c:v>3692.65185546875</c:v>
                </c:pt>
                <c:pt idx="21">
                  <c:v>3743.603759765625</c:v>
                </c:pt>
                <c:pt idx="22">
                  <c:v>3868.02734375</c:v>
                </c:pt>
                <c:pt idx="23">
                  <c:v>4089.8779296875</c:v>
                </c:pt>
                <c:pt idx="24">
                  <c:v>4405.6826171875</c:v>
                </c:pt>
                <c:pt idx="25">
                  <c:v>4726.02490234375</c:v>
                </c:pt>
                <c:pt idx="26">
                  <c:v>5054.126953125</c:v>
                </c:pt>
                <c:pt idx="27">
                  <c:v>5541.44677734375</c:v>
                </c:pt>
                <c:pt idx="28">
                  <c:v>5967.814453125</c:v>
                </c:pt>
                <c:pt idx="29">
                  <c:v>6587.77880859375</c:v>
                </c:pt>
                <c:pt idx="30">
                  <c:v>7186.6806640625</c:v>
                </c:pt>
                <c:pt idx="31">
                  <c:v>7880.26025390625</c:v>
                </c:pt>
                <c:pt idx="32">
                  <c:v>6419.4150390625</c:v>
                </c:pt>
                <c:pt idx="33">
                  <c:v>6910.84033203125</c:v>
                </c:pt>
                <c:pt idx="34">
                  <c:v>7477.36865234375</c:v>
                </c:pt>
                <c:pt idx="35">
                  <c:v>8122.04150390625</c:v>
                </c:pt>
                <c:pt idx="36">
                  <c:v>8971.11328125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E01-4A51-9BB3-7C312A8EB151}"/>
            </c:ext>
          </c:extLst>
        </c:ser>
        <c:ser>
          <c:idx val="8"/>
          <c:order val="8"/>
          <c:tx>
            <c:strRef>
              <c:f>Skymaps!$D$478</c:f>
              <c:strCache>
                <c:ptCount val="1"/>
                <c:pt idx="0">
                  <c:v>8000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Skymaps!$E$478:$BC$478</c:f>
              <c:numCache>
                <c:formatCode>General</c:formatCode>
                <c:ptCount val="51"/>
                <c:pt idx="16">
                  <c:v>8960.9609375</c:v>
                </c:pt>
                <c:pt idx="17">
                  <c:v>5145.22021484375</c:v>
                </c:pt>
                <c:pt idx="18">
                  <c:v>3783.23291015625</c:v>
                </c:pt>
                <c:pt idx="19">
                  <c:v>3668.272705078125</c:v>
                </c:pt>
                <c:pt idx="20">
                  <c:v>3654.27490234375</c:v>
                </c:pt>
                <c:pt idx="21">
                  <c:v>3755.609130859375</c:v>
                </c:pt>
                <c:pt idx="22">
                  <c:v>3864.1142578125</c:v>
                </c:pt>
                <c:pt idx="23">
                  <c:v>4013.159912109375</c:v>
                </c:pt>
                <c:pt idx="24">
                  <c:v>4235.68212890625</c:v>
                </c:pt>
                <c:pt idx="25">
                  <c:v>4516.71142578125</c:v>
                </c:pt>
                <c:pt idx="26">
                  <c:v>4887.52783203125</c:v>
                </c:pt>
                <c:pt idx="27">
                  <c:v>5236.72900390625</c:v>
                </c:pt>
                <c:pt idx="28">
                  <c:v>5706.37353515625</c:v>
                </c:pt>
                <c:pt idx="29">
                  <c:v>6205.662109375</c:v>
                </c:pt>
                <c:pt idx="30">
                  <c:v>6839.20947265625</c:v>
                </c:pt>
                <c:pt idx="31">
                  <c:v>7424.2744140625</c:v>
                </c:pt>
                <c:pt idx="32">
                  <c:v>8186.4169921875</c:v>
                </c:pt>
                <c:pt idx="33">
                  <c:v>6622.22900390625</c:v>
                </c:pt>
                <c:pt idx="34">
                  <c:v>7135.30126953125</c:v>
                </c:pt>
                <c:pt idx="35">
                  <c:v>7720.6572265625</c:v>
                </c:pt>
                <c:pt idx="36">
                  <c:v>8440.6298828125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E01-4A51-9BB3-7C312A8EB151}"/>
            </c:ext>
          </c:extLst>
        </c:ser>
        <c:ser>
          <c:idx val="9"/>
          <c:order val="9"/>
          <c:tx>
            <c:strRef>
              <c:f>Skymaps!$D$479</c:f>
              <c:strCache>
                <c:ptCount val="1"/>
                <c:pt idx="0">
                  <c:v>9000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Skymaps!$E$479:$BC$479</c:f>
              <c:numCache>
                <c:formatCode>General</c:formatCode>
                <c:ptCount val="51"/>
                <c:pt idx="17">
                  <c:v>6158.12158203125</c:v>
                </c:pt>
                <c:pt idx="18">
                  <c:v>3930.499267578125</c:v>
                </c:pt>
                <c:pt idx="19">
                  <c:v>3673.32177734375</c:v>
                </c:pt>
                <c:pt idx="20">
                  <c:v>3653.567138671875</c:v>
                </c:pt>
                <c:pt idx="21">
                  <c:v>3644.680419921875</c:v>
                </c:pt>
                <c:pt idx="22">
                  <c:v>3729.9462890625</c:v>
                </c:pt>
                <c:pt idx="23">
                  <c:v>3856.517822265625</c:v>
                </c:pt>
                <c:pt idx="24">
                  <c:v>4077.908447265625</c:v>
                </c:pt>
                <c:pt idx="25">
                  <c:v>4380.0185546875</c:v>
                </c:pt>
                <c:pt idx="26">
                  <c:v>4690.5966796875</c:v>
                </c:pt>
                <c:pt idx="27">
                  <c:v>5004.46533203125</c:v>
                </c:pt>
                <c:pt idx="28">
                  <c:v>5467.64990234375</c:v>
                </c:pt>
                <c:pt idx="29">
                  <c:v>5890.8251953125</c:v>
                </c:pt>
                <c:pt idx="30">
                  <c:v>6467.30126953125</c:v>
                </c:pt>
                <c:pt idx="31">
                  <c:v>7035.1748046875</c:v>
                </c:pt>
                <c:pt idx="32">
                  <c:v>7684.24560546875</c:v>
                </c:pt>
                <c:pt idx="33">
                  <c:v>6336.54443359375</c:v>
                </c:pt>
                <c:pt idx="34">
                  <c:v>6821.88134765625</c:v>
                </c:pt>
                <c:pt idx="35">
                  <c:v>7351.37548828125</c:v>
                </c:pt>
                <c:pt idx="36">
                  <c:v>8009.86376953125</c:v>
                </c:pt>
                <c:pt idx="37">
                  <c:v>8754.1982421875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E01-4A51-9BB3-7C312A8EB151}"/>
            </c:ext>
          </c:extLst>
        </c:ser>
        <c:ser>
          <c:idx val="10"/>
          <c:order val="10"/>
          <c:tx>
            <c:strRef>
              <c:f>Skymaps!$D$480</c:f>
              <c:strCache>
                <c:ptCount val="1"/>
                <c:pt idx="0">
                  <c:v>10000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Skymaps!$E$480:$BC$480</c:f>
              <c:numCache>
                <c:formatCode>General</c:formatCode>
                <c:ptCount val="51"/>
                <c:pt idx="17">
                  <c:v>7186.66162109375</c:v>
                </c:pt>
                <c:pt idx="18">
                  <c:v>4379.40087890625</c:v>
                </c:pt>
                <c:pt idx="19">
                  <c:v>3754.45068359375</c:v>
                </c:pt>
                <c:pt idx="20">
                  <c:v>3624.801025390625</c:v>
                </c:pt>
                <c:pt idx="21">
                  <c:v>3691.64013671875</c:v>
                </c:pt>
                <c:pt idx="22">
                  <c:v>3708.870361328125</c:v>
                </c:pt>
                <c:pt idx="23">
                  <c:v>3815.051513671875</c:v>
                </c:pt>
                <c:pt idx="24">
                  <c:v>3998.930908203125</c:v>
                </c:pt>
                <c:pt idx="25">
                  <c:v>4222.31396484375</c:v>
                </c:pt>
                <c:pt idx="26">
                  <c:v>4477.63623046875</c:v>
                </c:pt>
                <c:pt idx="27">
                  <c:v>4838.83935546875</c:v>
                </c:pt>
                <c:pt idx="28">
                  <c:v>5167.45947265625</c:v>
                </c:pt>
                <c:pt idx="29">
                  <c:v>5634.59130859375</c:v>
                </c:pt>
                <c:pt idx="30">
                  <c:v>6094.6982421875</c:v>
                </c:pt>
                <c:pt idx="31">
                  <c:v>6706.82470703125</c:v>
                </c:pt>
                <c:pt idx="32">
                  <c:v>7251.88525390625</c:v>
                </c:pt>
                <c:pt idx="33">
                  <c:v>7962.0546875</c:v>
                </c:pt>
                <c:pt idx="34">
                  <c:v>6533.5126953125</c:v>
                </c:pt>
                <c:pt idx="35">
                  <c:v>7012.80908203125</c:v>
                </c:pt>
                <c:pt idx="36">
                  <c:v>7614.8330078125</c:v>
                </c:pt>
                <c:pt idx="37">
                  <c:v>8297.3447265625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E01-4A51-9BB3-7C312A8EB151}"/>
            </c:ext>
          </c:extLst>
        </c:ser>
        <c:ser>
          <c:idx val="11"/>
          <c:order val="11"/>
          <c:tx>
            <c:strRef>
              <c:f>Skymaps!$D$481</c:f>
              <c:strCache>
                <c:ptCount val="1"/>
                <c:pt idx="0">
                  <c:v>11000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Skymaps!$E$481:$BC$481</c:f>
              <c:numCache>
                <c:formatCode>General</c:formatCode>
                <c:ptCount val="51"/>
                <c:pt idx="17">
                  <c:v>8789.3642578125</c:v>
                </c:pt>
                <c:pt idx="18">
                  <c:v>5142.95654296875</c:v>
                </c:pt>
                <c:pt idx="19">
                  <c:v>3763.428466796875</c:v>
                </c:pt>
                <c:pt idx="20">
                  <c:v>3681.74658203125</c:v>
                </c:pt>
                <c:pt idx="21">
                  <c:v>3602.353515625</c:v>
                </c:pt>
                <c:pt idx="22">
                  <c:v>3644.426513671875</c:v>
                </c:pt>
                <c:pt idx="23">
                  <c:v>3737.65673828125</c:v>
                </c:pt>
                <c:pt idx="24">
                  <c:v>3855.40087890625</c:v>
                </c:pt>
                <c:pt idx="25">
                  <c:v>4068.369384765625</c:v>
                </c:pt>
                <c:pt idx="26">
                  <c:v>4354.71826171875</c:v>
                </c:pt>
                <c:pt idx="27">
                  <c:v>4652.029296875</c:v>
                </c:pt>
                <c:pt idx="28">
                  <c:v>4957.82421875</c:v>
                </c:pt>
                <c:pt idx="29">
                  <c:v>5385.2001953125</c:v>
                </c:pt>
                <c:pt idx="30">
                  <c:v>5799.79541015625</c:v>
                </c:pt>
                <c:pt idx="31">
                  <c:v>6322.17236328125</c:v>
                </c:pt>
                <c:pt idx="32">
                  <c:v>6895.0986328125</c:v>
                </c:pt>
                <c:pt idx="33">
                  <c:v>7493.9560546875</c:v>
                </c:pt>
                <c:pt idx="34">
                  <c:v>6246.4091796875</c:v>
                </c:pt>
                <c:pt idx="35">
                  <c:v>6730.02587890625</c:v>
                </c:pt>
                <c:pt idx="36">
                  <c:v>7278.9921875</c:v>
                </c:pt>
                <c:pt idx="37">
                  <c:v>7903.63037109375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E01-4A51-9BB3-7C312A8EB151}"/>
            </c:ext>
          </c:extLst>
        </c:ser>
        <c:ser>
          <c:idx val="12"/>
          <c:order val="12"/>
          <c:tx>
            <c:strRef>
              <c:f>Skymaps!$D$482</c:f>
              <c:strCache>
                <c:ptCount val="1"/>
                <c:pt idx="0">
                  <c:v>12000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Skymaps!$E$482:$BC$482</c:f>
              <c:numCache>
                <c:formatCode>General</c:formatCode>
                <c:ptCount val="51"/>
                <c:pt idx="18">
                  <c:v>6205.10107421875</c:v>
                </c:pt>
                <c:pt idx="19">
                  <c:v>3991.68505859375</c:v>
                </c:pt>
                <c:pt idx="20">
                  <c:v>3661.09716796875</c:v>
                </c:pt>
                <c:pt idx="21">
                  <c:v>3669.438232421875</c:v>
                </c:pt>
                <c:pt idx="22">
                  <c:v>3642.3720703125</c:v>
                </c:pt>
                <c:pt idx="23">
                  <c:v>3691.29443359375</c:v>
                </c:pt>
                <c:pt idx="24">
                  <c:v>3806.374267578125</c:v>
                </c:pt>
                <c:pt idx="25">
                  <c:v>3996.43505859375</c:v>
                </c:pt>
                <c:pt idx="26">
                  <c:v>4215.72216796875</c:v>
                </c:pt>
                <c:pt idx="27">
                  <c:v>4457.27880859375</c:v>
                </c:pt>
                <c:pt idx="28">
                  <c:v>4815.33984375</c:v>
                </c:pt>
                <c:pt idx="29">
                  <c:v>5112.99658203125</c:v>
                </c:pt>
                <c:pt idx="30">
                  <c:v>5562.93017578125</c:v>
                </c:pt>
                <c:pt idx="31">
                  <c:v>5981.1015625</c:v>
                </c:pt>
                <c:pt idx="32">
                  <c:v>6562.49609375</c:v>
                </c:pt>
                <c:pt idx="33">
                  <c:v>7094.484375</c:v>
                </c:pt>
                <c:pt idx="34">
                  <c:v>7743.38037109375</c:v>
                </c:pt>
                <c:pt idx="35">
                  <c:v>6451.380859375</c:v>
                </c:pt>
                <c:pt idx="36">
                  <c:v>6971.30859375</c:v>
                </c:pt>
                <c:pt idx="37">
                  <c:v>7541.0859375</c:v>
                </c:pt>
                <c:pt idx="38">
                  <c:v>8336.9775390625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E01-4A51-9BB3-7C312A8EB151}"/>
            </c:ext>
          </c:extLst>
        </c:ser>
        <c:ser>
          <c:idx val="13"/>
          <c:order val="13"/>
          <c:tx>
            <c:strRef>
              <c:f>Skymaps!$D$483</c:f>
              <c:strCache>
                <c:ptCount val="1"/>
                <c:pt idx="0">
                  <c:v>13000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Skymaps!$E$483:$BC$483</c:f>
              <c:numCache>
                <c:formatCode>General</c:formatCode>
                <c:ptCount val="51"/>
                <c:pt idx="18">
                  <c:v>7392.57080078125</c:v>
                </c:pt>
                <c:pt idx="19">
                  <c:v>4534.19091796875</c:v>
                </c:pt>
                <c:pt idx="20">
                  <c:v>3777.628173828125</c:v>
                </c:pt>
                <c:pt idx="21">
                  <c:v>3616.980712890625</c:v>
                </c:pt>
                <c:pt idx="22">
                  <c:v>3603.8984375</c:v>
                </c:pt>
                <c:pt idx="23">
                  <c:v>3664.44482421875</c:v>
                </c:pt>
                <c:pt idx="24">
                  <c:v>3752.1865234375</c:v>
                </c:pt>
                <c:pt idx="25">
                  <c:v>3856.971923828125</c:v>
                </c:pt>
                <c:pt idx="26">
                  <c:v>4057.971923828125</c:v>
                </c:pt>
                <c:pt idx="27">
                  <c:v>4336.2646484375</c:v>
                </c:pt>
                <c:pt idx="28">
                  <c:v>4607.48046875</c:v>
                </c:pt>
                <c:pt idx="29">
                  <c:v>4912.88134765625</c:v>
                </c:pt>
                <c:pt idx="30">
                  <c:v>5294.22607421875</c:v>
                </c:pt>
                <c:pt idx="31">
                  <c:v>5702.0927734375</c:v>
                </c:pt>
                <c:pt idx="32">
                  <c:v>6175.8193359375</c:v>
                </c:pt>
                <c:pt idx="33">
                  <c:v>6758.08837890625</c:v>
                </c:pt>
                <c:pt idx="34">
                  <c:v>7301.39501953125</c:v>
                </c:pt>
                <c:pt idx="35">
                  <c:v>6158.9423828125</c:v>
                </c:pt>
                <c:pt idx="36">
                  <c:v>6690.8701171875</c:v>
                </c:pt>
                <c:pt idx="37">
                  <c:v>7208.56982421875</c:v>
                </c:pt>
                <c:pt idx="38">
                  <c:v>7938.9951171875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E01-4A51-9BB3-7C312A8EB151}"/>
            </c:ext>
          </c:extLst>
        </c:ser>
        <c:ser>
          <c:idx val="14"/>
          <c:order val="14"/>
          <c:tx>
            <c:strRef>
              <c:f>Skymaps!$D$484</c:f>
              <c:strCache>
                <c:ptCount val="1"/>
                <c:pt idx="0">
                  <c:v>14000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Skymaps!$E$484:$BC$484</c:f>
              <c:numCache>
                <c:formatCode>General</c:formatCode>
                <c:ptCount val="51"/>
                <c:pt idx="19">
                  <c:v>5388.23486328125</c:v>
                </c:pt>
                <c:pt idx="20">
                  <c:v>3809.457275390625</c:v>
                </c:pt>
                <c:pt idx="21">
                  <c:v>3654.684814453125</c:v>
                </c:pt>
                <c:pt idx="22">
                  <c:v>3638.243408203125</c:v>
                </c:pt>
                <c:pt idx="23">
                  <c:v>3619.1611328125</c:v>
                </c:pt>
                <c:pt idx="24">
                  <c:v>3681.741455078125</c:v>
                </c:pt>
                <c:pt idx="25">
                  <c:v>3797.080810546875</c:v>
                </c:pt>
                <c:pt idx="26">
                  <c:v>3984.553955078125</c:v>
                </c:pt>
                <c:pt idx="27">
                  <c:v>4187.0322265625</c:v>
                </c:pt>
                <c:pt idx="28">
                  <c:v>4420.56396484375</c:v>
                </c:pt>
                <c:pt idx="29">
                  <c:v>4781.19384765625</c:v>
                </c:pt>
                <c:pt idx="30">
                  <c:v>5037.0185546875</c:v>
                </c:pt>
                <c:pt idx="31">
                  <c:v>5481.169921875</c:v>
                </c:pt>
                <c:pt idx="32">
                  <c:v>5855.4326171875</c:v>
                </c:pt>
                <c:pt idx="33">
                  <c:v>6379.455078125</c:v>
                </c:pt>
                <c:pt idx="34">
                  <c:v>6927.0849609375</c:v>
                </c:pt>
                <c:pt idx="35">
                  <c:v>7509.7919921875</c:v>
                </c:pt>
                <c:pt idx="36">
                  <c:v>6378.33740234375</c:v>
                </c:pt>
                <c:pt idx="37">
                  <c:v>6905.02685546875</c:v>
                </c:pt>
                <c:pt idx="38">
                  <c:v>7573.50244140625</c:v>
                </c:pt>
                <c:pt idx="39">
                  <c:v>8476.6865234375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E01-4A51-9BB3-7C312A8EB151}"/>
            </c:ext>
          </c:extLst>
        </c:ser>
        <c:ser>
          <c:idx val="15"/>
          <c:order val="15"/>
          <c:tx>
            <c:strRef>
              <c:f>Skymaps!$D$485</c:f>
              <c:strCache>
                <c:ptCount val="1"/>
                <c:pt idx="0">
                  <c:v>15000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Skymaps!$E$485:$BC$485</c:f>
              <c:numCache>
                <c:formatCode>General</c:formatCode>
                <c:ptCount val="51"/>
                <c:pt idx="19">
                  <c:v>6550.99365234375</c:v>
                </c:pt>
                <c:pt idx="20">
                  <c:v>4163.96875</c:v>
                </c:pt>
                <c:pt idx="21">
                  <c:v>3728.625732421875</c:v>
                </c:pt>
                <c:pt idx="22">
                  <c:v>3597.56396484375</c:v>
                </c:pt>
                <c:pt idx="23">
                  <c:v>3613.019287109375</c:v>
                </c:pt>
                <c:pt idx="24">
                  <c:v>3672.34033203125</c:v>
                </c:pt>
                <c:pt idx="25">
                  <c:v>3748.000244140625</c:v>
                </c:pt>
                <c:pt idx="26">
                  <c:v>3840.166259765625</c:v>
                </c:pt>
                <c:pt idx="27">
                  <c:v>4034.1259765625</c:v>
                </c:pt>
                <c:pt idx="28">
                  <c:v>4307.97900390625</c:v>
                </c:pt>
                <c:pt idx="29">
                  <c:v>4541.296875</c:v>
                </c:pt>
                <c:pt idx="30">
                  <c:v>4852.9365234375</c:v>
                </c:pt>
                <c:pt idx="31">
                  <c:v>5184.8525390625</c:v>
                </c:pt>
                <c:pt idx="32">
                  <c:v>5595.88623046875</c:v>
                </c:pt>
                <c:pt idx="33">
                  <c:v>6016.94384765625</c:v>
                </c:pt>
                <c:pt idx="34">
                  <c:v>6585.65869140625</c:v>
                </c:pt>
                <c:pt idx="35">
                  <c:v>7097.62451171875</c:v>
                </c:pt>
                <c:pt idx="36">
                  <c:v>6097.29931640625</c:v>
                </c:pt>
                <c:pt idx="37">
                  <c:v>6591.58837890625</c:v>
                </c:pt>
                <c:pt idx="38">
                  <c:v>7239.2607421875</c:v>
                </c:pt>
                <c:pt idx="39">
                  <c:v>8064.43408203125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E01-4A51-9BB3-7C312A8EB151}"/>
            </c:ext>
          </c:extLst>
        </c:ser>
        <c:ser>
          <c:idx val="16"/>
          <c:order val="16"/>
          <c:tx>
            <c:strRef>
              <c:f>Skymaps!$D$486</c:f>
              <c:strCache>
                <c:ptCount val="1"/>
                <c:pt idx="0">
                  <c:v>16000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Skymaps!$E$486:$BC$486</c:f>
              <c:numCache>
                <c:formatCode>General</c:formatCode>
                <c:ptCount val="51"/>
                <c:pt idx="19">
                  <c:v>7973.9970703125</c:v>
                </c:pt>
                <c:pt idx="20">
                  <c:v>4851.50146484375</c:v>
                </c:pt>
                <c:pt idx="21">
                  <c:v>3752.6083984375</c:v>
                </c:pt>
                <c:pt idx="22">
                  <c:v>3694.7900390625</c:v>
                </c:pt>
                <c:pt idx="23">
                  <c:v>3613.30517578125</c:v>
                </c:pt>
                <c:pt idx="24">
                  <c:v>3615.497802734375</c:v>
                </c:pt>
                <c:pt idx="25">
                  <c:v>3681.863525390625</c:v>
                </c:pt>
                <c:pt idx="26">
                  <c:v>3796.589111328125</c:v>
                </c:pt>
                <c:pt idx="27">
                  <c:v>3982.306884765625</c:v>
                </c:pt>
                <c:pt idx="28">
                  <c:v>4153.74609375</c:v>
                </c:pt>
                <c:pt idx="29">
                  <c:v>4386.54296875</c:v>
                </c:pt>
                <c:pt idx="30">
                  <c:v>4709.11181640625</c:v>
                </c:pt>
                <c:pt idx="31">
                  <c:v>4970.51904296875</c:v>
                </c:pt>
                <c:pt idx="32">
                  <c:v>5369.51025390625</c:v>
                </c:pt>
                <c:pt idx="33">
                  <c:v>5741.56494140625</c:v>
                </c:pt>
                <c:pt idx="34">
                  <c:v>6205.5009765625</c:v>
                </c:pt>
                <c:pt idx="35">
                  <c:v>6771.88916015625</c:v>
                </c:pt>
                <c:pt idx="36">
                  <c:v>7306.17724609375</c:v>
                </c:pt>
                <c:pt idx="37">
                  <c:v>6308.65771484375</c:v>
                </c:pt>
                <c:pt idx="38">
                  <c:v>6937.6796875</c:v>
                </c:pt>
                <c:pt idx="39">
                  <c:v>7714.05908203125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E01-4A51-9BB3-7C312A8EB151}"/>
            </c:ext>
          </c:extLst>
        </c:ser>
        <c:ser>
          <c:idx val="17"/>
          <c:order val="17"/>
          <c:tx>
            <c:strRef>
              <c:f>Skymaps!$D$487</c:f>
              <c:strCache>
                <c:ptCount val="1"/>
                <c:pt idx="0">
                  <c:v>17000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Skymaps!$E$487:$BC$487</c:f>
              <c:numCache>
                <c:formatCode>General</c:formatCode>
                <c:ptCount val="51"/>
                <c:pt idx="20">
                  <c:v>5860.435546875</c:v>
                </c:pt>
                <c:pt idx="21">
                  <c:v>3986.12890625</c:v>
                </c:pt>
                <c:pt idx="22">
                  <c:v>3683.77587890625</c:v>
                </c:pt>
                <c:pt idx="23">
                  <c:v>3614.382080078125</c:v>
                </c:pt>
                <c:pt idx="24">
                  <c:v>3636.418212890625</c:v>
                </c:pt>
                <c:pt idx="25">
                  <c:v>3686.4833984375</c:v>
                </c:pt>
                <c:pt idx="26">
                  <c:v>3748.654296875</c:v>
                </c:pt>
                <c:pt idx="27">
                  <c:v>3837.742431640625</c:v>
                </c:pt>
                <c:pt idx="28">
                  <c:v>4029.41162109375</c:v>
                </c:pt>
                <c:pt idx="29">
                  <c:v>4315.91650390625</c:v>
                </c:pt>
                <c:pt idx="30">
                  <c:v>4497.9453125</c:v>
                </c:pt>
                <c:pt idx="31">
                  <c:v>4827.03955078125</c:v>
                </c:pt>
                <c:pt idx="32">
                  <c:v>5105.5029296875</c:v>
                </c:pt>
                <c:pt idx="33">
                  <c:v>5524.525390625</c:v>
                </c:pt>
                <c:pt idx="34">
                  <c:v>5891.4521484375</c:v>
                </c:pt>
                <c:pt idx="35">
                  <c:v>6391.92431640625</c:v>
                </c:pt>
                <c:pt idx="36">
                  <c:v>6947.16943359375</c:v>
                </c:pt>
                <c:pt idx="37">
                  <c:v>6065.93701171875</c:v>
                </c:pt>
                <c:pt idx="38">
                  <c:v>6623.76025390625</c:v>
                </c:pt>
                <c:pt idx="39">
                  <c:v>7391.09716796875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E01-4A51-9BB3-7C312A8EB151}"/>
            </c:ext>
          </c:extLst>
        </c:ser>
        <c:ser>
          <c:idx val="18"/>
          <c:order val="18"/>
          <c:tx>
            <c:strRef>
              <c:f>Skymaps!$D$488</c:f>
              <c:strCache>
                <c:ptCount val="1"/>
                <c:pt idx="0">
                  <c:v>18000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Skymaps!$E$488:$BC$488</c:f>
              <c:numCache>
                <c:formatCode>General</c:formatCode>
                <c:ptCount val="51"/>
                <c:pt idx="20">
                  <c:v>7184.60498046875</c:v>
                </c:pt>
                <c:pt idx="21">
                  <c:v>4554.2255859375</c:v>
                </c:pt>
                <c:pt idx="22">
                  <c:v>3756.8056640625</c:v>
                </c:pt>
                <c:pt idx="23">
                  <c:v>3681.36376953125</c:v>
                </c:pt>
                <c:pt idx="24">
                  <c:v>3615.11572265625</c:v>
                </c:pt>
                <c:pt idx="25">
                  <c:v>3625.0380859375</c:v>
                </c:pt>
                <c:pt idx="26">
                  <c:v>3689.919677734375</c:v>
                </c:pt>
                <c:pt idx="27">
                  <c:v>3809.296875</c:v>
                </c:pt>
                <c:pt idx="28">
                  <c:v>3959.013671875</c:v>
                </c:pt>
                <c:pt idx="29">
                  <c:v>4121.07958984375</c:v>
                </c:pt>
                <c:pt idx="30">
                  <c:v>4369.798828125</c:v>
                </c:pt>
                <c:pt idx="31">
                  <c:v>4630.38525390625</c:v>
                </c:pt>
                <c:pt idx="32">
                  <c:v>4916.42919921875</c:v>
                </c:pt>
                <c:pt idx="33">
                  <c:v>5251.685546875</c:v>
                </c:pt>
                <c:pt idx="34">
                  <c:v>5639.5205078125</c:v>
                </c:pt>
                <c:pt idx="35">
                  <c:v>6043.5595703125</c:v>
                </c:pt>
                <c:pt idx="36">
                  <c:v>6604.810546875</c:v>
                </c:pt>
                <c:pt idx="37">
                  <c:v>5862.80419921875</c:v>
                </c:pt>
                <c:pt idx="38">
                  <c:v>6354.875</c:v>
                </c:pt>
                <c:pt idx="39">
                  <c:v>7047.8251953125</c:v>
                </c:pt>
                <c:pt idx="40">
                  <c:v>8155.88525390625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E01-4A51-9BB3-7C312A8EB151}"/>
            </c:ext>
          </c:extLst>
        </c:ser>
        <c:ser>
          <c:idx val="19"/>
          <c:order val="19"/>
          <c:tx>
            <c:strRef>
              <c:f>Skymaps!$D$489</c:f>
              <c:strCache>
                <c:ptCount val="1"/>
                <c:pt idx="0">
                  <c:v>19000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Skymaps!$E$489:$BC$489</c:f>
              <c:numCache>
                <c:formatCode>General</c:formatCode>
                <c:ptCount val="51"/>
                <c:pt idx="21">
                  <c:v>5455.876953125</c:v>
                </c:pt>
                <c:pt idx="22">
                  <c:v>3900.17236328125</c:v>
                </c:pt>
                <c:pt idx="23">
                  <c:v>3673.1201171875</c:v>
                </c:pt>
                <c:pt idx="24">
                  <c:v>3626.38134765625</c:v>
                </c:pt>
                <c:pt idx="25">
                  <c:v>3641.57421875</c:v>
                </c:pt>
                <c:pt idx="26">
                  <c:v>3675.622314453125</c:v>
                </c:pt>
                <c:pt idx="27">
                  <c:v>3734.322265625</c:v>
                </c:pt>
                <c:pt idx="28">
                  <c:v>3826.86083984375</c:v>
                </c:pt>
                <c:pt idx="29">
                  <c:v>4017.960205078125</c:v>
                </c:pt>
                <c:pt idx="30">
                  <c:v>4244.87841796875</c:v>
                </c:pt>
                <c:pt idx="31">
                  <c:v>4447.59521484375</c:v>
                </c:pt>
                <c:pt idx="32">
                  <c:v>4780.1103515625</c:v>
                </c:pt>
                <c:pt idx="33">
                  <c:v>5018.7509765625</c:v>
                </c:pt>
                <c:pt idx="34">
                  <c:v>5403.4912109375</c:v>
                </c:pt>
                <c:pt idx="35">
                  <c:v>5764.59228515625</c:v>
                </c:pt>
                <c:pt idx="36">
                  <c:v>6220.56494140625</c:v>
                </c:pt>
                <c:pt idx="37">
                  <c:v>6816.34619140625</c:v>
                </c:pt>
                <c:pt idx="38">
                  <c:v>6130.21728515625</c:v>
                </c:pt>
                <c:pt idx="39">
                  <c:v>6750.92822265625</c:v>
                </c:pt>
                <c:pt idx="40">
                  <c:v>7761.8203125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E01-4A51-9BB3-7C312A8EB151}"/>
            </c:ext>
          </c:extLst>
        </c:ser>
        <c:ser>
          <c:idx val="20"/>
          <c:order val="20"/>
          <c:tx>
            <c:strRef>
              <c:f>Skymaps!$D$490</c:f>
              <c:strCache>
                <c:ptCount val="1"/>
                <c:pt idx="0">
                  <c:v>20000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Skymaps!$E$490:$BC$490</c:f>
              <c:numCache>
                <c:formatCode>General</c:formatCode>
                <c:ptCount val="51"/>
                <c:pt idx="21">
                  <c:v>6739.607421875</c:v>
                </c:pt>
                <c:pt idx="22">
                  <c:v>4390.6787109375</c:v>
                </c:pt>
                <c:pt idx="23">
                  <c:v>3770.397705078125</c:v>
                </c:pt>
                <c:pt idx="24">
                  <c:v>3677.26953125</c:v>
                </c:pt>
                <c:pt idx="25">
                  <c:v>3623.060302734375</c:v>
                </c:pt>
                <c:pt idx="26">
                  <c:v>3629.736328125</c:v>
                </c:pt>
                <c:pt idx="27">
                  <c:v>3698.66845703125</c:v>
                </c:pt>
                <c:pt idx="28">
                  <c:v>3825.975830078125</c:v>
                </c:pt>
                <c:pt idx="29">
                  <c:v>3908.47314453125</c:v>
                </c:pt>
                <c:pt idx="30">
                  <c:v>4078.133056640625</c:v>
                </c:pt>
                <c:pt idx="31">
                  <c:v>4348.21044921875</c:v>
                </c:pt>
                <c:pt idx="32">
                  <c:v>4543.64453125</c:v>
                </c:pt>
                <c:pt idx="33">
                  <c:v>4858.8662109375</c:v>
                </c:pt>
                <c:pt idx="34">
                  <c:v>5125.24169921875</c:v>
                </c:pt>
                <c:pt idx="35">
                  <c:v>5550.8291015625</c:v>
                </c:pt>
                <c:pt idx="36">
                  <c:v>5908.16259765625</c:v>
                </c:pt>
                <c:pt idx="37">
                  <c:v>6395.63720703125</c:v>
                </c:pt>
                <c:pt idx="38">
                  <c:v>5949.923828125</c:v>
                </c:pt>
                <c:pt idx="39">
                  <c:v>6505.8740234375</c:v>
                </c:pt>
                <c:pt idx="40">
                  <c:v>7421.53076171875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E01-4A51-9BB3-7C312A8EB151}"/>
            </c:ext>
          </c:extLst>
        </c:ser>
        <c:ser>
          <c:idx val="21"/>
          <c:order val="21"/>
          <c:tx>
            <c:strRef>
              <c:f>Skymaps!$D$491</c:f>
              <c:strCache>
                <c:ptCount val="1"/>
                <c:pt idx="0">
                  <c:v>21000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Skymaps!$E$491:$BC$491</c:f>
              <c:numCache>
                <c:formatCode>General</c:formatCode>
                <c:ptCount val="51"/>
                <c:pt idx="22">
                  <c:v>5238.5498046875</c:v>
                </c:pt>
                <c:pt idx="23">
                  <c:v>3875.417236328125</c:v>
                </c:pt>
                <c:pt idx="24">
                  <c:v>3683.979736328125</c:v>
                </c:pt>
                <c:pt idx="25">
                  <c:v>3636.4755859375</c:v>
                </c:pt>
                <c:pt idx="26">
                  <c:v>3637.655029296875</c:v>
                </c:pt>
                <c:pt idx="27">
                  <c:v>3661.91796875</c:v>
                </c:pt>
                <c:pt idx="28">
                  <c:v>3723.459228515625</c:v>
                </c:pt>
                <c:pt idx="29">
                  <c:v>3827.42578125</c:v>
                </c:pt>
                <c:pt idx="30">
                  <c:v>4018.23974609375</c:v>
                </c:pt>
                <c:pt idx="31">
                  <c:v>4177.900390625</c:v>
                </c:pt>
                <c:pt idx="32">
                  <c:v>4412.486328125</c:v>
                </c:pt>
                <c:pt idx="33">
                  <c:v>4670.2060546875</c:v>
                </c:pt>
                <c:pt idx="34">
                  <c:v>4948.73681640625</c:v>
                </c:pt>
                <c:pt idx="35">
                  <c:v>5257.83251953125</c:v>
                </c:pt>
                <c:pt idx="36">
                  <c:v>5688.474609375</c:v>
                </c:pt>
                <c:pt idx="37">
                  <c:v>6078.39111328125</c:v>
                </c:pt>
                <c:pt idx="38">
                  <c:v>5740.09033203125</c:v>
                </c:pt>
                <c:pt idx="39">
                  <c:v>6335.6533203125</c:v>
                </c:pt>
                <c:pt idx="40">
                  <c:v>7175.20703125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E01-4A51-9BB3-7C312A8EB151}"/>
            </c:ext>
          </c:extLst>
        </c:ser>
        <c:ser>
          <c:idx val="22"/>
          <c:order val="22"/>
          <c:tx>
            <c:strRef>
              <c:f>Skymaps!$D$492</c:f>
              <c:strCache>
                <c:ptCount val="1"/>
                <c:pt idx="0">
                  <c:v>22000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Skymaps!$E$492:$BC$492</c:f>
              <c:numCache>
                <c:formatCode>General</c:formatCode>
                <c:ptCount val="51"/>
                <c:pt idx="22">
                  <c:v>6554.60107421875</c:v>
                </c:pt>
                <c:pt idx="23">
                  <c:v>4341.9794921875</c:v>
                </c:pt>
                <c:pt idx="24">
                  <c:v>3792.89892578125</c:v>
                </c:pt>
                <c:pt idx="25">
                  <c:v>3716.430908203125</c:v>
                </c:pt>
                <c:pt idx="26">
                  <c:v>3656.42138671875</c:v>
                </c:pt>
                <c:pt idx="27">
                  <c:v>3661.931396484375</c:v>
                </c:pt>
                <c:pt idx="28">
                  <c:v>3738.71044921875</c:v>
                </c:pt>
                <c:pt idx="29">
                  <c:v>3822.25927734375</c:v>
                </c:pt>
                <c:pt idx="30">
                  <c:v>3881.5654296875</c:v>
                </c:pt>
                <c:pt idx="31">
                  <c:v>4061.77197265625</c:v>
                </c:pt>
                <c:pt idx="32">
                  <c:v>4297.08642578125</c:v>
                </c:pt>
                <c:pt idx="33">
                  <c:v>4492.7431640625</c:v>
                </c:pt>
                <c:pt idx="34">
                  <c:v>4804.3564453125</c:v>
                </c:pt>
                <c:pt idx="35">
                  <c:v>5044.40869140625</c:v>
                </c:pt>
                <c:pt idx="36">
                  <c:v>5427.576171875</c:v>
                </c:pt>
                <c:pt idx="37">
                  <c:v>5828.60400390625</c:v>
                </c:pt>
                <c:pt idx="38">
                  <c:v>6360.19384765625</c:v>
                </c:pt>
                <c:pt idx="39">
                  <c:v>6124.013671875</c:v>
                </c:pt>
                <c:pt idx="40">
                  <c:v>6988.3740234375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E01-4A51-9BB3-7C312A8EB151}"/>
            </c:ext>
          </c:extLst>
        </c:ser>
        <c:ser>
          <c:idx val="23"/>
          <c:order val="23"/>
          <c:tx>
            <c:strRef>
              <c:f>Skymaps!$D$493</c:f>
              <c:strCache>
                <c:ptCount val="1"/>
                <c:pt idx="0">
                  <c:v>23000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Skymaps!$E$493:$BC$493</c:f>
              <c:numCache>
                <c:formatCode>General</c:formatCode>
                <c:ptCount val="51"/>
                <c:pt idx="23">
                  <c:v>5169.8408203125</c:v>
                </c:pt>
                <c:pt idx="24">
                  <c:v>3893.692138671875</c:v>
                </c:pt>
                <c:pt idx="25">
                  <c:v>3709.19921875</c:v>
                </c:pt>
                <c:pt idx="26">
                  <c:v>3644.732666015625</c:v>
                </c:pt>
                <c:pt idx="27">
                  <c:v>3637.781494140625</c:v>
                </c:pt>
                <c:pt idx="28">
                  <c:v>3657.30126953125</c:v>
                </c:pt>
                <c:pt idx="29">
                  <c:v>3729.061279296875</c:v>
                </c:pt>
                <c:pt idx="30">
                  <c:v>3850.64404296875</c:v>
                </c:pt>
                <c:pt idx="31">
                  <c:v>3977.5888671875</c:v>
                </c:pt>
                <c:pt idx="32">
                  <c:v>4127.61376953125</c:v>
                </c:pt>
                <c:pt idx="33">
                  <c:v>4402.38427734375</c:v>
                </c:pt>
                <c:pt idx="34">
                  <c:v>4583.03173828125</c:v>
                </c:pt>
                <c:pt idx="35">
                  <c:v>4907.7880859375</c:v>
                </c:pt>
                <c:pt idx="36">
                  <c:v>5178.38232421875</c:v>
                </c:pt>
                <c:pt idx="37">
                  <c:v>5596.890625</c:v>
                </c:pt>
                <c:pt idx="38">
                  <c:v>6082.33251953125</c:v>
                </c:pt>
                <c:pt idx="39">
                  <c:v>5888.18798828125</c:v>
                </c:pt>
                <c:pt idx="40">
                  <c:v>6790.47509765625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E01-4A51-9BB3-7C312A8EB151}"/>
            </c:ext>
          </c:extLst>
        </c:ser>
        <c:ser>
          <c:idx val="24"/>
          <c:order val="24"/>
          <c:tx>
            <c:strRef>
              <c:f>Skymaps!$D$494</c:f>
              <c:strCache>
                <c:ptCount val="1"/>
                <c:pt idx="0">
                  <c:v>24000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Skymaps!$E$494:$BC$494</c:f>
              <c:numCache>
                <c:formatCode>General</c:formatCode>
                <c:ptCount val="51"/>
                <c:pt idx="23">
                  <c:v>6554.169921875</c:v>
                </c:pt>
                <c:pt idx="24">
                  <c:v>4369.4970703125</c:v>
                </c:pt>
                <c:pt idx="25">
                  <c:v>3802.703857421875</c:v>
                </c:pt>
                <c:pt idx="26">
                  <c:v>3745.13916015625</c:v>
                </c:pt>
                <c:pt idx="27">
                  <c:v>3708.50732421875</c:v>
                </c:pt>
                <c:pt idx="28">
                  <c:v>3712.23779296875</c:v>
                </c:pt>
                <c:pt idx="29">
                  <c:v>3738.1142578125</c:v>
                </c:pt>
                <c:pt idx="30">
                  <c:v>3776.279541015625</c:v>
                </c:pt>
                <c:pt idx="31">
                  <c:v>3867.45263671875</c:v>
                </c:pt>
                <c:pt idx="32">
                  <c:v>4055.84423828125</c:v>
                </c:pt>
                <c:pt idx="33">
                  <c:v>4208.36962890625</c:v>
                </c:pt>
                <c:pt idx="34">
                  <c:v>4452.62744140625</c:v>
                </c:pt>
                <c:pt idx="35">
                  <c:v>4676.53515625</c:v>
                </c:pt>
                <c:pt idx="36">
                  <c:v>5009.26416015625</c:v>
                </c:pt>
                <c:pt idx="37">
                  <c:v>5314.1513671875</c:v>
                </c:pt>
                <c:pt idx="38">
                  <c:v>5866.65283203125</c:v>
                </c:pt>
                <c:pt idx="39">
                  <c:v>5715.76025390625</c:v>
                </c:pt>
                <c:pt idx="40">
                  <c:v>6522.0751953125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E01-4A51-9BB3-7C312A8EB151}"/>
            </c:ext>
          </c:extLst>
        </c:ser>
        <c:ser>
          <c:idx val="25"/>
          <c:order val="25"/>
          <c:tx>
            <c:strRef>
              <c:f>Skymaps!$D$495</c:f>
              <c:strCache>
                <c:ptCount val="1"/>
                <c:pt idx="0">
                  <c:v>25000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Skymaps!$E$495:$BC$495</c:f>
              <c:numCache>
                <c:formatCode>General</c:formatCode>
                <c:ptCount val="51"/>
                <c:pt idx="24">
                  <c:v>5218.48095703125</c:v>
                </c:pt>
                <c:pt idx="25">
                  <c:v>3948.273193359375</c:v>
                </c:pt>
                <c:pt idx="26">
                  <c:v>3745.326416015625</c:v>
                </c:pt>
                <c:pt idx="27">
                  <c:v>3659.044677734375</c:v>
                </c:pt>
                <c:pt idx="28">
                  <c:v>3645.48779296875</c:v>
                </c:pt>
                <c:pt idx="29">
                  <c:v>3663.9921875</c:v>
                </c:pt>
                <c:pt idx="30">
                  <c:v>3743.744384765625</c:v>
                </c:pt>
                <c:pt idx="31">
                  <c:v>3867.45458984375</c:v>
                </c:pt>
                <c:pt idx="32">
                  <c:v>3917.697265625</c:v>
                </c:pt>
                <c:pt idx="33">
                  <c:v>4090.31640625</c:v>
                </c:pt>
                <c:pt idx="34">
                  <c:v>4297.587890625</c:v>
                </c:pt>
                <c:pt idx="35">
                  <c:v>4502.9638671875</c:v>
                </c:pt>
                <c:pt idx="36">
                  <c:v>4799.19140625</c:v>
                </c:pt>
                <c:pt idx="37">
                  <c:v>5113.2197265625</c:v>
                </c:pt>
                <c:pt idx="38">
                  <c:v>5542.33251953125</c:v>
                </c:pt>
                <c:pt idx="39">
                  <c:v>5606.5546875</c:v>
                </c:pt>
                <c:pt idx="40">
                  <c:v>6336.7939453125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E01-4A51-9BB3-7C312A8EB151}"/>
            </c:ext>
          </c:extLst>
        </c:ser>
        <c:ser>
          <c:idx val="26"/>
          <c:order val="26"/>
          <c:tx>
            <c:strRef>
              <c:f>Skymaps!$D$496</c:f>
              <c:strCache>
                <c:ptCount val="1"/>
                <c:pt idx="0">
                  <c:v>26000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Skymaps!$E$496:$BC$496</c:f>
              <c:numCache>
                <c:formatCode>General</c:formatCode>
                <c:ptCount val="51"/>
                <c:pt idx="24">
                  <c:v>6733.40478515625</c:v>
                </c:pt>
                <c:pt idx="25">
                  <c:v>4503.95751953125</c:v>
                </c:pt>
                <c:pt idx="26">
                  <c:v>3821.82666015625</c:v>
                </c:pt>
                <c:pt idx="27">
                  <c:v>3730.15576171875</c:v>
                </c:pt>
                <c:pt idx="28">
                  <c:v>3706.761474609375</c:v>
                </c:pt>
                <c:pt idx="29">
                  <c:v>3698.818115234375</c:v>
                </c:pt>
                <c:pt idx="30">
                  <c:v>3702.3681640625</c:v>
                </c:pt>
                <c:pt idx="31">
                  <c:v>3761.896240234375</c:v>
                </c:pt>
                <c:pt idx="32">
                  <c:v>3897.000244140625</c:v>
                </c:pt>
                <c:pt idx="33">
                  <c:v>4007.251220703125</c:v>
                </c:pt>
                <c:pt idx="34">
                  <c:v>4154.19189453125</c:v>
                </c:pt>
                <c:pt idx="35">
                  <c:v>4408.34521484375</c:v>
                </c:pt>
                <c:pt idx="36">
                  <c:v>4611.353515625</c:v>
                </c:pt>
                <c:pt idx="37">
                  <c:v>4941.29541015625</c:v>
                </c:pt>
                <c:pt idx="38">
                  <c:v>5324.40478515625</c:v>
                </c:pt>
                <c:pt idx="39">
                  <c:v>5903.42578125</c:v>
                </c:pt>
                <c:pt idx="40">
                  <c:v>6250.9208984375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E01-4A51-9BB3-7C312A8EB151}"/>
            </c:ext>
          </c:extLst>
        </c:ser>
        <c:ser>
          <c:idx val="27"/>
          <c:order val="27"/>
          <c:tx>
            <c:strRef>
              <c:f>Skymaps!$D$497</c:f>
              <c:strCache>
                <c:ptCount val="1"/>
                <c:pt idx="0">
                  <c:v>27000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Skymaps!$E$497:$BC$497</c:f>
              <c:numCache>
                <c:formatCode>General</c:formatCode>
                <c:ptCount val="51"/>
                <c:pt idx="25">
                  <c:v>5459.11865234375</c:v>
                </c:pt>
                <c:pt idx="26">
                  <c:v>4065.4111328125</c:v>
                </c:pt>
                <c:pt idx="27">
                  <c:v>3843.168212890625</c:v>
                </c:pt>
                <c:pt idx="28">
                  <c:v>3727.1572265625</c:v>
                </c:pt>
                <c:pt idx="29">
                  <c:v>3710.859619140625</c:v>
                </c:pt>
                <c:pt idx="30">
                  <c:v>3739.939697265625</c:v>
                </c:pt>
                <c:pt idx="31">
                  <c:v>3791.46435546875</c:v>
                </c:pt>
                <c:pt idx="32">
                  <c:v>3815.972412109375</c:v>
                </c:pt>
                <c:pt idx="33">
                  <c:v>3922.488037109375</c:v>
                </c:pt>
                <c:pt idx="34">
                  <c:v>4111.62548828125</c:v>
                </c:pt>
                <c:pt idx="35">
                  <c:v>4227.32666015625</c:v>
                </c:pt>
                <c:pt idx="36">
                  <c:v>4512.13818359375</c:v>
                </c:pt>
                <c:pt idx="37">
                  <c:v>4721.25</c:v>
                </c:pt>
                <c:pt idx="38">
                  <c:v>5189.078125</c:v>
                </c:pt>
                <c:pt idx="39">
                  <c:v>5664.0458984375</c:v>
                </c:pt>
                <c:pt idx="40">
                  <c:v>6049.40576171875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E01-4A51-9BB3-7C312A8EB151}"/>
            </c:ext>
          </c:extLst>
        </c:ser>
        <c:ser>
          <c:idx val="28"/>
          <c:order val="28"/>
          <c:tx>
            <c:strRef>
              <c:f>Skymaps!$D$498</c:f>
              <c:strCache>
                <c:ptCount val="1"/>
                <c:pt idx="0">
                  <c:v>28000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Skymaps!$E$498:$BC$498</c:f>
              <c:numCache>
                <c:formatCode>General</c:formatCode>
                <c:ptCount val="51"/>
                <c:pt idx="25">
                  <c:v>7172.94384765625</c:v>
                </c:pt>
                <c:pt idx="26">
                  <c:v>4720.88134765625</c:v>
                </c:pt>
                <c:pt idx="27">
                  <c:v>3879.33837890625</c:v>
                </c:pt>
                <c:pt idx="28">
                  <c:v>3753.658203125</c:v>
                </c:pt>
                <c:pt idx="29">
                  <c:v>3705.43359375</c:v>
                </c:pt>
                <c:pt idx="30">
                  <c:v>3697.88623046875</c:v>
                </c:pt>
                <c:pt idx="31">
                  <c:v>3721.214111328125</c:v>
                </c:pt>
                <c:pt idx="32">
                  <c:v>3801.869140625</c:v>
                </c:pt>
                <c:pt idx="33">
                  <c:v>3894.44775390625</c:v>
                </c:pt>
                <c:pt idx="34">
                  <c:v>3967.742431640625</c:v>
                </c:pt>
                <c:pt idx="35">
                  <c:v>4156.51416015625</c:v>
                </c:pt>
                <c:pt idx="36">
                  <c:v>4331.37548828125</c:v>
                </c:pt>
                <c:pt idx="37">
                  <c:v>4593.06298828125</c:v>
                </c:pt>
                <c:pt idx="38">
                  <c:v>4935.57958984375</c:v>
                </c:pt>
                <c:pt idx="39">
                  <c:v>5517.57861328125</c:v>
                </c:pt>
                <c:pt idx="40">
                  <c:v>5903.7685546875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E01-4A51-9BB3-7C312A8EB151}"/>
            </c:ext>
          </c:extLst>
        </c:ser>
        <c:ser>
          <c:idx val="29"/>
          <c:order val="29"/>
          <c:tx>
            <c:strRef>
              <c:f>Skymaps!$D$499</c:f>
              <c:strCache>
                <c:ptCount val="1"/>
                <c:pt idx="0">
                  <c:v>29000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Skymaps!$E$499:$BC$499</c:f>
              <c:numCache>
                <c:formatCode>General</c:formatCode>
                <c:ptCount val="51"/>
                <c:pt idx="26">
                  <c:v>6107.78515625</c:v>
                </c:pt>
                <c:pt idx="27">
                  <c:v>4252.962890625</c:v>
                </c:pt>
                <c:pt idx="28">
                  <c:v>3888.1318359375</c:v>
                </c:pt>
                <c:pt idx="29">
                  <c:v>3806.57177734375</c:v>
                </c:pt>
                <c:pt idx="30">
                  <c:v>3771.554443359375</c:v>
                </c:pt>
                <c:pt idx="31">
                  <c:v>3750.22314453125</c:v>
                </c:pt>
                <c:pt idx="32">
                  <c:v>3748.052001953125</c:v>
                </c:pt>
                <c:pt idx="33">
                  <c:v>3810.175537109375</c:v>
                </c:pt>
                <c:pt idx="34">
                  <c:v>3979.07470703125</c:v>
                </c:pt>
                <c:pt idx="35">
                  <c:v>4019.97802734375</c:v>
                </c:pt>
                <c:pt idx="36">
                  <c:v>4224.62646484375</c:v>
                </c:pt>
                <c:pt idx="37">
                  <c:v>4436.2392578125</c:v>
                </c:pt>
                <c:pt idx="38">
                  <c:v>4782.216796875</c:v>
                </c:pt>
                <c:pt idx="39">
                  <c:v>5253.681640625</c:v>
                </c:pt>
                <c:pt idx="40">
                  <c:v>5878.92236328125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E01-4A51-9BB3-7C312A8EB151}"/>
            </c:ext>
          </c:extLst>
        </c:ser>
        <c:ser>
          <c:idx val="30"/>
          <c:order val="30"/>
          <c:tx>
            <c:strRef>
              <c:f>Skymaps!$D$500</c:f>
              <c:strCache>
                <c:ptCount val="1"/>
                <c:pt idx="0">
                  <c:v>30000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Skymaps!$E$500:$BC$500</c:f>
              <c:numCache>
                <c:formatCode>General</c:formatCode>
                <c:ptCount val="51"/>
                <c:pt idx="27">
                  <c:v>5052.69580078125</c:v>
                </c:pt>
                <c:pt idx="28">
                  <c:v>3996.95849609375</c:v>
                </c:pt>
                <c:pt idx="29">
                  <c:v>3838.907470703125</c:v>
                </c:pt>
                <c:pt idx="30">
                  <c:v>3759.491455078125</c:v>
                </c:pt>
                <c:pt idx="31">
                  <c:v>3754.41748046875</c:v>
                </c:pt>
                <c:pt idx="32">
                  <c:v>3804.488037109375</c:v>
                </c:pt>
                <c:pt idx="33">
                  <c:v>3804.82421875</c:v>
                </c:pt>
                <c:pt idx="34">
                  <c:v>3837.33984375</c:v>
                </c:pt>
                <c:pt idx="35">
                  <c:v>3968.467529296875</c:v>
                </c:pt>
                <c:pt idx="36">
                  <c:v>4115.826171875</c:v>
                </c:pt>
                <c:pt idx="37">
                  <c:v>4297.2373046875</c:v>
                </c:pt>
                <c:pt idx="38">
                  <c:v>4642.12939453125</c:v>
                </c:pt>
                <c:pt idx="39">
                  <c:v>5082.9892578125</c:v>
                </c:pt>
                <c:pt idx="40">
                  <c:v>5715.2802734375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E01-4A51-9BB3-7C312A8EB151}"/>
            </c:ext>
          </c:extLst>
        </c:ser>
        <c:ser>
          <c:idx val="31"/>
          <c:order val="31"/>
          <c:tx>
            <c:strRef>
              <c:f>Skymaps!$D$501</c:f>
              <c:strCache>
                <c:ptCount val="1"/>
                <c:pt idx="0">
                  <c:v>31000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Skymaps!$E$501:$BC$501</c:f>
              <c:numCache>
                <c:formatCode>General</c:formatCode>
                <c:ptCount val="51"/>
                <c:pt idx="27">
                  <c:v>6721.71484375</c:v>
                </c:pt>
                <c:pt idx="28">
                  <c:v>4563.755859375</c:v>
                </c:pt>
                <c:pt idx="29">
                  <c:v>3920.26904296875</c:v>
                </c:pt>
                <c:pt idx="30">
                  <c:v>3809.22998046875</c:v>
                </c:pt>
                <c:pt idx="31">
                  <c:v>3763.123046875</c:v>
                </c:pt>
                <c:pt idx="32">
                  <c:v>3757.625</c:v>
                </c:pt>
                <c:pt idx="33">
                  <c:v>3796.365478515625</c:v>
                </c:pt>
                <c:pt idx="34">
                  <c:v>3891.814697265625</c:v>
                </c:pt>
                <c:pt idx="35">
                  <c:v>3899.623779296875</c:v>
                </c:pt>
                <c:pt idx="36">
                  <c:v>4043.271728515625</c:v>
                </c:pt>
                <c:pt idx="37">
                  <c:v>4235.34375</c:v>
                </c:pt>
                <c:pt idx="38">
                  <c:v>4497.12353515625</c:v>
                </c:pt>
                <c:pt idx="39">
                  <c:v>4976.81640625</c:v>
                </c:pt>
                <c:pt idx="40">
                  <c:v>5653.87060546875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EE01-4A51-9BB3-7C312A8EB151}"/>
            </c:ext>
          </c:extLst>
        </c:ser>
        <c:ser>
          <c:idx val="32"/>
          <c:order val="32"/>
          <c:tx>
            <c:strRef>
              <c:f>Skymaps!$D$502</c:f>
              <c:strCache>
                <c:ptCount val="1"/>
                <c:pt idx="0">
                  <c:v>32000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Skymaps!$E$502:$BC$502</c:f>
              <c:numCache>
                <c:formatCode>General</c:formatCode>
                <c:ptCount val="51"/>
                <c:pt idx="28">
                  <c:v>5958.22900390625</c:v>
                </c:pt>
                <c:pt idx="29">
                  <c:v>4255.0341796875</c:v>
                </c:pt>
                <c:pt idx="30">
                  <c:v>3965.306640625</c:v>
                </c:pt>
                <c:pt idx="31">
                  <c:v>3866.210693359375</c:v>
                </c:pt>
                <c:pt idx="32">
                  <c:v>3821.551513671875</c:v>
                </c:pt>
                <c:pt idx="33">
                  <c:v>3798.62890625</c:v>
                </c:pt>
                <c:pt idx="34">
                  <c:v>3816.93408203125</c:v>
                </c:pt>
                <c:pt idx="35">
                  <c:v>3909.1455078125</c:v>
                </c:pt>
                <c:pt idx="36">
                  <c:v>4018.947265625</c:v>
                </c:pt>
                <c:pt idx="37">
                  <c:v>4124.88720703125</c:v>
                </c:pt>
                <c:pt idx="38">
                  <c:v>4487.9365234375</c:v>
                </c:pt>
                <c:pt idx="39">
                  <c:v>4836.6552734375</c:v>
                </c:pt>
                <c:pt idx="40">
                  <c:v>5678.61181640625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E01-4A51-9BB3-7C312A8EB151}"/>
            </c:ext>
          </c:extLst>
        </c:ser>
        <c:ser>
          <c:idx val="33"/>
          <c:order val="33"/>
          <c:tx>
            <c:strRef>
              <c:f>Skymaps!$D$503</c:f>
              <c:strCache>
                <c:ptCount val="1"/>
                <c:pt idx="0">
                  <c:v>33000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Skymaps!$E$503:$BC$503</c:f>
              <c:numCache>
                <c:formatCode>General</c:formatCode>
                <c:ptCount val="51"/>
                <c:pt idx="29">
                  <c:v>5050.74755859375</c:v>
                </c:pt>
                <c:pt idx="30">
                  <c:v>4079.19287109375</c:v>
                </c:pt>
                <c:pt idx="31">
                  <c:v>3954.177001953125</c:v>
                </c:pt>
                <c:pt idx="32">
                  <c:v>3880.1044921875</c:v>
                </c:pt>
                <c:pt idx="33">
                  <c:v>3889.78271484375</c:v>
                </c:pt>
                <c:pt idx="34">
                  <c:v>3864.22021484375</c:v>
                </c:pt>
                <c:pt idx="35">
                  <c:v>3855.07470703125</c:v>
                </c:pt>
                <c:pt idx="36">
                  <c:v>3978.500244140625</c:v>
                </c:pt>
                <c:pt idx="37">
                  <c:v>4141.18701171875</c:v>
                </c:pt>
                <c:pt idx="38">
                  <c:v>4351.60302734375</c:v>
                </c:pt>
                <c:pt idx="39">
                  <c:v>4876.16552734375</c:v>
                </c:pt>
                <c:pt idx="40">
                  <c:v>5599.07958984375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EE01-4A51-9BB3-7C312A8EB151}"/>
            </c:ext>
          </c:extLst>
        </c:ser>
        <c:ser>
          <c:idx val="34"/>
          <c:order val="34"/>
          <c:tx>
            <c:strRef>
              <c:f>Skymaps!$D$504</c:f>
              <c:strCache>
                <c:ptCount val="1"/>
                <c:pt idx="0">
                  <c:v>34000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Skymaps!$E$504:$BC$504</c:f>
              <c:numCache>
                <c:formatCode>General</c:formatCode>
                <c:ptCount val="51"/>
                <c:pt idx="30">
                  <c:v>4659.7958984375</c:v>
                </c:pt>
                <c:pt idx="31">
                  <c:v>4015.76220703125</c:v>
                </c:pt>
                <c:pt idx="32">
                  <c:v>3910.830322265625</c:v>
                </c:pt>
                <c:pt idx="33">
                  <c:v>3864.35546875</c:v>
                </c:pt>
                <c:pt idx="34">
                  <c:v>3874.23291015625</c:v>
                </c:pt>
                <c:pt idx="35">
                  <c:v>3941.676513671875</c:v>
                </c:pt>
                <c:pt idx="36">
                  <c:v>3964.932373046875</c:v>
                </c:pt>
                <c:pt idx="37">
                  <c:v>4057.412353515625</c:v>
                </c:pt>
                <c:pt idx="38">
                  <c:v>4408.54345703125</c:v>
                </c:pt>
                <c:pt idx="39">
                  <c:v>4721.43115234375</c:v>
                </c:pt>
                <c:pt idx="40">
                  <c:v>5788.88720703125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EE01-4A51-9BB3-7C312A8EB151}"/>
            </c:ext>
          </c:extLst>
        </c:ser>
        <c:ser>
          <c:idx val="35"/>
          <c:order val="35"/>
          <c:tx>
            <c:strRef>
              <c:f>Skymaps!$D$505</c:f>
              <c:strCache>
                <c:ptCount val="1"/>
                <c:pt idx="0">
                  <c:v>35000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Skymaps!$E$505:$BC$505</c:f>
              <c:numCache>
                <c:formatCode>General</c:formatCode>
                <c:ptCount val="51"/>
                <c:pt idx="31">
                  <c:v>4415.0810546875</c:v>
                </c:pt>
                <c:pt idx="32">
                  <c:v>4025.6884765625</c:v>
                </c:pt>
                <c:pt idx="33">
                  <c:v>3921.73583984375</c:v>
                </c:pt>
                <c:pt idx="34">
                  <c:v>3880.299560546875</c:v>
                </c:pt>
                <c:pt idx="35">
                  <c:v>3884.193603515625</c:v>
                </c:pt>
                <c:pt idx="36">
                  <c:v>4004.580078125</c:v>
                </c:pt>
                <c:pt idx="37">
                  <c:v>4078.958984375</c:v>
                </c:pt>
                <c:pt idx="38">
                  <c:v>4295.38232421875</c:v>
                </c:pt>
                <c:pt idx="39">
                  <c:v>4811.91650390625</c:v>
                </c:pt>
                <c:pt idx="40">
                  <c:v>5696.3671875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EE01-4A51-9BB3-7C312A8EB151}"/>
            </c:ext>
          </c:extLst>
        </c:ser>
        <c:ser>
          <c:idx val="36"/>
          <c:order val="36"/>
          <c:tx>
            <c:strRef>
              <c:f>Skymaps!$D$506</c:f>
              <c:strCache>
                <c:ptCount val="1"/>
                <c:pt idx="0">
                  <c:v>36000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Skymaps!$E$506:$BC$506</c:f>
              <c:numCache>
                <c:formatCode>General</c:formatCode>
                <c:ptCount val="51"/>
                <c:pt idx="33">
                  <c:v>4116.05615234375</c:v>
                </c:pt>
                <c:pt idx="34">
                  <c:v>4001.2666015625</c:v>
                </c:pt>
                <c:pt idx="35">
                  <c:v>3951.75244140625</c:v>
                </c:pt>
                <c:pt idx="36">
                  <c:v>4017.831298828125</c:v>
                </c:pt>
                <c:pt idx="37">
                  <c:v>4113.4052734375</c:v>
                </c:pt>
                <c:pt idx="38">
                  <c:v>4397.7578125</c:v>
                </c:pt>
                <c:pt idx="39">
                  <c:v>4744.568359375</c:v>
                </c:pt>
                <c:pt idx="40">
                  <c:v>5880.75927734375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EE01-4A51-9BB3-7C312A8EB151}"/>
            </c:ext>
          </c:extLst>
        </c:ser>
        <c:ser>
          <c:idx val="37"/>
          <c:order val="37"/>
          <c:tx>
            <c:strRef>
              <c:f>Skymaps!$D$507</c:f>
              <c:strCache>
                <c:ptCount val="1"/>
                <c:pt idx="0">
                  <c:v>37000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Skymaps!$E$507:$BC$507</c:f>
              <c:numCache>
                <c:formatCode>General</c:formatCode>
                <c:ptCount val="51"/>
                <c:pt idx="35">
                  <c:v>4105.3876953125</c:v>
                </c:pt>
                <c:pt idx="36">
                  <c:v>4135.06494140625</c:v>
                </c:pt>
                <c:pt idx="37">
                  <c:v>4167.87548828125</c:v>
                </c:pt>
                <c:pt idx="38">
                  <c:v>4421.712890625</c:v>
                </c:pt>
                <c:pt idx="39">
                  <c:v>5017.74853515625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EE01-4A51-9BB3-7C312A8EB151}"/>
            </c:ext>
          </c:extLst>
        </c:ser>
        <c:ser>
          <c:idx val="38"/>
          <c:order val="38"/>
          <c:tx>
            <c:strRef>
              <c:f>Skymaps!$D$508</c:f>
              <c:strCache>
                <c:ptCount val="1"/>
                <c:pt idx="0">
                  <c:v>38000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Skymaps!$E$508:$BC$508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6-EE01-4A51-9BB3-7C312A8EB151}"/>
            </c:ext>
          </c:extLst>
        </c:ser>
        <c:ser>
          <c:idx val="39"/>
          <c:order val="39"/>
          <c:tx>
            <c:strRef>
              <c:f>Skymaps!$D$509</c:f>
              <c:strCache>
                <c:ptCount val="1"/>
                <c:pt idx="0">
                  <c:v>39000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Skymaps!$E$509:$BC$509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EE01-4A51-9BB3-7C312A8EB151}"/>
            </c:ext>
          </c:extLst>
        </c:ser>
        <c:ser>
          <c:idx val="40"/>
          <c:order val="40"/>
          <c:tx>
            <c:strRef>
              <c:f>Skymaps!$D$510</c:f>
              <c:strCache>
                <c:ptCount val="1"/>
                <c:pt idx="0">
                  <c:v>40000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Skymaps!$E$510:$BC$510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EE01-4A51-9BB3-7C312A8EB151}"/>
            </c:ext>
          </c:extLst>
        </c:ser>
        <c:ser>
          <c:idx val="41"/>
          <c:order val="41"/>
          <c:tx>
            <c:strRef>
              <c:f>Skymaps!$D$511</c:f>
              <c:strCache>
                <c:ptCount val="1"/>
                <c:pt idx="0">
                  <c:v>41000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Skymaps!$E$511:$BC$511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EE01-4A51-9BB3-7C312A8EB151}"/>
            </c:ext>
          </c:extLst>
        </c:ser>
        <c:ser>
          <c:idx val="42"/>
          <c:order val="42"/>
          <c:tx>
            <c:strRef>
              <c:f>Skymaps!$D$512</c:f>
              <c:strCache>
                <c:ptCount val="1"/>
                <c:pt idx="0">
                  <c:v>42000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Skymaps!$E$512:$BC$512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EE01-4A51-9BB3-7C312A8EB151}"/>
            </c:ext>
          </c:extLst>
        </c:ser>
        <c:ser>
          <c:idx val="43"/>
          <c:order val="43"/>
          <c:tx>
            <c:strRef>
              <c:f>Skymaps!$D$513</c:f>
              <c:strCache>
                <c:ptCount val="1"/>
                <c:pt idx="0">
                  <c:v>43000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Skymaps!$E$513:$BC$513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EE01-4A51-9BB3-7C312A8EB151}"/>
            </c:ext>
          </c:extLst>
        </c:ser>
        <c:ser>
          <c:idx val="44"/>
          <c:order val="44"/>
          <c:tx>
            <c:strRef>
              <c:f>Skymaps!$D$514</c:f>
              <c:strCache>
                <c:ptCount val="1"/>
                <c:pt idx="0">
                  <c:v>44000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Skymaps!$E$514:$BC$514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EE01-4A51-9BB3-7C312A8EB151}"/>
            </c:ext>
          </c:extLst>
        </c:ser>
        <c:ser>
          <c:idx val="45"/>
          <c:order val="45"/>
          <c:tx>
            <c:strRef>
              <c:f>Skymaps!$D$515</c:f>
              <c:strCache>
                <c:ptCount val="1"/>
                <c:pt idx="0">
                  <c:v>45000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Skymaps!$E$515:$BC$515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EE01-4A51-9BB3-7C312A8EB151}"/>
            </c:ext>
          </c:extLst>
        </c:ser>
        <c:ser>
          <c:idx val="46"/>
          <c:order val="46"/>
          <c:tx>
            <c:strRef>
              <c:f>Skymaps!$D$516</c:f>
              <c:strCache>
                <c:ptCount val="1"/>
                <c:pt idx="0">
                  <c:v>46000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Skymaps!$E$516:$BC$516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EE01-4A51-9BB3-7C312A8EB151}"/>
            </c:ext>
          </c:extLst>
        </c:ser>
        <c:ser>
          <c:idx val="47"/>
          <c:order val="47"/>
          <c:tx>
            <c:strRef>
              <c:f>Skymaps!$D$517</c:f>
              <c:strCache>
                <c:ptCount val="1"/>
                <c:pt idx="0">
                  <c:v>47000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Skymaps!$E$517:$BC$517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EE01-4A51-9BB3-7C312A8EB151}"/>
            </c:ext>
          </c:extLst>
        </c:ser>
        <c:ser>
          <c:idx val="48"/>
          <c:order val="48"/>
          <c:tx>
            <c:strRef>
              <c:f>Skymaps!$D$518</c:f>
              <c:strCache>
                <c:ptCount val="1"/>
                <c:pt idx="0">
                  <c:v>48000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Skymaps!$E$518:$BC$518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EE01-4A51-9BB3-7C312A8EB151}"/>
            </c:ext>
          </c:extLst>
        </c:ser>
        <c:ser>
          <c:idx val="49"/>
          <c:order val="49"/>
          <c:tx>
            <c:strRef>
              <c:f>Skymaps!$D$519</c:f>
              <c:strCache>
                <c:ptCount val="1"/>
                <c:pt idx="0">
                  <c:v>49000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Skymaps!$E$519:$BC$519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EE01-4A51-9BB3-7C312A8EB151}"/>
            </c:ext>
          </c:extLst>
        </c:ser>
        <c:ser>
          <c:idx val="50"/>
          <c:order val="50"/>
          <c:tx>
            <c:strRef>
              <c:f>Skymaps!$D$520</c:f>
              <c:strCache>
                <c:ptCount val="1"/>
                <c:pt idx="0">
                  <c:v>50000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Skymaps!$E$520:$BC$520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EE01-4A51-9BB3-7C312A8EB151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5"/>
            <c:spPr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6"/>
            <c:spPr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7"/>
            <c:spPr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8"/>
            <c:spPr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19"/>
            <c:spPr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0"/>
            <c:spPr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1"/>
            <c:spPr>
              <a:ln w="9525" cap="rnd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2"/>
            <c:spPr>
              <a:ln w="9525" cap="rnd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3"/>
            <c:spPr>
              <a:ln w="9525" cap="rnd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4"/>
            <c:spPr>
              <a:ln w="9525" cap="rnd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5"/>
            <c:spPr>
              <a:ln w="9525" cap="rnd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6"/>
            <c:spPr>
              <a:ln w="9525" cap="rnd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7"/>
            <c:spPr>
              <a:ln w="9525" cap="rnd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8"/>
            <c:spPr>
              <a:ln w="9525" cap="rnd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9"/>
            <c:spPr>
              <a:ln w="9525" cap="rnd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30"/>
            <c:spPr>
              <a:ln w="9525" cap="rnd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bandFmt>
          <c:bandFmt>
            <c:idx val="31"/>
            <c:spPr>
              <a:ln w="9525" cap="rnd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bandFmt>
          <c:bandFmt>
            <c:idx val="32"/>
            <c:spPr>
              <a:ln w="9525" cap="rnd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bandFmt>
          <c:bandFmt>
            <c:idx val="33"/>
            <c:spPr>
              <a:ln w="9525" cap="rnd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bandFmt>
        </c:bandFmts>
        <c:axId val="425855136"/>
        <c:axId val="425856776"/>
        <c:axId val="617007864"/>
      </c:surfaceChart>
      <c:catAx>
        <c:axId val="425855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56776"/>
        <c:crosses val="autoZero"/>
        <c:auto val="1"/>
        <c:lblAlgn val="ctr"/>
        <c:lblOffset val="100"/>
        <c:noMultiLvlLbl val="0"/>
      </c:catAx>
      <c:valAx>
        <c:axId val="425856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55136"/>
        <c:crosses val="autoZero"/>
        <c:crossBetween val="midCat"/>
        <c:majorUnit val="500"/>
      </c:valAx>
      <c:serAx>
        <c:axId val="6170078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56776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NZmax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Skymaps!$D$886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Skymaps!$E$886:$BC$886</c:f>
              <c:numCache>
                <c:formatCode>General</c:formatCode>
                <c:ptCount val="51"/>
                <c:pt idx="13">
                  <c:v>1.0753775835037231</c:v>
                </c:pt>
                <c:pt idx="14">
                  <c:v>1.2314767837524414</c:v>
                </c:pt>
                <c:pt idx="15">
                  <c:v>1.395654559135437</c:v>
                </c:pt>
                <c:pt idx="16">
                  <c:v>1.562755823135376</c:v>
                </c:pt>
                <c:pt idx="17">
                  <c:v>1.7357687950134277</c:v>
                </c:pt>
                <c:pt idx="18">
                  <c:v>1.9141032695770264</c:v>
                </c:pt>
                <c:pt idx="19">
                  <c:v>2.0971686840057373</c:v>
                </c:pt>
                <c:pt idx="20">
                  <c:v>2.2843749523162842</c:v>
                </c:pt>
                <c:pt idx="21">
                  <c:v>2.4693160057067871</c:v>
                </c:pt>
                <c:pt idx="22">
                  <c:v>2.6560828685760498</c:v>
                </c:pt>
                <c:pt idx="23">
                  <c:v>2.8440060615539551</c:v>
                </c:pt>
                <c:pt idx="24">
                  <c:v>3.0324161052703857</c:v>
                </c:pt>
                <c:pt idx="25">
                  <c:v>3.2206437587738037</c:v>
                </c:pt>
                <c:pt idx="26">
                  <c:v>3.4059622287750244</c:v>
                </c:pt>
                <c:pt idx="27">
                  <c:v>3.5894362926483154</c:v>
                </c:pt>
                <c:pt idx="28">
                  <c:v>3.770378589630127</c:v>
                </c:pt>
                <c:pt idx="29">
                  <c:v>3.9481015205383301</c:v>
                </c:pt>
                <c:pt idx="30">
                  <c:v>4.1219167709350586</c:v>
                </c:pt>
                <c:pt idx="31">
                  <c:v>4.2618927955627441</c:v>
                </c:pt>
                <c:pt idx="32">
                  <c:v>4.3927512168884277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F1-4A4F-AFA1-DEB15FDA207C}"/>
            </c:ext>
          </c:extLst>
        </c:ser>
        <c:ser>
          <c:idx val="1"/>
          <c:order val="1"/>
          <c:tx>
            <c:strRef>
              <c:f>Skymaps!$D$887</c:f>
              <c:strCache>
                <c:ptCount val="1"/>
                <c:pt idx="0">
                  <c:v>1000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Skymaps!$E$887:$BC$887</c:f>
              <c:numCache>
                <c:formatCode>General</c:formatCode>
                <c:ptCount val="51"/>
                <c:pt idx="14">
                  <c:v>1.1876230239868164</c:v>
                </c:pt>
                <c:pt idx="15">
                  <c:v>1.3459541797637939</c:v>
                </c:pt>
                <c:pt idx="16">
                  <c:v>1.507104754447937</c:v>
                </c:pt>
                <c:pt idx="17">
                  <c:v>1.6739566326141357</c:v>
                </c:pt>
                <c:pt idx="18">
                  <c:v>1.8459404706954956</c:v>
                </c:pt>
                <c:pt idx="19">
                  <c:v>2.0224869251251221</c:v>
                </c:pt>
                <c:pt idx="20">
                  <c:v>2.2030265331268311</c:v>
                </c:pt>
                <c:pt idx="21">
                  <c:v>2.3813815116882324</c:v>
                </c:pt>
                <c:pt idx="22">
                  <c:v>2.5614974498748779</c:v>
                </c:pt>
                <c:pt idx="23">
                  <c:v>2.7427287101745605</c:v>
                </c:pt>
                <c:pt idx="24">
                  <c:v>2.924429178237915</c:v>
                </c:pt>
                <c:pt idx="25">
                  <c:v>3.1059541702270508</c:v>
                </c:pt>
                <c:pt idx="26">
                  <c:v>3.2846729755401611</c:v>
                </c:pt>
                <c:pt idx="27">
                  <c:v>3.461613655090332</c:v>
                </c:pt>
                <c:pt idx="28">
                  <c:v>3.6361126899719238</c:v>
                </c:pt>
                <c:pt idx="29">
                  <c:v>3.8075063228607178</c:v>
                </c:pt>
                <c:pt idx="30">
                  <c:v>3.9751319885253906</c:v>
                </c:pt>
                <c:pt idx="31">
                  <c:v>4.1101231575012207</c:v>
                </c:pt>
                <c:pt idx="32">
                  <c:v>4.2363214492797852</c:v>
                </c:pt>
                <c:pt idx="33">
                  <c:v>4.3528885841369629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F1-4A4F-AFA1-DEB15FDA207C}"/>
            </c:ext>
          </c:extLst>
        </c:ser>
        <c:ser>
          <c:idx val="2"/>
          <c:order val="2"/>
          <c:tx>
            <c:strRef>
              <c:f>Skymaps!$D$888</c:f>
              <c:strCache>
                <c:ptCount val="1"/>
                <c:pt idx="0">
                  <c:v>2000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Skymaps!$E$888:$BC$888</c:f>
              <c:numCache>
                <c:formatCode>General</c:formatCode>
                <c:ptCount val="51"/>
                <c:pt idx="14">
                  <c:v>1.1450464725494385</c:v>
                </c:pt>
                <c:pt idx="15">
                  <c:v>1.2977014780044556</c:v>
                </c:pt>
                <c:pt idx="16">
                  <c:v>1.4530748128890991</c:v>
                </c:pt>
                <c:pt idx="17">
                  <c:v>1.6139450073242188</c:v>
                </c:pt>
                <c:pt idx="18">
                  <c:v>1.7797632217407227</c:v>
                </c:pt>
                <c:pt idx="19">
                  <c:v>1.9499800205230713</c:v>
                </c:pt>
                <c:pt idx="20">
                  <c:v>2.1240475177764893</c:v>
                </c:pt>
                <c:pt idx="21">
                  <c:v>2.2960085868835449</c:v>
                </c:pt>
                <c:pt idx="22">
                  <c:v>2.4696671962738037</c:v>
                </c:pt>
                <c:pt idx="23">
                  <c:v>2.6444013118743896</c:v>
                </c:pt>
                <c:pt idx="24">
                  <c:v>2.8195879459381104</c:v>
                </c:pt>
                <c:pt idx="25">
                  <c:v>2.9946048259735107</c:v>
                </c:pt>
                <c:pt idx="26">
                  <c:v>3.1669168472290039</c:v>
                </c:pt>
                <c:pt idx="27">
                  <c:v>3.3375139236450195</c:v>
                </c:pt>
                <c:pt idx="28">
                  <c:v>3.5057570934295654</c:v>
                </c:pt>
                <c:pt idx="29">
                  <c:v>3.6710066795349121</c:v>
                </c:pt>
                <c:pt idx="30">
                  <c:v>3.8326230049133301</c:v>
                </c:pt>
                <c:pt idx="31">
                  <c:v>3.9627745151519775</c:v>
                </c:pt>
                <c:pt idx="32">
                  <c:v>4.0844488143920898</c:v>
                </c:pt>
                <c:pt idx="33">
                  <c:v>4.196835994720459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F1-4A4F-AFA1-DEB15FDA207C}"/>
            </c:ext>
          </c:extLst>
        </c:ser>
        <c:ser>
          <c:idx val="3"/>
          <c:order val="3"/>
          <c:tx>
            <c:strRef>
              <c:f>Skymaps!$D$889</c:f>
              <c:strCache>
                <c:ptCount val="1"/>
                <c:pt idx="0">
                  <c:v>3000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Skymaps!$E$889:$BC$889</c:f>
              <c:numCache>
                <c:formatCode>General</c:formatCode>
                <c:ptCount val="51"/>
                <c:pt idx="14">
                  <c:v>1.1037181615829468</c:v>
                </c:pt>
                <c:pt idx="15">
                  <c:v>1.2508634328842163</c:v>
                </c:pt>
                <c:pt idx="16">
                  <c:v>1.4006288051605225</c:v>
                </c:pt>
                <c:pt idx="17">
                  <c:v>1.5556926727294922</c:v>
                </c:pt>
                <c:pt idx="18">
                  <c:v>1.7155258655548096</c:v>
                </c:pt>
                <c:pt idx="19">
                  <c:v>1.8795994520187378</c:v>
                </c:pt>
                <c:pt idx="20">
                  <c:v>2.0473840236663818</c:v>
                </c:pt>
                <c:pt idx="21">
                  <c:v>2.2131383419036865</c:v>
                </c:pt>
                <c:pt idx="22">
                  <c:v>2.3805291652679443</c:v>
                </c:pt>
                <c:pt idx="23">
                  <c:v>2.5489566326141357</c:v>
                </c:pt>
                <c:pt idx="24">
                  <c:v>2.717820405960083</c:v>
                </c:pt>
                <c:pt idx="25">
                  <c:v>2.8865203857421875</c:v>
                </c:pt>
                <c:pt idx="26">
                  <c:v>3.0526130199432373</c:v>
                </c:pt>
                <c:pt idx="27">
                  <c:v>3.217052698135376</c:v>
                </c:pt>
                <c:pt idx="28">
                  <c:v>3.3792235851287842</c:v>
                </c:pt>
                <c:pt idx="29">
                  <c:v>3.538508415222168</c:v>
                </c:pt>
                <c:pt idx="30">
                  <c:v>3.694291353225708</c:v>
                </c:pt>
                <c:pt idx="31">
                  <c:v>3.8197457790374756</c:v>
                </c:pt>
                <c:pt idx="32">
                  <c:v>3.9370284080505371</c:v>
                </c:pt>
                <c:pt idx="33">
                  <c:v>4.0453596115112305</c:v>
                </c:pt>
                <c:pt idx="34">
                  <c:v>4.1439595222473145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6F1-4A4F-AFA1-DEB15FDA207C}"/>
            </c:ext>
          </c:extLst>
        </c:ser>
        <c:ser>
          <c:idx val="4"/>
          <c:order val="4"/>
          <c:tx>
            <c:strRef>
              <c:f>Skymaps!$D$890</c:f>
              <c:strCache>
                <c:ptCount val="1"/>
                <c:pt idx="0">
                  <c:v>4000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Skymaps!$E$890:$BC$890</c:f>
              <c:numCache>
                <c:formatCode>General</c:formatCode>
                <c:ptCount val="51"/>
                <c:pt idx="14">
                  <c:v>1.0636099576950073</c:v>
                </c:pt>
                <c:pt idx="15">
                  <c:v>1.2054080963134766</c:v>
                </c:pt>
                <c:pt idx="16">
                  <c:v>1.3497310876846313</c:v>
                </c:pt>
                <c:pt idx="17">
                  <c:v>1.4991601705551147</c:v>
                </c:pt>
                <c:pt idx="18">
                  <c:v>1.653185248374939</c:v>
                </c:pt>
                <c:pt idx="19">
                  <c:v>1.8112964630126953</c:v>
                </c:pt>
                <c:pt idx="20">
                  <c:v>1.9729838371276855</c:v>
                </c:pt>
                <c:pt idx="21">
                  <c:v>2.1327147483825684</c:v>
                </c:pt>
                <c:pt idx="22">
                  <c:v>2.294022798538208</c:v>
                </c:pt>
                <c:pt idx="23">
                  <c:v>2.4563298225402832</c:v>
                </c:pt>
                <c:pt idx="24">
                  <c:v>2.6190571784973145</c:v>
                </c:pt>
                <c:pt idx="25">
                  <c:v>2.7816269397735596</c:v>
                </c:pt>
                <c:pt idx="26">
                  <c:v>2.9416837692260742</c:v>
                </c:pt>
                <c:pt idx="27">
                  <c:v>3.1001479625701904</c:v>
                </c:pt>
                <c:pt idx="28">
                  <c:v>3.2564256191253662</c:v>
                </c:pt>
                <c:pt idx="29">
                  <c:v>3.4099221229553223</c:v>
                </c:pt>
                <c:pt idx="30">
                  <c:v>3.5600440502166748</c:v>
                </c:pt>
                <c:pt idx="31">
                  <c:v>3.6809394359588623</c:v>
                </c:pt>
                <c:pt idx="32">
                  <c:v>3.7939598560333252</c:v>
                </c:pt>
                <c:pt idx="33">
                  <c:v>3.8983547687530518</c:v>
                </c:pt>
                <c:pt idx="34">
                  <c:v>3.9933714866638184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F1-4A4F-AFA1-DEB15FDA207C}"/>
            </c:ext>
          </c:extLst>
        </c:ser>
        <c:ser>
          <c:idx val="5"/>
          <c:order val="5"/>
          <c:tx>
            <c:strRef>
              <c:f>Skymaps!$D$891</c:f>
              <c:strCache>
                <c:ptCount val="1"/>
                <c:pt idx="0">
                  <c:v>5000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Skymaps!$E$891:$BC$891</c:f>
              <c:numCache>
                <c:formatCode>General</c:formatCode>
                <c:ptCount val="51"/>
                <c:pt idx="15">
                  <c:v>1.1613038778305054</c:v>
                </c:pt>
                <c:pt idx="16">
                  <c:v>1.3003462553024292</c:v>
                </c:pt>
                <c:pt idx="17">
                  <c:v>1.4443079233169556</c:v>
                </c:pt>
                <c:pt idx="18">
                  <c:v>1.5926972627639771</c:v>
                </c:pt>
                <c:pt idx="19">
                  <c:v>1.745023250579834</c:v>
                </c:pt>
                <c:pt idx="20">
                  <c:v>1.9007948637008667</c:v>
                </c:pt>
                <c:pt idx="21">
                  <c:v>2.0546817779541016</c:v>
                </c:pt>
                <c:pt idx="22">
                  <c:v>2.210087776184082</c:v>
                </c:pt>
                <c:pt idx="23">
                  <c:v>2.3664557933807373</c:v>
                </c:pt>
                <c:pt idx="24">
                  <c:v>2.5232293605804443</c:v>
                </c:pt>
                <c:pt idx="25">
                  <c:v>2.6798505783081055</c:v>
                </c:pt>
                <c:pt idx="26">
                  <c:v>2.8340511322021484</c:v>
                </c:pt>
                <c:pt idx="27">
                  <c:v>2.9867174625396729</c:v>
                </c:pt>
                <c:pt idx="28">
                  <c:v>3.1372771263122559</c:v>
                </c:pt>
                <c:pt idx="29">
                  <c:v>3.2851576805114746</c:v>
                </c:pt>
                <c:pt idx="30">
                  <c:v>3.4297869205474854</c:v>
                </c:pt>
                <c:pt idx="31">
                  <c:v>3.5462584495544434</c:v>
                </c:pt>
                <c:pt idx="32">
                  <c:v>3.6551439762115479</c:v>
                </c:pt>
                <c:pt idx="33">
                  <c:v>3.7557189464569092</c:v>
                </c:pt>
                <c:pt idx="34">
                  <c:v>3.8472592830657959</c:v>
                </c:pt>
                <c:pt idx="35">
                  <c:v>3.9290406703948975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6F1-4A4F-AFA1-DEB15FDA207C}"/>
            </c:ext>
          </c:extLst>
        </c:ser>
        <c:ser>
          <c:idx val="6"/>
          <c:order val="6"/>
          <c:tx>
            <c:strRef>
              <c:f>Skymaps!$D$892</c:f>
              <c:strCache>
                <c:ptCount val="1"/>
                <c:pt idx="0">
                  <c:v>6000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Skymaps!$E$892:$BC$892</c:f>
              <c:numCache>
                <c:formatCode>General</c:formatCode>
                <c:ptCount val="51"/>
                <c:pt idx="15">
                  <c:v>1.1185194253921509</c:v>
                </c:pt>
                <c:pt idx="16">
                  <c:v>1.2524393796920776</c:v>
                </c:pt>
                <c:pt idx="17">
                  <c:v>1.3910971879959106</c:v>
                </c:pt>
                <c:pt idx="18">
                  <c:v>1.5340197086334229</c:v>
                </c:pt>
                <c:pt idx="19">
                  <c:v>1.6807339191436768</c:v>
                </c:pt>
                <c:pt idx="20">
                  <c:v>1.8307664394378662</c:v>
                </c:pt>
                <c:pt idx="21">
                  <c:v>1.9789837598800659</c:v>
                </c:pt>
                <c:pt idx="22">
                  <c:v>2.128664493560791</c:v>
                </c:pt>
                <c:pt idx="23">
                  <c:v>2.2792718410491943</c:v>
                </c:pt>
                <c:pt idx="24">
                  <c:v>2.4302690029144287</c:v>
                </c:pt>
                <c:pt idx="25">
                  <c:v>2.581120491027832</c:v>
                </c:pt>
                <c:pt idx="26">
                  <c:v>2.7296402454376221</c:v>
                </c:pt>
                <c:pt idx="27">
                  <c:v>2.8766820430755615</c:v>
                </c:pt>
                <c:pt idx="28">
                  <c:v>3.0216946601867676</c:v>
                </c:pt>
                <c:pt idx="29">
                  <c:v>3.1641271114349365</c:v>
                </c:pt>
                <c:pt idx="30">
                  <c:v>3.3034276962280273</c:v>
                </c:pt>
                <c:pt idx="31">
                  <c:v>3.4156086444854736</c:v>
                </c:pt>
                <c:pt idx="32">
                  <c:v>3.5204823017120361</c:v>
                </c:pt>
                <c:pt idx="33">
                  <c:v>3.6173524856567383</c:v>
                </c:pt>
                <c:pt idx="34">
                  <c:v>3.7055199146270752</c:v>
                </c:pt>
                <c:pt idx="35">
                  <c:v>3.7842884063720703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6F1-4A4F-AFA1-DEB15FDA207C}"/>
            </c:ext>
          </c:extLst>
        </c:ser>
        <c:ser>
          <c:idx val="7"/>
          <c:order val="7"/>
          <c:tx>
            <c:strRef>
              <c:f>Skymaps!$D$893</c:f>
              <c:strCache>
                <c:ptCount val="1"/>
                <c:pt idx="0">
                  <c:v>7000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Skymaps!$E$893:$BC$893</c:f>
              <c:numCache>
                <c:formatCode>General</c:formatCode>
                <c:ptCount val="51"/>
                <c:pt idx="16">
                  <c:v>1.2059762477874756</c:v>
                </c:pt>
                <c:pt idx="17">
                  <c:v>1.3394900560379028</c:v>
                </c:pt>
                <c:pt idx="18">
                  <c:v>1.4771105051040649</c:v>
                </c:pt>
                <c:pt idx="19">
                  <c:v>1.6183817386627197</c:v>
                </c:pt>
                <c:pt idx="20">
                  <c:v>1.7628482580184937</c:v>
                </c:pt>
                <c:pt idx="21">
                  <c:v>1.9055670499801636</c:v>
                </c:pt>
                <c:pt idx="22">
                  <c:v>2.0496947765350342</c:v>
                </c:pt>
                <c:pt idx="23">
                  <c:v>2.1947150230407715</c:v>
                </c:pt>
                <c:pt idx="24">
                  <c:v>2.3401107788085938</c:v>
                </c:pt>
                <c:pt idx="25">
                  <c:v>2.485365629196167</c:v>
                </c:pt>
                <c:pt idx="26">
                  <c:v>2.628375768661499</c:v>
                </c:pt>
                <c:pt idx="27">
                  <c:v>2.7699623107910156</c:v>
                </c:pt>
                <c:pt idx="28">
                  <c:v>2.9095954895019531</c:v>
                </c:pt>
                <c:pt idx="29">
                  <c:v>3.046743631362915</c:v>
                </c:pt>
                <c:pt idx="30">
                  <c:v>3.1808764934539795</c:v>
                </c:pt>
                <c:pt idx="31">
                  <c:v>3.288895845413208</c:v>
                </c:pt>
                <c:pt idx="32">
                  <c:v>3.3898792266845703</c:v>
                </c:pt>
                <c:pt idx="33">
                  <c:v>3.4831550121307373</c:v>
                </c:pt>
                <c:pt idx="34">
                  <c:v>3.5680520534515381</c:v>
                </c:pt>
                <c:pt idx="35">
                  <c:v>3.6438984870910645</c:v>
                </c:pt>
                <c:pt idx="36">
                  <c:v>3.6866888999938965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6F1-4A4F-AFA1-DEB15FDA207C}"/>
            </c:ext>
          </c:extLst>
        </c:ser>
        <c:ser>
          <c:idx val="8"/>
          <c:order val="8"/>
          <c:tx>
            <c:strRef>
              <c:f>Skymaps!$D$894</c:f>
              <c:strCache>
                <c:ptCount val="1"/>
                <c:pt idx="0">
                  <c:v>8000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Skymaps!$E$894:$BC$894</c:f>
              <c:numCache>
                <c:formatCode>General</c:formatCode>
                <c:ptCount val="51"/>
                <c:pt idx="16">
                  <c:v>1.1609228849411011</c:v>
                </c:pt>
                <c:pt idx="17">
                  <c:v>1.2894489765167236</c:v>
                </c:pt>
                <c:pt idx="18">
                  <c:v>1.4219279289245605</c:v>
                </c:pt>
                <c:pt idx="19">
                  <c:v>1.5579216480255127</c:v>
                </c:pt>
                <c:pt idx="20">
                  <c:v>1.6969913244247437</c:v>
                </c:pt>
                <c:pt idx="21">
                  <c:v>1.8343782424926758</c:v>
                </c:pt>
                <c:pt idx="22">
                  <c:v>1.9731216430664063</c:v>
                </c:pt>
                <c:pt idx="23">
                  <c:v>2.1127238273620605</c:v>
                </c:pt>
                <c:pt idx="24">
                  <c:v>2.252687931060791</c:v>
                </c:pt>
                <c:pt idx="25">
                  <c:v>2.3925166130065918</c:v>
                </c:pt>
                <c:pt idx="26">
                  <c:v>2.5301837921142578</c:v>
                </c:pt>
                <c:pt idx="27">
                  <c:v>2.6664812564849854</c:v>
                </c:pt>
                <c:pt idx="28">
                  <c:v>2.8008975982666016</c:v>
                </c:pt>
                <c:pt idx="29">
                  <c:v>2.9329221248626709</c:v>
                </c:pt>
                <c:pt idx="30">
                  <c:v>3.0620441436767578</c:v>
                </c:pt>
                <c:pt idx="31">
                  <c:v>3.1660280227661133</c:v>
                </c:pt>
                <c:pt idx="32">
                  <c:v>3.2632389068603516</c:v>
                </c:pt>
                <c:pt idx="33">
                  <c:v>3.3530302047729492</c:v>
                </c:pt>
                <c:pt idx="34">
                  <c:v>3.4347555637359619</c:v>
                </c:pt>
                <c:pt idx="35">
                  <c:v>3.5077681541442871</c:v>
                </c:pt>
                <c:pt idx="36">
                  <c:v>3.5489599704742432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6F1-4A4F-AFA1-DEB15FDA207C}"/>
            </c:ext>
          </c:extLst>
        </c:ser>
        <c:ser>
          <c:idx val="9"/>
          <c:order val="9"/>
          <c:tx>
            <c:strRef>
              <c:f>Skymaps!$D$895</c:f>
              <c:strCache>
                <c:ptCount val="1"/>
                <c:pt idx="0">
                  <c:v>9000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Skymaps!$E$895:$BC$895</c:f>
              <c:numCache>
                <c:formatCode>General</c:formatCode>
                <c:ptCount val="51"/>
                <c:pt idx="17">
                  <c:v>1.2409368753433228</c:v>
                </c:pt>
                <c:pt idx="18">
                  <c:v>1.3684318065643311</c:v>
                </c:pt>
                <c:pt idx="19">
                  <c:v>1.4993091821670532</c:v>
                </c:pt>
                <c:pt idx="20">
                  <c:v>1.6331466436386108</c:v>
                </c:pt>
                <c:pt idx="21">
                  <c:v>1.7653648853302002</c:v>
                </c:pt>
                <c:pt idx="22">
                  <c:v>1.8988882303237915</c:v>
                </c:pt>
                <c:pt idx="23">
                  <c:v>2.0332386493682861</c:v>
                </c:pt>
                <c:pt idx="24">
                  <c:v>2.1679368019104004</c:v>
                </c:pt>
                <c:pt idx="25">
                  <c:v>2.3025047779083252</c:v>
                </c:pt>
                <c:pt idx="26">
                  <c:v>2.434992790222168</c:v>
                </c:pt>
                <c:pt idx="27">
                  <c:v>2.566162109375</c:v>
                </c:pt>
                <c:pt idx="28">
                  <c:v>2.6955215930938721</c:v>
                </c:pt>
                <c:pt idx="29">
                  <c:v>2.8225791454315186</c:v>
                </c:pt>
                <c:pt idx="30">
                  <c:v>2.9468433856964111</c:v>
                </c:pt>
                <c:pt idx="31">
                  <c:v>3.04691481590271</c:v>
                </c:pt>
                <c:pt idx="32">
                  <c:v>3.1404685974121094</c:v>
                </c:pt>
                <c:pt idx="33">
                  <c:v>3.226881742477417</c:v>
                </c:pt>
                <c:pt idx="34">
                  <c:v>3.3055319786071777</c:v>
                </c:pt>
                <c:pt idx="35">
                  <c:v>3.3757977485656738</c:v>
                </c:pt>
                <c:pt idx="36">
                  <c:v>3.4154400825500488</c:v>
                </c:pt>
                <c:pt idx="37">
                  <c:v>3.4430181980133057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6F1-4A4F-AFA1-DEB15FDA207C}"/>
            </c:ext>
          </c:extLst>
        </c:ser>
        <c:ser>
          <c:idx val="10"/>
          <c:order val="10"/>
          <c:tx>
            <c:strRef>
              <c:f>Skymaps!$D$896</c:f>
              <c:strCache>
                <c:ptCount val="1"/>
                <c:pt idx="0">
                  <c:v>10000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Skymaps!$E$896:$BC$896</c:f>
              <c:numCache>
                <c:formatCode>General</c:formatCode>
                <c:ptCount val="51"/>
                <c:pt idx="17">
                  <c:v>1.193917989730835</c:v>
                </c:pt>
                <c:pt idx="18">
                  <c:v>1.316582202911377</c:v>
                </c:pt>
                <c:pt idx="19">
                  <c:v>1.4425004720687866</c:v>
                </c:pt>
                <c:pt idx="20">
                  <c:v>1.5712668895721436</c:v>
                </c:pt>
                <c:pt idx="21">
                  <c:v>1.6984753608703613</c:v>
                </c:pt>
                <c:pt idx="22">
                  <c:v>1.8269397020339966</c:v>
                </c:pt>
                <c:pt idx="23">
                  <c:v>1.9561996459960938</c:v>
                </c:pt>
                <c:pt idx="24">
                  <c:v>2.08579421043396</c:v>
                </c:pt>
                <c:pt idx="25">
                  <c:v>2.2152631282806396</c:v>
                </c:pt>
                <c:pt idx="26">
                  <c:v>2.3427309989929199</c:v>
                </c:pt>
                <c:pt idx="27">
                  <c:v>2.468930721282959</c:v>
                </c:pt>
                <c:pt idx="28">
                  <c:v>2.593388557434082</c:v>
                </c:pt>
                <c:pt idx="29">
                  <c:v>2.7156319618225098</c:v>
                </c:pt>
                <c:pt idx="30">
                  <c:v>2.8351879119873047</c:v>
                </c:pt>
                <c:pt idx="31">
                  <c:v>2.9314677715301514</c:v>
                </c:pt>
                <c:pt idx="32">
                  <c:v>3.0214765071868896</c:v>
                </c:pt>
                <c:pt idx="33">
                  <c:v>3.1046154499053955</c:v>
                </c:pt>
                <c:pt idx="34">
                  <c:v>3.180286169052124</c:v>
                </c:pt>
                <c:pt idx="35">
                  <c:v>3.247889518737793</c:v>
                </c:pt>
                <c:pt idx="36">
                  <c:v>3.2860298156738281</c:v>
                </c:pt>
                <c:pt idx="37">
                  <c:v>3.3125627040863037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6F1-4A4F-AFA1-DEB15FDA207C}"/>
            </c:ext>
          </c:extLst>
        </c:ser>
        <c:ser>
          <c:idx val="11"/>
          <c:order val="11"/>
          <c:tx>
            <c:strRef>
              <c:f>Skymaps!$D$897</c:f>
              <c:strCache>
                <c:ptCount val="1"/>
                <c:pt idx="0">
                  <c:v>11000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Skymaps!$E$897:$BC$897</c:f>
              <c:numCache>
                <c:formatCode>General</c:formatCode>
                <c:ptCount val="51"/>
                <c:pt idx="17">
                  <c:v>1.1483564376831055</c:v>
                </c:pt>
                <c:pt idx="18">
                  <c:v>1.2663396596908569</c:v>
                </c:pt>
                <c:pt idx="19">
                  <c:v>1.3874527215957642</c:v>
                </c:pt>
                <c:pt idx="20">
                  <c:v>1.5113053321838379</c:v>
                </c:pt>
                <c:pt idx="21">
                  <c:v>1.6336592435836792</c:v>
                </c:pt>
                <c:pt idx="22">
                  <c:v>1.7572213411331177</c:v>
                </c:pt>
                <c:pt idx="23">
                  <c:v>1.8815481662750244</c:v>
                </c:pt>
                <c:pt idx="24">
                  <c:v>2.006197452545166</c:v>
                </c:pt>
                <c:pt idx="25">
                  <c:v>2.130725622177124</c:v>
                </c:pt>
                <c:pt idx="26">
                  <c:v>2.2533292770385742</c:v>
                </c:pt>
                <c:pt idx="27">
                  <c:v>2.3747129440307617</c:v>
                </c:pt>
                <c:pt idx="28">
                  <c:v>2.4944214820861816</c:v>
                </c:pt>
                <c:pt idx="29">
                  <c:v>2.6119999885559082</c:v>
                </c:pt>
                <c:pt idx="30">
                  <c:v>2.7269933223724365</c:v>
                </c:pt>
                <c:pt idx="31">
                  <c:v>2.8195991516113281</c:v>
                </c:pt>
                <c:pt idx="32">
                  <c:v>2.9061729907989502</c:v>
                </c:pt>
                <c:pt idx="33">
                  <c:v>2.9861390590667725</c:v>
                </c:pt>
                <c:pt idx="34">
                  <c:v>3.0589220523834229</c:v>
                </c:pt>
                <c:pt idx="35">
                  <c:v>3.1239457130432129</c:v>
                </c:pt>
                <c:pt idx="36">
                  <c:v>3.160630464553833</c:v>
                </c:pt>
                <c:pt idx="37">
                  <c:v>3.1861507892608643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6F1-4A4F-AFA1-DEB15FDA207C}"/>
            </c:ext>
          </c:extLst>
        </c:ser>
        <c:ser>
          <c:idx val="12"/>
          <c:order val="12"/>
          <c:tx>
            <c:strRef>
              <c:f>Skymaps!$D$898</c:f>
              <c:strCache>
                <c:ptCount val="1"/>
                <c:pt idx="0">
                  <c:v>12000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Skymaps!$E$898:$BC$898</c:f>
              <c:numCache>
                <c:formatCode>General</c:formatCode>
                <c:ptCount val="51"/>
                <c:pt idx="18">
                  <c:v>1.2176655530929565</c:v>
                </c:pt>
                <c:pt idx="19">
                  <c:v>1.3341236114501953</c:v>
                </c:pt>
                <c:pt idx="20">
                  <c:v>1.4532155990600586</c:v>
                </c:pt>
                <c:pt idx="21">
                  <c:v>1.5708667039871216</c:v>
                </c:pt>
                <c:pt idx="22">
                  <c:v>1.6896793842315674</c:v>
                </c:pt>
                <c:pt idx="23">
                  <c:v>1.8092278242111206</c:v>
                </c:pt>
                <c:pt idx="24">
                  <c:v>1.9290856122970581</c:v>
                </c:pt>
                <c:pt idx="25">
                  <c:v>2.0488276481628418</c:v>
                </c:pt>
                <c:pt idx="26">
                  <c:v>2.1667187213897705</c:v>
                </c:pt>
                <c:pt idx="27">
                  <c:v>2.2834367752075195</c:v>
                </c:pt>
                <c:pt idx="28">
                  <c:v>2.3985440731048584</c:v>
                </c:pt>
                <c:pt idx="29">
                  <c:v>2.5116031169891357</c:v>
                </c:pt>
                <c:pt idx="30">
                  <c:v>2.6221766471862793</c:v>
                </c:pt>
                <c:pt idx="31">
                  <c:v>2.7112226486206055</c:v>
                </c:pt>
                <c:pt idx="32">
                  <c:v>2.794468879699707</c:v>
                </c:pt>
                <c:pt idx="33">
                  <c:v>2.8713619709014893</c:v>
                </c:pt>
                <c:pt idx="34">
                  <c:v>2.9413468837738037</c:v>
                </c:pt>
                <c:pt idx="35">
                  <c:v>3.0038712024688721</c:v>
                </c:pt>
                <c:pt idx="36">
                  <c:v>3.0391459465026855</c:v>
                </c:pt>
                <c:pt idx="37">
                  <c:v>3.063685417175293</c:v>
                </c:pt>
                <c:pt idx="38">
                  <c:v>3.0423698425292969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6F1-4A4F-AFA1-DEB15FDA207C}"/>
            </c:ext>
          </c:extLst>
        </c:ser>
        <c:ser>
          <c:idx val="13"/>
          <c:order val="13"/>
          <c:tx>
            <c:strRef>
              <c:f>Skymaps!$D$899</c:f>
              <c:strCache>
                <c:ptCount val="1"/>
                <c:pt idx="0">
                  <c:v>13000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Skymaps!$E$899:$BC$899</c:f>
              <c:numCache>
                <c:formatCode>General</c:formatCode>
                <c:ptCount val="51"/>
                <c:pt idx="18">
                  <c:v>1.1705222129821777</c:v>
                </c:pt>
                <c:pt idx="19">
                  <c:v>1.2824712991714478</c:v>
                </c:pt>
                <c:pt idx="20">
                  <c:v>1.3969526290893555</c:v>
                </c:pt>
                <c:pt idx="21">
                  <c:v>1.510048508644104</c:v>
                </c:pt>
                <c:pt idx="22">
                  <c:v>1.6242613792419434</c:v>
                </c:pt>
                <c:pt idx="23">
                  <c:v>1.7391810417175293</c:v>
                </c:pt>
                <c:pt idx="24">
                  <c:v>1.8543987274169922</c:v>
                </c:pt>
                <c:pt idx="25">
                  <c:v>1.9695044755935669</c:v>
                </c:pt>
                <c:pt idx="26">
                  <c:v>2.0828313827514648</c:v>
                </c:pt>
                <c:pt idx="27">
                  <c:v>2.195030689239502</c:v>
                </c:pt>
                <c:pt idx="28">
                  <c:v>2.3056812286376953</c:v>
                </c:pt>
                <c:pt idx="29">
                  <c:v>2.4143633842468262</c:v>
                </c:pt>
                <c:pt idx="30">
                  <c:v>2.520655632019043</c:v>
                </c:pt>
                <c:pt idx="31">
                  <c:v>2.6062543392181396</c:v>
                </c:pt>
                <c:pt idx="32">
                  <c:v>2.6862776279449463</c:v>
                </c:pt>
                <c:pt idx="33">
                  <c:v>2.7601933479309082</c:v>
                </c:pt>
                <c:pt idx="34">
                  <c:v>2.8274691104888916</c:v>
                </c:pt>
                <c:pt idx="35">
                  <c:v>2.8875727653503418</c:v>
                </c:pt>
                <c:pt idx="36">
                  <c:v>2.9214816093444824</c:v>
                </c:pt>
                <c:pt idx="37">
                  <c:v>2.9450709819793701</c:v>
                </c:pt>
                <c:pt idx="38">
                  <c:v>2.9245805740356445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6F1-4A4F-AFA1-DEB15FDA207C}"/>
            </c:ext>
          </c:extLst>
        </c:ser>
        <c:ser>
          <c:idx val="14"/>
          <c:order val="14"/>
          <c:tx>
            <c:strRef>
              <c:f>Skymaps!$D$900</c:f>
              <c:strCache>
                <c:ptCount val="1"/>
                <c:pt idx="0">
                  <c:v>14000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Skymaps!$E$900:$BC$900</c:f>
              <c:numCache>
                <c:formatCode>General</c:formatCode>
                <c:ptCount val="51"/>
                <c:pt idx="19">
                  <c:v>1.2324550151824951</c:v>
                </c:pt>
                <c:pt idx="20">
                  <c:v>1.3424715995788574</c:v>
                </c:pt>
                <c:pt idx="21">
                  <c:v>1.4511568546295166</c:v>
                </c:pt>
                <c:pt idx="22">
                  <c:v>1.5609152317047119</c:v>
                </c:pt>
                <c:pt idx="23">
                  <c:v>1.6713533401489258</c:v>
                </c:pt>
                <c:pt idx="24">
                  <c:v>1.782077431678772</c:v>
                </c:pt>
                <c:pt idx="25">
                  <c:v>1.8926941156387329</c:v>
                </c:pt>
                <c:pt idx="26">
                  <c:v>2.0016012191772461</c:v>
                </c:pt>
                <c:pt idx="27">
                  <c:v>2.1094245910644531</c:v>
                </c:pt>
                <c:pt idx="28">
                  <c:v>2.2157599925994873</c:v>
                </c:pt>
                <c:pt idx="29">
                  <c:v>2.3202035427093506</c:v>
                </c:pt>
                <c:pt idx="30">
                  <c:v>2.4223504066467285</c:v>
                </c:pt>
                <c:pt idx="31">
                  <c:v>2.504610538482666</c:v>
                </c:pt>
                <c:pt idx="32">
                  <c:v>2.5815134048461914</c:v>
                </c:pt>
                <c:pt idx="33">
                  <c:v>2.6525461673736572</c:v>
                </c:pt>
                <c:pt idx="34">
                  <c:v>2.7171978950500488</c:v>
                </c:pt>
                <c:pt idx="35">
                  <c:v>2.7749576568603516</c:v>
                </c:pt>
                <c:pt idx="36">
                  <c:v>2.8075442314147949</c:v>
                </c:pt>
                <c:pt idx="37">
                  <c:v>2.8302135467529297</c:v>
                </c:pt>
                <c:pt idx="38">
                  <c:v>2.8105223178863525</c:v>
                </c:pt>
                <c:pt idx="39">
                  <c:v>2.7427816390991211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6F1-4A4F-AFA1-DEB15FDA207C}"/>
            </c:ext>
          </c:extLst>
        </c:ser>
        <c:ser>
          <c:idx val="15"/>
          <c:order val="15"/>
          <c:tx>
            <c:strRef>
              <c:f>Skymaps!$D$901</c:f>
              <c:strCache>
                <c:ptCount val="1"/>
                <c:pt idx="0">
                  <c:v>15000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Skymaps!$E$901:$BC$901</c:f>
              <c:numCache>
                <c:formatCode>General</c:formatCode>
                <c:ptCount val="51"/>
                <c:pt idx="19">
                  <c:v>1.1840347051620483</c:v>
                </c:pt>
                <c:pt idx="20">
                  <c:v>1.2897289991378784</c:v>
                </c:pt>
                <c:pt idx="21">
                  <c:v>1.3941442966461182</c:v>
                </c:pt>
                <c:pt idx="22">
                  <c:v>1.4995905160903931</c:v>
                </c:pt>
                <c:pt idx="23">
                  <c:v>1.6056896448135376</c:v>
                </c:pt>
                <c:pt idx="24">
                  <c:v>1.7120635509490967</c:v>
                </c:pt>
                <c:pt idx="25">
                  <c:v>1.8183345794677734</c:v>
                </c:pt>
                <c:pt idx="26">
                  <c:v>1.9229629039764404</c:v>
                </c:pt>
                <c:pt idx="27">
                  <c:v>2.0265500545501709</c:v>
                </c:pt>
                <c:pt idx="28">
                  <c:v>2.1287076473236084</c:v>
                </c:pt>
                <c:pt idx="29">
                  <c:v>2.2290480136871338</c:v>
                </c:pt>
                <c:pt idx="30">
                  <c:v>2.3271820545196533</c:v>
                </c:pt>
                <c:pt idx="31">
                  <c:v>2.4062104225158691</c:v>
                </c:pt>
                <c:pt idx="32">
                  <c:v>2.4800915718078613</c:v>
                </c:pt>
                <c:pt idx="33">
                  <c:v>2.5483336448669434</c:v>
                </c:pt>
                <c:pt idx="34">
                  <c:v>2.610445499420166</c:v>
                </c:pt>
                <c:pt idx="35">
                  <c:v>2.6659359931945801</c:v>
                </c:pt>
                <c:pt idx="36">
                  <c:v>2.6972424983978271</c:v>
                </c:pt>
                <c:pt idx="37">
                  <c:v>2.7190208435058594</c:v>
                </c:pt>
                <c:pt idx="38">
                  <c:v>2.7001032829284668</c:v>
                </c:pt>
                <c:pt idx="39">
                  <c:v>2.6350243091583252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6F1-4A4F-AFA1-DEB15FDA207C}"/>
            </c:ext>
          </c:extLst>
        </c:ser>
        <c:ser>
          <c:idx val="16"/>
          <c:order val="16"/>
          <c:tx>
            <c:strRef>
              <c:f>Skymaps!$D$902</c:f>
              <c:strCache>
                <c:ptCount val="1"/>
                <c:pt idx="0">
                  <c:v>16000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Skymaps!$E$902:$BC$902</c:f>
              <c:numCache>
                <c:formatCode>General</c:formatCode>
                <c:ptCount val="51"/>
                <c:pt idx="19">
                  <c:v>1.1371709108352661</c:v>
                </c:pt>
                <c:pt idx="20">
                  <c:v>1.2386817932128906</c:v>
                </c:pt>
                <c:pt idx="21">
                  <c:v>1.3389644622802734</c:v>
                </c:pt>
                <c:pt idx="22">
                  <c:v>1.4402370452880859</c:v>
                </c:pt>
                <c:pt idx="23">
                  <c:v>1.5421367883682251</c:v>
                </c:pt>
                <c:pt idx="24">
                  <c:v>1.6443006992340088</c:v>
                </c:pt>
                <c:pt idx="25">
                  <c:v>1.7463653087615967</c:v>
                </c:pt>
                <c:pt idx="26">
                  <c:v>1.8468525409698486</c:v>
                </c:pt>
                <c:pt idx="27">
                  <c:v>1.9463398456573486</c:v>
                </c:pt>
                <c:pt idx="28">
                  <c:v>2.0444540977478027</c:v>
                </c:pt>
                <c:pt idx="29">
                  <c:v>2.1408226490020752</c:v>
                </c:pt>
                <c:pt idx="30">
                  <c:v>2.2350726127624512</c:v>
                </c:pt>
                <c:pt idx="31">
                  <c:v>2.3109731674194336</c:v>
                </c:pt>
                <c:pt idx="32">
                  <c:v>2.3819301128387451</c:v>
                </c:pt>
                <c:pt idx="33">
                  <c:v>2.4474711418151855</c:v>
                </c:pt>
                <c:pt idx="34">
                  <c:v>2.507124662399292</c:v>
                </c:pt>
                <c:pt idx="35">
                  <c:v>2.5604188442230225</c:v>
                </c:pt>
                <c:pt idx="36">
                  <c:v>2.5904862880706787</c:v>
                </c:pt>
                <c:pt idx="37">
                  <c:v>2.6114029884338379</c:v>
                </c:pt>
                <c:pt idx="38">
                  <c:v>2.5932340621948242</c:v>
                </c:pt>
                <c:pt idx="39">
                  <c:v>2.5307307243347168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6F1-4A4F-AFA1-DEB15FDA207C}"/>
            </c:ext>
          </c:extLst>
        </c:ser>
        <c:ser>
          <c:idx val="17"/>
          <c:order val="17"/>
          <c:tx>
            <c:strRef>
              <c:f>Skymaps!$D$903</c:f>
              <c:strCache>
                <c:ptCount val="1"/>
                <c:pt idx="0">
                  <c:v>17000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Skymaps!$E$903:$BC$903</c:f>
              <c:numCache>
                <c:formatCode>General</c:formatCode>
                <c:ptCount val="51"/>
                <c:pt idx="20">
                  <c:v>1.1892876625061035</c:v>
                </c:pt>
                <c:pt idx="21">
                  <c:v>1.2855714559555054</c:v>
                </c:pt>
                <c:pt idx="22">
                  <c:v>1.3828057050704956</c:v>
                </c:pt>
                <c:pt idx="23">
                  <c:v>1.4806421995162964</c:v>
                </c:pt>
                <c:pt idx="24">
                  <c:v>1.5787317752838135</c:v>
                </c:pt>
                <c:pt idx="25">
                  <c:v>1.6767266988754272</c:v>
                </c:pt>
                <c:pt idx="26">
                  <c:v>1.7732069492340088</c:v>
                </c:pt>
                <c:pt idx="27">
                  <c:v>1.8687269687652588</c:v>
                </c:pt>
                <c:pt idx="28">
                  <c:v>1.9629288911819458</c:v>
                </c:pt>
                <c:pt idx="29">
                  <c:v>2.0554547309875488</c:v>
                </c:pt>
                <c:pt idx="30">
                  <c:v>2.1459462642669678</c:v>
                </c:pt>
                <c:pt idx="31">
                  <c:v>2.2188200950622559</c:v>
                </c:pt>
                <c:pt idx="32">
                  <c:v>2.2869472503662109</c:v>
                </c:pt>
                <c:pt idx="33">
                  <c:v>2.3498749732971191</c:v>
                </c:pt>
                <c:pt idx="34">
                  <c:v>2.4071497917175293</c:v>
                </c:pt>
                <c:pt idx="35">
                  <c:v>2.4583187103271484</c:v>
                </c:pt>
                <c:pt idx="36">
                  <c:v>2.4871871471405029</c:v>
                </c:pt>
                <c:pt idx="37">
                  <c:v>2.5072698593139648</c:v>
                </c:pt>
                <c:pt idx="38">
                  <c:v>2.4898252487182617</c:v>
                </c:pt>
                <c:pt idx="39">
                  <c:v>2.429814338684082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6F1-4A4F-AFA1-DEB15FDA207C}"/>
            </c:ext>
          </c:extLst>
        </c:ser>
        <c:ser>
          <c:idx val="18"/>
          <c:order val="18"/>
          <c:tx>
            <c:strRef>
              <c:f>Skymaps!$D$904</c:f>
              <c:strCache>
                <c:ptCount val="1"/>
                <c:pt idx="0">
                  <c:v>18000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Skymaps!$E$904:$BC$904</c:f>
              <c:numCache>
                <c:formatCode>General</c:formatCode>
                <c:ptCount val="51"/>
                <c:pt idx="20">
                  <c:v>1.141505241394043</c:v>
                </c:pt>
                <c:pt idx="21">
                  <c:v>1.2339205741882324</c:v>
                </c:pt>
                <c:pt idx="22">
                  <c:v>1.327248215675354</c:v>
                </c:pt>
                <c:pt idx="23">
                  <c:v>1.4211536645889282</c:v>
                </c:pt>
                <c:pt idx="24">
                  <c:v>1.5153025388717651</c:v>
                </c:pt>
                <c:pt idx="25">
                  <c:v>1.6093602180480957</c:v>
                </c:pt>
                <c:pt idx="26">
                  <c:v>1.7019641399383545</c:v>
                </c:pt>
                <c:pt idx="27">
                  <c:v>1.7936464548110962</c:v>
                </c:pt>
                <c:pt idx="28">
                  <c:v>1.8840636014938354</c:v>
                </c:pt>
                <c:pt idx="29">
                  <c:v>1.9728718996047974</c:v>
                </c:pt>
                <c:pt idx="30">
                  <c:v>2.059727668762207</c:v>
                </c:pt>
                <c:pt idx="31">
                  <c:v>2.1296737194061279</c:v>
                </c:pt>
                <c:pt idx="32">
                  <c:v>2.1950638294219971</c:v>
                </c:pt>
                <c:pt idx="33">
                  <c:v>2.2554633617401123</c:v>
                </c:pt>
                <c:pt idx="34">
                  <c:v>2.3104369640350342</c:v>
                </c:pt>
                <c:pt idx="35">
                  <c:v>2.3595499992370605</c:v>
                </c:pt>
                <c:pt idx="36">
                  <c:v>2.3872582912445068</c:v>
                </c:pt>
                <c:pt idx="37">
                  <c:v>2.4065341949462891</c:v>
                </c:pt>
                <c:pt idx="38">
                  <c:v>2.3897907733917236</c:v>
                </c:pt>
                <c:pt idx="39">
                  <c:v>2.3321905136108398</c:v>
                </c:pt>
                <c:pt idx="40">
                  <c:v>2.2586801052093506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6F1-4A4F-AFA1-DEB15FDA207C}"/>
            </c:ext>
          </c:extLst>
        </c:ser>
        <c:ser>
          <c:idx val="19"/>
          <c:order val="19"/>
          <c:tx>
            <c:strRef>
              <c:f>Skymaps!$D$905</c:f>
              <c:strCache>
                <c:ptCount val="1"/>
                <c:pt idx="0">
                  <c:v>19000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Skymaps!$E$905:$BC$905</c:f>
              <c:numCache>
                <c:formatCode>General</c:formatCode>
                <c:ptCount val="51"/>
                <c:pt idx="21">
                  <c:v>1.1839678287506104</c:v>
                </c:pt>
                <c:pt idx="22">
                  <c:v>1.2735172510147095</c:v>
                </c:pt>
                <c:pt idx="23">
                  <c:v>1.3636212348937988</c:v>
                </c:pt>
                <c:pt idx="24">
                  <c:v>1.4539586305618286</c:v>
                </c:pt>
                <c:pt idx="25">
                  <c:v>1.5442085266113281</c:v>
                </c:pt>
                <c:pt idx="26">
                  <c:v>1.6330634355545044</c:v>
                </c:pt>
                <c:pt idx="27">
                  <c:v>1.7210341691970825</c:v>
                </c:pt>
                <c:pt idx="28">
                  <c:v>1.8077911138534546</c:v>
                </c:pt>
                <c:pt idx="29">
                  <c:v>1.8930041790008545</c:v>
                </c:pt>
                <c:pt idx="30">
                  <c:v>1.9763436317443848</c:v>
                </c:pt>
                <c:pt idx="31">
                  <c:v>2.0434582233428955</c:v>
                </c:pt>
                <c:pt idx="32">
                  <c:v>2.106201171875</c:v>
                </c:pt>
                <c:pt idx="33">
                  <c:v>2.1641554832458496</c:v>
                </c:pt>
                <c:pt idx="34">
                  <c:v>2.2169036865234375</c:v>
                </c:pt>
                <c:pt idx="35">
                  <c:v>2.2640283107757568</c:v>
                </c:pt>
                <c:pt idx="36">
                  <c:v>2.2906150817871094</c:v>
                </c:pt>
                <c:pt idx="37">
                  <c:v>2.3091104030609131</c:v>
                </c:pt>
                <c:pt idx="38">
                  <c:v>2.2930450439453125</c:v>
                </c:pt>
                <c:pt idx="39">
                  <c:v>2.2377767562866211</c:v>
                </c:pt>
                <c:pt idx="40">
                  <c:v>2.1672418117523193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6F1-4A4F-AFA1-DEB15FDA207C}"/>
            </c:ext>
          </c:extLst>
        </c:ser>
        <c:ser>
          <c:idx val="20"/>
          <c:order val="20"/>
          <c:tx>
            <c:strRef>
              <c:f>Skymaps!$D$906</c:f>
              <c:strCache>
                <c:ptCount val="1"/>
                <c:pt idx="0">
                  <c:v>20000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Skymaps!$E$906:$BC$906</c:f>
              <c:numCache>
                <c:formatCode>General</c:formatCode>
                <c:ptCount val="51"/>
                <c:pt idx="21">
                  <c:v>1.1356698274612427</c:v>
                </c:pt>
                <c:pt idx="22">
                  <c:v>1.2215662002563477</c:v>
                </c:pt>
                <c:pt idx="23">
                  <c:v>1.3079946041107178</c:v>
                </c:pt>
                <c:pt idx="24">
                  <c:v>1.3946468830108643</c:v>
                </c:pt>
                <c:pt idx="25">
                  <c:v>1.4812151193618774</c:v>
                </c:pt>
                <c:pt idx="26">
                  <c:v>1.5664453506469727</c:v>
                </c:pt>
                <c:pt idx="27">
                  <c:v>1.6508275270462036</c:v>
                </c:pt>
                <c:pt idx="28">
                  <c:v>1.734045147895813</c:v>
                </c:pt>
                <c:pt idx="29">
                  <c:v>1.8157823085784912</c:v>
                </c:pt>
                <c:pt idx="30">
                  <c:v>1.8957220315933228</c:v>
                </c:pt>
                <c:pt idx="31">
                  <c:v>1.9600987434387207</c:v>
                </c:pt>
                <c:pt idx="32">
                  <c:v>2.0202822685241699</c:v>
                </c:pt>
                <c:pt idx="33">
                  <c:v>2.0758724212646484</c:v>
                </c:pt>
                <c:pt idx="34">
                  <c:v>2.1264686584472656</c:v>
                </c:pt>
                <c:pt idx="35">
                  <c:v>2.1716711521148682</c:v>
                </c:pt>
                <c:pt idx="36">
                  <c:v>2.1971731185913086</c:v>
                </c:pt>
                <c:pt idx="37">
                  <c:v>2.2149143218994141</c:v>
                </c:pt>
                <c:pt idx="38">
                  <c:v>2.1995038986206055</c:v>
                </c:pt>
                <c:pt idx="39">
                  <c:v>2.1464905738830566</c:v>
                </c:pt>
                <c:pt idx="40">
                  <c:v>2.0788328647613525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6F1-4A4F-AFA1-DEB15FDA207C}"/>
            </c:ext>
          </c:extLst>
        </c:ser>
        <c:ser>
          <c:idx val="21"/>
          <c:order val="21"/>
          <c:tx>
            <c:strRef>
              <c:f>Skymaps!$D$907</c:f>
              <c:strCache>
                <c:ptCount val="1"/>
                <c:pt idx="0">
                  <c:v>21000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Skymaps!$E$907:$BC$907</c:f>
              <c:numCache>
                <c:formatCode>General</c:formatCode>
                <c:ptCount val="51"/>
                <c:pt idx="22">
                  <c:v>1.1713494062423706</c:v>
                </c:pt>
                <c:pt idx="23">
                  <c:v>1.2542247772216797</c:v>
                </c:pt>
                <c:pt idx="24">
                  <c:v>1.3373150825500488</c:v>
                </c:pt>
                <c:pt idx="25">
                  <c:v>1.4203245639801025</c:v>
                </c:pt>
                <c:pt idx="26">
                  <c:v>1.5020511150360107</c:v>
                </c:pt>
                <c:pt idx="27">
                  <c:v>1.5829645395278931</c:v>
                </c:pt>
                <c:pt idx="28">
                  <c:v>1.6627612113952637</c:v>
                </c:pt>
                <c:pt idx="29">
                  <c:v>1.7411381006240845</c:v>
                </c:pt>
                <c:pt idx="30">
                  <c:v>1.8177918195724487</c:v>
                </c:pt>
                <c:pt idx="31">
                  <c:v>1.8795219659805298</c:v>
                </c:pt>
                <c:pt idx="32">
                  <c:v>1.9372315406799316</c:v>
                </c:pt>
                <c:pt idx="33">
                  <c:v>1.9905362129211426</c:v>
                </c:pt>
                <c:pt idx="34">
                  <c:v>2.0390527248382568</c:v>
                </c:pt>
                <c:pt idx="35">
                  <c:v>2.0823969841003418</c:v>
                </c:pt>
                <c:pt idx="36">
                  <c:v>2.1068508625030518</c:v>
                </c:pt>
                <c:pt idx="37">
                  <c:v>2.1238622665405273</c:v>
                </c:pt>
                <c:pt idx="38">
                  <c:v>2.1090855598449707</c:v>
                </c:pt>
                <c:pt idx="39">
                  <c:v>2.0582516193389893</c:v>
                </c:pt>
                <c:pt idx="40">
                  <c:v>1.9933750629425049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6F1-4A4F-AFA1-DEB15FDA207C}"/>
            </c:ext>
          </c:extLst>
        </c:ser>
        <c:ser>
          <c:idx val="22"/>
          <c:order val="22"/>
          <c:tx>
            <c:strRef>
              <c:f>Skymaps!$D$908</c:f>
              <c:strCache>
                <c:ptCount val="1"/>
                <c:pt idx="0">
                  <c:v>22000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Skymaps!$E$908:$BC$908</c:f>
              <c:numCache>
                <c:formatCode>General</c:formatCode>
                <c:ptCount val="51"/>
                <c:pt idx="22">
                  <c:v>1.1228220462799072</c:v>
                </c:pt>
                <c:pt idx="23">
                  <c:v>1.2022640705108643</c:v>
                </c:pt>
                <c:pt idx="24">
                  <c:v>1.2819119691848755</c:v>
                </c:pt>
                <c:pt idx="25">
                  <c:v>1.3614825010299683</c:v>
                </c:pt>
                <c:pt idx="26">
                  <c:v>1.4398233890533447</c:v>
                </c:pt>
                <c:pt idx="27">
                  <c:v>1.51738440990448</c:v>
                </c:pt>
                <c:pt idx="28">
                  <c:v>1.5938754081726074</c:v>
                </c:pt>
                <c:pt idx="29">
                  <c:v>1.6690051555633545</c:v>
                </c:pt>
                <c:pt idx="30">
                  <c:v>1.7424831390380859</c:v>
                </c:pt>
                <c:pt idx="31">
                  <c:v>1.8016560077667236</c:v>
                </c:pt>
                <c:pt idx="32">
                  <c:v>1.856974720954895</c:v>
                </c:pt>
                <c:pt idx="33">
                  <c:v>1.9080712795257568</c:v>
                </c:pt>
                <c:pt idx="34">
                  <c:v>1.9545778036117554</c:v>
                </c:pt>
                <c:pt idx="35">
                  <c:v>1.9961262941360474</c:v>
                </c:pt>
                <c:pt idx="36">
                  <c:v>2.0195667743682861</c:v>
                </c:pt>
                <c:pt idx="37">
                  <c:v>2.0358736515045166</c:v>
                </c:pt>
                <c:pt idx="38">
                  <c:v>2.0217092037200928</c:v>
                </c:pt>
                <c:pt idx="39">
                  <c:v>1.9729808568954468</c:v>
                </c:pt>
                <c:pt idx="40">
                  <c:v>1.910792350769043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6F1-4A4F-AFA1-DEB15FDA207C}"/>
            </c:ext>
          </c:extLst>
        </c:ser>
        <c:ser>
          <c:idx val="23"/>
          <c:order val="23"/>
          <c:tx>
            <c:strRef>
              <c:f>Skymaps!$D$909</c:f>
              <c:strCache>
                <c:ptCount val="1"/>
                <c:pt idx="0">
                  <c:v>23000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Skymaps!$E$909:$BC$909</c:f>
              <c:numCache>
                <c:formatCode>General</c:formatCode>
                <c:ptCount val="51"/>
                <c:pt idx="23">
                  <c:v>1.1520649194717407</c:v>
                </c:pt>
                <c:pt idx="24">
                  <c:v>1.2283872365951538</c:v>
                </c:pt>
                <c:pt idx="25">
                  <c:v>1.3046354055404663</c:v>
                </c:pt>
                <c:pt idx="26">
                  <c:v>1.3797051906585693</c:v>
                </c:pt>
                <c:pt idx="27">
                  <c:v>1.4540277719497681</c:v>
                </c:pt>
                <c:pt idx="28">
                  <c:v>1.527324914932251</c:v>
                </c:pt>
                <c:pt idx="29">
                  <c:v>1.5993177890777588</c:v>
                </c:pt>
                <c:pt idx="30">
                  <c:v>1.6697278022766113</c:v>
                </c:pt>
                <c:pt idx="31">
                  <c:v>1.7264299392700195</c:v>
                </c:pt>
                <c:pt idx="32">
                  <c:v>1.779438853263855</c:v>
                </c:pt>
                <c:pt idx="33">
                  <c:v>1.8284019231796265</c:v>
                </c:pt>
                <c:pt idx="34">
                  <c:v>1.8729665279388428</c:v>
                </c:pt>
                <c:pt idx="35">
                  <c:v>1.9127802848815918</c:v>
                </c:pt>
                <c:pt idx="36">
                  <c:v>1.9352422952651978</c:v>
                </c:pt>
                <c:pt idx="37">
                  <c:v>1.9508682489395142</c:v>
                </c:pt>
                <c:pt idx="38">
                  <c:v>1.9372950792312622</c:v>
                </c:pt>
                <c:pt idx="39">
                  <c:v>1.8906012773513794</c:v>
                </c:pt>
                <c:pt idx="40">
                  <c:v>1.8310095071792603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6F1-4A4F-AFA1-DEB15FDA207C}"/>
            </c:ext>
          </c:extLst>
        </c:ser>
        <c:ser>
          <c:idx val="24"/>
          <c:order val="24"/>
          <c:tx>
            <c:strRef>
              <c:f>Skymaps!$D$910</c:f>
              <c:strCache>
                <c:ptCount val="1"/>
                <c:pt idx="0">
                  <c:v>24000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Skymaps!$E$910:$BC$910</c:f>
              <c:numCache>
                <c:formatCode>General</c:formatCode>
                <c:ptCount val="51"/>
                <c:pt idx="23">
                  <c:v>1.103581428527832</c:v>
                </c:pt>
                <c:pt idx="24">
                  <c:v>1.1766915321350098</c:v>
                </c:pt>
                <c:pt idx="25">
                  <c:v>1.2497309446334839</c:v>
                </c:pt>
                <c:pt idx="26">
                  <c:v>1.3216414451599121</c:v>
                </c:pt>
                <c:pt idx="27">
                  <c:v>1.392836332321167</c:v>
                </c:pt>
                <c:pt idx="28">
                  <c:v>1.4630489349365234</c:v>
                </c:pt>
                <c:pt idx="29">
                  <c:v>1.5320119857788086</c:v>
                </c:pt>
                <c:pt idx="30">
                  <c:v>1.5994589328765869</c:v>
                </c:pt>
                <c:pt idx="31">
                  <c:v>1.653774619102478</c:v>
                </c:pt>
                <c:pt idx="32">
                  <c:v>1.7045527696609497</c:v>
                </c:pt>
                <c:pt idx="33">
                  <c:v>1.7514553070068359</c:v>
                </c:pt>
                <c:pt idx="34">
                  <c:v>1.7941443920135498</c:v>
                </c:pt>
                <c:pt idx="35">
                  <c:v>1.8322827816009521</c:v>
                </c:pt>
                <c:pt idx="36">
                  <c:v>1.8537993431091309</c:v>
                </c:pt>
                <c:pt idx="37">
                  <c:v>1.8687677383422852</c:v>
                </c:pt>
                <c:pt idx="38">
                  <c:v>1.8557658195495605</c:v>
                </c:pt>
                <c:pt idx="39">
                  <c:v>1.8110371828079224</c:v>
                </c:pt>
                <c:pt idx="40">
                  <c:v>1.7539530992507935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6F1-4A4F-AFA1-DEB15FDA207C}"/>
            </c:ext>
          </c:extLst>
        </c:ser>
        <c:ser>
          <c:idx val="25"/>
          <c:order val="25"/>
          <c:tx>
            <c:strRef>
              <c:f>Skymaps!$D$911</c:f>
              <c:strCache>
                <c:ptCount val="1"/>
                <c:pt idx="0">
                  <c:v>25000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Skymaps!$E$911:$BC$911</c:f>
              <c:numCache>
                <c:formatCode>General</c:formatCode>
                <c:ptCount val="51"/>
                <c:pt idx="24">
                  <c:v>1.1267765760421753</c:v>
                </c:pt>
                <c:pt idx="25">
                  <c:v>1.1967177391052246</c:v>
                </c:pt>
                <c:pt idx="26">
                  <c:v>1.2655777931213379</c:v>
                </c:pt>
                <c:pt idx="27">
                  <c:v>1.3337526321411133</c:v>
                </c:pt>
                <c:pt idx="28">
                  <c:v>1.4009865522384644</c:v>
                </c:pt>
                <c:pt idx="29">
                  <c:v>1.4670243263244629</c:v>
                </c:pt>
                <c:pt idx="30">
                  <c:v>1.5316102504730225</c:v>
                </c:pt>
                <c:pt idx="31">
                  <c:v>1.5836219787597656</c:v>
                </c:pt>
                <c:pt idx="32">
                  <c:v>1.6322458982467651</c:v>
                </c:pt>
                <c:pt idx="33">
                  <c:v>1.6771588325500488</c:v>
                </c:pt>
                <c:pt idx="34">
                  <c:v>1.7180372476577759</c:v>
                </c:pt>
                <c:pt idx="35">
                  <c:v>1.7545576095581055</c:v>
                </c:pt>
                <c:pt idx="36">
                  <c:v>1.7751615047454834</c:v>
                </c:pt>
                <c:pt idx="37">
                  <c:v>1.7894949913024902</c:v>
                </c:pt>
                <c:pt idx="38">
                  <c:v>1.7770445346832275</c:v>
                </c:pt>
                <c:pt idx="39">
                  <c:v>1.7342133522033691</c:v>
                </c:pt>
                <c:pt idx="40">
                  <c:v>1.6795507669448853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6F1-4A4F-AFA1-DEB15FDA207C}"/>
            </c:ext>
          </c:extLst>
        </c:ser>
        <c:ser>
          <c:idx val="26"/>
          <c:order val="26"/>
          <c:tx>
            <c:strRef>
              <c:f>Skymaps!$D$912</c:f>
              <c:strCache>
                <c:ptCount val="1"/>
                <c:pt idx="0">
                  <c:v>26000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Skymaps!$E$912:$BC$912</c:f>
              <c:numCache>
                <c:formatCode>General</c:formatCode>
                <c:ptCount val="51"/>
                <c:pt idx="24">
                  <c:v>1.0785946846008301</c:v>
                </c:pt>
                <c:pt idx="25">
                  <c:v>1.1455450057983398</c:v>
                </c:pt>
                <c:pt idx="26">
                  <c:v>1.2114605903625488</c:v>
                </c:pt>
                <c:pt idx="27">
                  <c:v>1.2767202854156494</c:v>
                </c:pt>
                <c:pt idx="28">
                  <c:v>1.3410792350769043</c:v>
                </c:pt>
                <c:pt idx="29">
                  <c:v>1.4042930603027344</c:v>
                </c:pt>
                <c:pt idx="30">
                  <c:v>1.466117262840271</c:v>
                </c:pt>
                <c:pt idx="31">
                  <c:v>1.5159050226211548</c:v>
                </c:pt>
                <c:pt idx="32">
                  <c:v>1.5624496936798096</c:v>
                </c:pt>
                <c:pt idx="33">
                  <c:v>1.6054421663284302</c:v>
                </c:pt>
                <c:pt idx="34">
                  <c:v>1.6445724964141846</c:v>
                </c:pt>
                <c:pt idx="35">
                  <c:v>1.6795310974121094</c:v>
                </c:pt>
                <c:pt idx="36">
                  <c:v>1.6992541551589966</c:v>
                </c:pt>
                <c:pt idx="37">
                  <c:v>1.7129745483398438</c:v>
                </c:pt>
                <c:pt idx="38">
                  <c:v>1.7010565996170044</c:v>
                </c:pt>
                <c:pt idx="39">
                  <c:v>1.6600568294525146</c:v>
                </c:pt>
                <c:pt idx="40">
                  <c:v>1.607731819152832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6F1-4A4F-AFA1-DEB15FDA207C}"/>
            </c:ext>
          </c:extLst>
        </c:ser>
        <c:ser>
          <c:idx val="27"/>
          <c:order val="27"/>
          <c:tx>
            <c:strRef>
              <c:f>Skymaps!$D$913</c:f>
              <c:strCache>
                <c:ptCount val="1"/>
                <c:pt idx="0">
                  <c:v>27000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Skymaps!$E$913:$BC$913</c:f>
              <c:numCache>
                <c:formatCode>General</c:formatCode>
                <c:ptCount val="51"/>
                <c:pt idx="25">
                  <c:v>1.0961635112762451</c:v>
                </c:pt>
                <c:pt idx="26">
                  <c:v>1.1592375040054321</c:v>
                </c:pt>
                <c:pt idx="27">
                  <c:v>1.2216839790344238</c:v>
                </c:pt>
                <c:pt idx="28">
                  <c:v>1.2832686901092529</c:v>
                </c:pt>
                <c:pt idx="29">
                  <c:v>1.3437576293945313</c:v>
                </c:pt>
                <c:pt idx="30">
                  <c:v>1.4029165506362915</c:v>
                </c:pt>
                <c:pt idx="31">
                  <c:v>1.450558066368103</c:v>
                </c:pt>
                <c:pt idx="32">
                  <c:v>1.4950964450836182</c:v>
                </c:pt>
                <c:pt idx="33">
                  <c:v>1.5362354516983032</c:v>
                </c:pt>
                <c:pt idx="34">
                  <c:v>1.5736789703369141</c:v>
                </c:pt>
                <c:pt idx="35">
                  <c:v>1.6071308851242065</c:v>
                </c:pt>
                <c:pt idx="36">
                  <c:v>1.6260033845901489</c:v>
                </c:pt>
                <c:pt idx="37">
                  <c:v>1.6391326189041138</c:v>
                </c:pt>
                <c:pt idx="38">
                  <c:v>1.6277283430099487</c:v>
                </c:pt>
                <c:pt idx="39">
                  <c:v>1.5884960889816284</c:v>
                </c:pt>
                <c:pt idx="40">
                  <c:v>1.5384266376495361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6F1-4A4F-AFA1-DEB15FDA207C}"/>
            </c:ext>
          </c:extLst>
        </c:ser>
        <c:ser>
          <c:idx val="28"/>
          <c:order val="28"/>
          <c:tx>
            <c:strRef>
              <c:f>Skymaps!$D$914</c:f>
              <c:strCache>
                <c:ptCount val="1"/>
                <c:pt idx="0">
                  <c:v>28000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Skymaps!$E$914:$BC$914</c:f>
              <c:numCache>
                <c:formatCode>General</c:formatCode>
                <c:ptCount val="51"/>
                <c:pt idx="25">
                  <c:v>1.0485243797302246</c:v>
                </c:pt>
                <c:pt idx="26">
                  <c:v>1.108857274055481</c:v>
                </c:pt>
                <c:pt idx="27">
                  <c:v>1.1685898303985596</c:v>
                </c:pt>
                <c:pt idx="28">
                  <c:v>1.2274980545043945</c:v>
                </c:pt>
                <c:pt idx="29">
                  <c:v>1.285358190536499</c:v>
                </c:pt>
                <c:pt idx="30">
                  <c:v>1.3419461250305176</c:v>
                </c:pt>
                <c:pt idx="31">
                  <c:v>1.3875170946121216</c:v>
                </c:pt>
                <c:pt idx="32">
                  <c:v>1.4301198720932007</c:v>
                </c:pt>
                <c:pt idx="33">
                  <c:v>1.4694709777832031</c:v>
                </c:pt>
                <c:pt idx="34">
                  <c:v>1.5052871704101563</c:v>
                </c:pt>
                <c:pt idx="35">
                  <c:v>1.5372852087020874</c:v>
                </c:pt>
                <c:pt idx="36">
                  <c:v>1.55533766746521</c:v>
                </c:pt>
                <c:pt idx="37">
                  <c:v>1.5678961277008057</c:v>
                </c:pt>
                <c:pt idx="38">
                  <c:v>1.5569876432418823</c:v>
                </c:pt>
                <c:pt idx="39">
                  <c:v>1.5194602012634277</c:v>
                </c:pt>
                <c:pt idx="40">
                  <c:v>1.4715667963027954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6F1-4A4F-AFA1-DEB15FDA207C}"/>
            </c:ext>
          </c:extLst>
        </c:ser>
        <c:ser>
          <c:idx val="29"/>
          <c:order val="29"/>
          <c:tx>
            <c:strRef>
              <c:f>Skymaps!$D$915</c:f>
              <c:strCache>
                <c:ptCount val="1"/>
                <c:pt idx="0">
                  <c:v>29000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Skymaps!$E$915:$BC$915</c:f>
              <c:numCache>
                <c:formatCode>General</c:formatCode>
                <c:ptCount val="51"/>
                <c:pt idx="26">
                  <c:v>1.0602693557739258</c:v>
                </c:pt>
                <c:pt idx="27">
                  <c:v>1.1173845529556274</c:v>
                </c:pt>
                <c:pt idx="28">
                  <c:v>1.1737115383148193</c:v>
                </c:pt>
                <c:pt idx="29">
                  <c:v>1.2290363311767578</c:v>
                </c:pt>
                <c:pt idx="30">
                  <c:v>1.2831447124481201</c:v>
                </c:pt>
                <c:pt idx="31">
                  <c:v>1.326718807220459</c:v>
                </c:pt>
                <c:pt idx="32">
                  <c:v>1.3674548864364624</c:v>
                </c:pt>
                <c:pt idx="33">
                  <c:v>1.4050817489624023</c:v>
                </c:pt>
                <c:pt idx="34">
                  <c:v>1.4393285512924194</c:v>
                </c:pt>
                <c:pt idx="35">
                  <c:v>1.4699244499206543</c:v>
                </c:pt>
                <c:pt idx="36">
                  <c:v>1.4871859550476074</c:v>
                </c:pt>
                <c:pt idx="37">
                  <c:v>1.4991941452026367</c:v>
                </c:pt>
                <c:pt idx="38">
                  <c:v>1.4887633323669434</c:v>
                </c:pt>
                <c:pt idx="39">
                  <c:v>1.4528806209564209</c:v>
                </c:pt>
                <c:pt idx="40">
                  <c:v>1.407085657119751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6F1-4A4F-AFA1-DEB15FDA207C}"/>
            </c:ext>
          </c:extLst>
        </c:ser>
        <c:ser>
          <c:idx val="30"/>
          <c:order val="30"/>
          <c:tx>
            <c:strRef>
              <c:f>Skymaps!$D$916</c:f>
              <c:strCache>
                <c:ptCount val="1"/>
                <c:pt idx="0">
                  <c:v>30000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Skymaps!$E$916:$BC$916</c:f>
              <c:numCache>
                <c:formatCode>General</c:formatCode>
                <c:ptCount val="51"/>
                <c:pt idx="27">
                  <c:v>1.0680160522460938</c:v>
                </c:pt>
                <c:pt idx="28">
                  <c:v>1.1218544244766235</c:v>
                </c:pt>
                <c:pt idx="29">
                  <c:v>1.1747347116470337</c:v>
                </c:pt>
                <c:pt idx="30">
                  <c:v>1.2264524698257446</c:v>
                </c:pt>
                <c:pt idx="31">
                  <c:v>1.2681014537811279</c:v>
                </c:pt>
                <c:pt idx="32">
                  <c:v>1.3070377111434937</c:v>
                </c:pt>
                <c:pt idx="33">
                  <c:v>1.3430022001266479</c:v>
                </c:pt>
                <c:pt idx="34">
                  <c:v>1.375735878944397</c:v>
                </c:pt>
                <c:pt idx="35">
                  <c:v>1.404979944229126</c:v>
                </c:pt>
                <c:pt idx="36">
                  <c:v>1.4214787483215332</c:v>
                </c:pt>
                <c:pt idx="37">
                  <c:v>1.4329564571380615</c:v>
                </c:pt>
                <c:pt idx="38">
                  <c:v>1.4229865074157715</c:v>
                </c:pt>
                <c:pt idx="39">
                  <c:v>1.3886891603469849</c:v>
                </c:pt>
                <c:pt idx="40">
                  <c:v>1.3449174165725708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6F1-4A4F-AFA1-DEB15FDA207C}"/>
            </c:ext>
          </c:extLst>
        </c:ser>
        <c:ser>
          <c:idx val="31"/>
          <c:order val="31"/>
          <c:tx>
            <c:strRef>
              <c:f>Skymaps!$D$917</c:f>
              <c:strCache>
                <c:ptCount val="1"/>
                <c:pt idx="0">
                  <c:v>31000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Skymaps!$E$917:$BC$917</c:f>
              <c:numCache>
                <c:formatCode>General</c:formatCode>
                <c:ptCount val="51"/>
                <c:pt idx="27">
                  <c:v>1.0204331874847412</c:v>
                </c:pt>
                <c:pt idx="28">
                  <c:v>1.0718729496002197</c:v>
                </c:pt>
                <c:pt idx="29">
                  <c:v>1.1223973035812378</c:v>
                </c:pt>
                <c:pt idx="30">
                  <c:v>1.1718108654022217</c:v>
                </c:pt>
                <c:pt idx="31">
                  <c:v>1.2116043567657471</c:v>
                </c:pt>
                <c:pt idx="32">
                  <c:v>1.2488059997558594</c:v>
                </c:pt>
                <c:pt idx="33">
                  <c:v>1.2831679582595825</c:v>
                </c:pt>
                <c:pt idx="34">
                  <c:v>1.3144434690475464</c:v>
                </c:pt>
                <c:pt idx="35">
                  <c:v>1.3423846960067749</c:v>
                </c:pt>
                <c:pt idx="36">
                  <c:v>1.3581483364105225</c:v>
                </c:pt>
                <c:pt idx="37">
                  <c:v>1.3691146373748779</c:v>
                </c:pt>
                <c:pt idx="38">
                  <c:v>1.3595890998840332</c:v>
                </c:pt>
                <c:pt idx="39">
                  <c:v>1.3268195390701294</c:v>
                </c:pt>
                <c:pt idx="40">
                  <c:v>1.2849980592727661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F6F1-4A4F-AFA1-DEB15FDA207C}"/>
            </c:ext>
          </c:extLst>
        </c:ser>
        <c:ser>
          <c:idx val="32"/>
          <c:order val="32"/>
          <c:tx>
            <c:strRef>
              <c:f>Skymaps!$D$918</c:f>
              <c:strCache>
                <c:ptCount val="1"/>
                <c:pt idx="0">
                  <c:v>32000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Skymaps!$E$918:$BC$918</c:f>
              <c:numCache>
                <c:formatCode>General</c:formatCode>
                <c:ptCount val="51"/>
                <c:pt idx="28">
                  <c:v>1.0237146615982056</c:v>
                </c:pt>
                <c:pt idx="29">
                  <c:v>1.0719691514968872</c:v>
                </c:pt>
                <c:pt idx="30">
                  <c:v>1.1191626787185669</c:v>
                </c:pt>
                <c:pt idx="31">
                  <c:v>1.1571681499481201</c:v>
                </c:pt>
                <c:pt idx="32">
                  <c:v>1.1926981210708618</c:v>
                </c:pt>
                <c:pt idx="33">
                  <c:v>1.2255164384841919</c:v>
                </c:pt>
                <c:pt idx="34">
                  <c:v>1.2553865909576416</c:v>
                </c:pt>
                <c:pt idx="35">
                  <c:v>1.2820725440979004</c:v>
                </c:pt>
                <c:pt idx="36">
                  <c:v>1.2971279621124268</c:v>
                </c:pt>
                <c:pt idx="37">
                  <c:v>1.3076015710830688</c:v>
                </c:pt>
                <c:pt idx="38">
                  <c:v>1.2985038757324219</c:v>
                </c:pt>
                <c:pt idx="39">
                  <c:v>1.2672067880630493</c:v>
                </c:pt>
                <c:pt idx="40">
                  <c:v>1.2272642850875854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F6F1-4A4F-AFA1-DEB15FDA207C}"/>
            </c:ext>
          </c:extLst>
        </c:ser>
        <c:ser>
          <c:idx val="33"/>
          <c:order val="33"/>
          <c:tx>
            <c:strRef>
              <c:f>Skymaps!$D$919</c:f>
              <c:strCache>
                <c:ptCount val="1"/>
                <c:pt idx="0">
                  <c:v>33000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Skymaps!$E$919:$BC$919</c:f>
              <c:numCache>
                <c:formatCode>General</c:formatCode>
                <c:ptCount val="51"/>
                <c:pt idx="29">
                  <c:v>1.0233958959579468</c:v>
                </c:pt>
                <c:pt idx="30">
                  <c:v>1.068450927734375</c:v>
                </c:pt>
                <c:pt idx="31">
                  <c:v>1.1047344207763672</c:v>
                </c:pt>
                <c:pt idx="32">
                  <c:v>1.1386544704437256</c:v>
                </c:pt>
                <c:pt idx="33">
                  <c:v>1.1699857711791992</c:v>
                </c:pt>
                <c:pt idx="34">
                  <c:v>1.1985025405883789</c:v>
                </c:pt>
                <c:pt idx="35">
                  <c:v>1.223979115486145</c:v>
                </c:pt>
                <c:pt idx="36">
                  <c:v>1.2383522987365723</c:v>
                </c:pt>
                <c:pt idx="37">
                  <c:v>1.2483513355255127</c:v>
                </c:pt>
                <c:pt idx="38">
                  <c:v>1.2396661043167114</c:v>
                </c:pt>
                <c:pt idx="39">
                  <c:v>1.2097870111465454</c:v>
                </c:pt>
                <c:pt idx="40">
                  <c:v>1.1716544628143311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F6F1-4A4F-AFA1-DEB15FDA207C}"/>
            </c:ext>
          </c:extLst>
        </c:ser>
        <c:ser>
          <c:idx val="34"/>
          <c:order val="34"/>
          <c:tx>
            <c:strRef>
              <c:f>Skymaps!$D$920</c:f>
              <c:strCache>
                <c:ptCount val="1"/>
                <c:pt idx="0">
                  <c:v>34000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Skymaps!$E$920:$BC$920</c:f>
              <c:numCache>
                <c:formatCode>General</c:formatCode>
                <c:ptCount val="51"/>
                <c:pt idx="30">
                  <c:v>1.0196208953857422</c:v>
                </c:pt>
                <c:pt idx="31">
                  <c:v>1.0542460680007935</c:v>
                </c:pt>
                <c:pt idx="32">
                  <c:v>1.0866159200668335</c:v>
                </c:pt>
                <c:pt idx="33">
                  <c:v>1.1165151596069336</c:v>
                </c:pt>
                <c:pt idx="34">
                  <c:v>1.1437286138534546</c:v>
                </c:pt>
                <c:pt idx="35">
                  <c:v>1.1680408716201782</c:v>
                </c:pt>
                <c:pt idx="36">
                  <c:v>1.1817574501037598</c:v>
                </c:pt>
                <c:pt idx="37">
                  <c:v>1.1912995576858521</c:v>
                </c:pt>
                <c:pt idx="38">
                  <c:v>1.1830109357833862</c:v>
                </c:pt>
                <c:pt idx="39">
                  <c:v>1.154497504234314</c:v>
                </c:pt>
                <c:pt idx="40">
                  <c:v>1.1181075572967529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F6F1-4A4F-AFA1-DEB15FDA207C}"/>
            </c:ext>
          </c:extLst>
        </c:ser>
        <c:ser>
          <c:idx val="35"/>
          <c:order val="35"/>
          <c:tx>
            <c:strRef>
              <c:f>Skymaps!$D$921</c:f>
              <c:strCache>
                <c:ptCount val="1"/>
                <c:pt idx="0">
                  <c:v>35000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Skymaps!$E$921:$BC$921</c:f>
              <c:numCache>
                <c:formatCode>General</c:formatCode>
                <c:ptCount val="51"/>
                <c:pt idx="31">
                  <c:v>1.0056470632553101</c:v>
                </c:pt>
                <c:pt idx="32">
                  <c:v>1.0365246534347534</c:v>
                </c:pt>
                <c:pt idx="33">
                  <c:v>1.0650458335876465</c:v>
                </c:pt>
                <c:pt idx="34">
                  <c:v>1.0910047292709351</c:v>
                </c:pt>
                <c:pt idx="35">
                  <c:v>1.1141963005065918</c:v>
                </c:pt>
                <c:pt idx="36">
                  <c:v>1.1272803544998169</c:v>
                </c:pt>
                <c:pt idx="37">
                  <c:v>1.1363825798034668</c:v>
                </c:pt>
                <c:pt idx="38">
                  <c:v>1.1284761428833008</c:v>
                </c:pt>
                <c:pt idx="39">
                  <c:v>1.1012769937515259</c:v>
                </c:pt>
                <c:pt idx="40">
                  <c:v>1.066564679145813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F6F1-4A4F-AFA1-DEB15FDA207C}"/>
            </c:ext>
          </c:extLst>
        </c:ser>
        <c:ser>
          <c:idx val="36"/>
          <c:order val="36"/>
          <c:tx>
            <c:strRef>
              <c:f>Skymaps!$D$922</c:f>
              <c:strCache>
                <c:ptCount val="1"/>
                <c:pt idx="0">
                  <c:v>36000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Skymaps!$E$922:$BC$922</c:f>
              <c:numCache>
                <c:formatCode>General</c:formatCode>
                <c:ptCount val="51"/>
                <c:pt idx="33">
                  <c:v>1.015519380569458</c:v>
                </c:pt>
                <c:pt idx="34">
                  <c:v>1.0402711629867554</c:v>
                </c:pt>
                <c:pt idx="35">
                  <c:v>1.0623842477798462</c:v>
                </c:pt>
                <c:pt idx="36">
                  <c:v>1.0748598575592041</c:v>
                </c:pt>
                <c:pt idx="37">
                  <c:v>1.0835388898849487</c:v>
                </c:pt>
                <c:pt idx="38">
                  <c:v>1.0760002136230469</c:v>
                </c:pt>
                <c:pt idx="39">
                  <c:v>1.0500657558441162</c:v>
                </c:pt>
                <c:pt idx="40">
                  <c:v>1.0169676542282104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F6F1-4A4F-AFA1-DEB15FDA207C}"/>
            </c:ext>
          </c:extLst>
        </c:ser>
        <c:ser>
          <c:idx val="37"/>
          <c:order val="37"/>
          <c:tx>
            <c:strRef>
              <c:f>Skymaps!$D$923</c:f>
              <c:strCache>
                <c:ptCount val="1"/>
                <c:pt idx="0">
                  <c:v>37000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Skymaps!$E$923:$BC$923</c:f>
              <c:numCache>
                <c:formatCode>General</c:formatCode>
                <c:ptCount val="51"/>
                <c:pt idx="35">
                  <c:v>1.012700080871582</c:v>
                </c:pt>
                <c:pt idx="36">
                  <c:v>1.0245922803878784</c:v>
                </c:pt>
                <c:pt idx="37">
                  <c:v>1.0328652858734131</c:v>
                </c:pt>
                <c:pt idx="38">
                  <c:v>1.0256791114807129</c:v>
                </c:pt>
                <c:pt idx="39">
                  <c:v>1.0009576082229614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F6F1-4A4F-AFA1-DEB15FDA207C}"/>
            </c:ext>
          </c:extLst>
        </c:ser>
        <c:ser>
          <c:idx val="38"/>
          <c:order val="38"/>
          <c:tx>
            <c:strRef>
              <c:f>Skymaps!$D$924</c:f>
              <c:strCache>
                <c:ptCount val="1"/>
                <c:pt idx="0">
                  <c:v>38000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Skymaps!$E$924:$BC$924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6-F6F1-4A4F-AFA1-DEB15FDA207C}"/>
            </c:ext>
          </c:extLst>
        </c:ser>
        <c:ser>
          <c:idx val="39"/>
          <c:order val="39"/>
          <c:tx>
            <c:strRef>
              <c:f>Skymaps!$D$925</c:f>
              <c:strCache>
                <c:ptCount val="1"/>
                <c:pt idx="0">
                  <c:v>39000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Skymaps!$E$925:$BC$925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F6F1-4A4F-AFA1-DEB15FDA207C}"/>
            </c:ext>
          </c:extLst>
        </c:ser>
        <c:ser>
          <c:idx val="40"/>
          <c:order val="40"/>
          <c:tx>
            <c:strRef>
              <c:f>Skymaps!$D$926</c:f>
              <c:strCache>
                <c:ptCount val="1"/>
                <c:pt idx="0">
                  <c:v>40000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Skymaps!$E$926:$BC$926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F6F1-4A4F-AFA1-DEB15FDA207C}"/>
            </c:ext>
          </c:extLst>
        </c:ser>
        <c:ser>
          <c:idx val="41"/>
          <c:order val="41"/>
          <c:tx>
            <c:strRef>
              <c:f>Skymaps!$D$927</c:f>
              <c:strCache>
                <c:ptCount val="1"/>
                <c:pt idx="0">
                  <c:v>41000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Skymaps!$E$927:$BC$927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F6F1-4A4F-AFA1-DEB15FDA207C}"/>
            </c:ext>
          </c:extLst>
        </c:ser>
        <c:ser>
          <c:idx val="42"/>
          <c:order val="42"/>
          <c:tx>
            <c:strRef>
              <c:f>Skymaps!$D$928</c:f>
              <c:strCache>
                <c:ptCount val="1"/>
                <c:pt idx="0">
                  <c:v>42000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Skymaps!$E$928:$BC$928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F6F1-4A4F-AFA1-DEB15FDA207C}"/>
            </c:ext>
          </c:extLst>
        </c:ser>
        <c:ser>
          <c:idx val="43"/>
          <c:order val="43"/>
          <c:tx>
            <c:strRef>
              <c:f>Skymaps!$D$929</c:f>
              <c:strCache>
                <c:ptCount val="1"/>
                <c:pt idx="0">
                  <c:v>43000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Skymaps!$E$929:$BC$929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F6F1-4A4F-AFA1-DEB15FDA207C}"/>
            </c:ext>
          </c:extLst>
        </c:ser>
        <c:ser>
          <c:idx val="44"/>
          <c:order val="44"/>
          <c:tx>
            <c:strRef>
              <c:f>Skymaps!$D$930</c:f>
              <c:strCache>
                <c:ptCount val="1"/>
                <c:pt idx="0">
                  <c:v>44000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Skymaps!$E$930:$BC$930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F6F1-4A4F-AFA1-DEB15FDA207C}"/>
            </c:ext>
          </c:extLst>
        </c:ser>
        <c:ser>
          <c:idx val="45"/>
          <c:order val="45"/>
          <c:tx>
            <c:strRef>
              <c:f>Skymaps!$D$931</c:f>
              <c:strCache>
                <c:ptCount val="1"/>
                <c:pt idx="0">
                  <c:v>45000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Skymaps!$E$931:$BC$931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F6F1-4A4F-AFA1-DEB15FDA207C}"/>
            </c:ext>
          </c:extLst>
        </c:ser>
        <c:ser>
          <c:idx val="46"/>
          <c:order val="46"/>
          <c:tx>
            <c:strRef>
              <c:f>Skymaps!$D$932</c:f>
              <c:strCache>
                <c:ptCount val="1"/>
                <c:pt idx="0">
                  <c:v>46000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Skymaps!$E$932:$BC$932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F6F1-4A4F-AFA1-DEB15FDA207C}"/>
            </c:ext>
          </c:extLst>
        </c:ser>
        <c:ser>
          <c:idx val="47"/>
          <c:order val="47"/>
          <c:tx>
            <c:strRef>
              <c:f>Skymaps!$D$933</c:f>
              <c:strCache>
                <c:ptCount val="1"/>
                <c:pt idx="0">
                  <c:v>47000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Skymaps!$E$933:$BC$933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F6F1-4A4F-AFA1-DEB15FDA207C}"/>
            </c:ext>
          </c:extLst>
        </c:ser>
        <c:ser>
          <c:idx val="48"/>
          <c:order val="48"/>
          <c:tx>
            <c:strRef>
              <c:f>Skymaps!$D$934</c:f>
              <c:strCache>
                <c:ptCount val="1"/>
                <c:pt idx="0">
                  <c:v>48000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Skymaps!$E$934:$BC$934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F6F1-4A4F-AFA1-DEB15FDA207C}"/>
            </c:ext>
          </c:extLst>
        </c:ser>
        <c:ser>
          <c:idx val="49"/>
          <c:order val="49"/>
          <c:tx>
            <c:strRef>
              <c:f>Skymaps!$D$935</c:f>
              <c:strCache>
                <c:ptCount val="1"/>
                <c:pt idx="0">
                  <c:v>49000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Skymaps!$E$935:$BC$935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F6F1-4A4F-AFA1-DEB15FDA207C}"/>
            </c:ext>
          </c:extLst>
        </c:ser>
        <c:ser>
          <c:idx val="50"/>
          <c:order val="50"/>
          <c:tx>
            <c:strRef>
              <c:f>Skymaps!$D$936</c:f>
              <c:strCache>
                <c:ptCount val="1"/>
                <c:pt idx="0">
                  <c:v>50000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Skymaps!$E$936:$BC$936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F6F1-4A4F-AFA1-DEB15FDA207C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5"/>
            <c:spPr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6"/>
            <c:spPr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7"/>
            <c:spPr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708523128"/>
        <c:axId val="708526080"/>
        <c:axId val="286074072"/>
      </c:surfaceChart>
      <c:catAx>
        <c:axId val="708523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526080"/>
        <c:crosses val="autoZero"/>
        <c:auto val="1"/>
        <c:lblAlgn val="ctr"/>
        <c:lblOffset val="100"/>
        <c:noMultiLvlLbl val="0"/>
      </c:catAx>
      <c:valAx>
        <c:axId val="70852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523128"/>
        <c:crosses val="autoZero"/>
        <c:crossBetween val="midCat"/>
        <c:majorUnit val="0.25"/>
      </c:valAx>
      <c:serAx>
        <c:axId val="286074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526080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10</xdr:row>
          <xdr:rowOff>9525</xdr:rowOff>
        </xdr:from>
        <xdr:to>
          <xdr:col>16</xdr:col>
          <xdr:colOff>381000</xdr:colOff>
          <xdr:row>11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NUT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20</xdr:row>
          <xdr:rowOff>142875</xdr:rowOff>
        </xdr:from>
        <xdr:to>
          <xdr:col>1</xdr:col>
          <xdr:colOff>95250</xdr:colOff>
          <xdr:row>22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Skymaps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8657</xdr:colOff>
      <xdr:row>8</xdr:row>
      <xdr:rowOff>13853</xdr:rowOff>
    </xdr:from>
    <xdr:to>
      <xdr:col>44</xdr:col>
      <xdr:colOff>43294</xdr:colOff>
      <xdr:row>43</xdr:row>
      <xdr:rowOff>14430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123471</xdr:colOff>
      <xdr:row>57</xdr:row>
      <xdr:rowOff>123472</xdr:rowOff>
    </xdr:from>
    <xdr:to>
      <xdr:col>44</xdr:col>
      <xdr:colOff>158108</xdr:colOff>
      <xdr:row>92</xdr:row>
      <xdr:rowOff>124049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599720</xdr:colOff>
      <xdr:row>108</xdr:row>
      <xdr:rowOff>88194</xdr:rowOff>
    </xdr:from>
    <xdr:to>
      <xdr:col>42</xdr:col>
      <xdr:colOff>634357</xdr:colOff>
      <xdr:row>143</xdr:row>
      <xdr:rowOff>88771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258536</xdr:colOff>
      <xdr:row>161</xdr:row>
      <xdr:rowOff>122463</xdr:rowOff>
    </xdr:from>
    <xdr:to>
      <xdr:col>46</xdr:col>
      <xdr:colOff>293173</xdr:colOff>
      <xdr:row>196</xdr:row>
      <xdr:rowOff>123042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315850</xdr:colOff>
      <xdr:row>212</xdr:row>
      <xdr:rowOff>109682</xdr:rowOff>
    </xdr:from>
    <xdr:to>
      <xdr:col>37</xdr:col>
      <xdr:colOff>350488</xdr:colOff>
      <xdr:row>247</xdr:row>
      <xdr:rowOff>110259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462639</xdr:colOff>
      <xdr:row>262</xdr:row>
      <xdr:rowOff>16327</xdr:rowOff>
    </xdr:from>
    <xdr:to>
      <xdr:col>50</xdr:col>
      <xdr:colOff>557890</xdr:colOff>
      <xdr:row>310</xdr:row>
      <xdr:rowOff>122464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32</xdr:col>
      <xdr:colOff>244928</xdr:colOff>
      <xdr:row>313</xdr:row>
      <xdr:rowOff>122462</xdr:rowOff>
    </xdr:from>
    <xdr:to>
      <xdr:col>51</xdr:col>
      <xdr:colOff>340179</xdr:colOff>
      <xdr:row>362</xdr:row>
      <xdr:rowOff>51708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33</xdr:col>
      <xdr:colOff>81643</xdr:colOff>
      <xdr:row>365</xdr:row>
      <xdr:rowOff>27213</xdr:rowOff>
    </xdr:from>
    <xdr:to>
      <xdr:col>52</xdr:col>
      <xdr:colOff>176893</xdr:colOff>
      <xdr:row>413</xdr:row>
      <xdr:rowOff>133350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255814</xdr:colOff>
      <xdr:row>415</xdr:row>
      <xdr:rowOff>13605</xdr:rowOff>
    </xdr:from>
    <xdr:to>
      <xdr:col>43</xdr:col>
      <xdr:colOff>351064</xdr:colOff>
      <xdr:row>463</xdr:row>
      <xdr:rowOff>123825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514350</xdr:colOff>
      <xdr:row>522</xdr:row>
      <xdr:rowOff>57150</xdr:rowOff>
    </xdr:from>
    <xdr:to>
      <xdr:col>44</xdr:col>
      <xdr:colOff>400050</xdr:colOff>
      <xdr:row>565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419100</xdr:colOff>
      <xdr:row>575</xdr:row>
      <xdr:rowOff>0</xdr:rowOff>
    </xdr:from>
    <xdr:to>
      <xdr:col>40</xdr:col>
      <xdr:colOff>152400</xdr:colOff>
      <xdr:row>616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28</xdr:col>
      <xdr:colOff>514350</xdr:colOff>
      <xdr:row>635</xdr:row>
      <xdr:rowOff>95250</xdr:rowOff>
    </xdr:from>
    <xdr:to>
      <xdr:col>43</xdr:col>
      <xdr:colOff>419100</xdr:colOff>
      <xdr:row>669</xdr:row>
      <xdr:rowOff>19050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24</xdr:col>
      <xdr:colOff>9524</xdr:colOff>
      <xdr:row>684</xdr:row>
      <xdr:rowOff>76200</xdr:rowOff>
    </xdr:from>
    <xdr:to>
      <xdr:col>39</xdr:col>
      <xdr:colOff>438150</xdr:colOff>
      <xdr:row>717</xdr:row>
      <xdr:rowOff>95250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23</xdr:col>
      <xdr:colOff>95250</xdr:colOff>
      <xdr:row>733</xdr:row>
      <xdr:rowOff>76200</xdr:rowOff>
    </xdr:from>
    <xdr:to>
      <xdr:col>42</xdr:col>
      <xdr:colOff>57150</xdr:colOff>
      <xdr:row>775</xdr:row>
      <xdr:rowOff>152400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33</xdr:col>
      <xdr:colOff>419100</xdr:colOff>
      <xdr:row>783</xdr:row>
      <xdr:rowOff>114300</xdr:rowOff>
    </xdr:from>
    <xdr:to>
      <xdr:col>46</xdr:col>
      <xdr:colOff>323850</xdr:colOff>
      <xdr:row>819</xdr:row>
      <xdr:rowOff>57150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342900</xdr:colOff>
      <xdr:row>835</xdr:row>
      <xdr:rowOff>0</xdr:rowOff>
    </xdr:from>
    <xdr:to>
      <xdr:col>45</xdr:col>
      <xdr:colOff>247650</xdr:colOff>
      <xdr:row>870</xdr:row>
      <xdr:rowOff>133350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23</xdr:col>
      <xdr:colOff>76200</xdr:colOff>
      <xdr:row>477</xdr:row>
      <xdr:rowOff>0</xdr:rowOff>
    </xdr:from>
    <xdr:to>
      <xdr:col>41</xdr:col>
      <xdr:colOff>228600</xdr:colOff>
      <xdr:row>518</xdr:row>
      <xdr:rowOff>19050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24</xdr:col>
      <xdr:colOff>510581</xdr:colOff>
      <xdr:row>885</xdr:row>
      <xdr:rowOff>99680</xdr:rowOff>
    </xdr:from>
    <xdr:to>
      <xdr:col>44</xdr:col>
      <xdr:colOff>287965</xdr:colOff>
      <xdr:row>927</xdr:row>
      <xdr:rowOff>77529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30"/>
  <sheetViews>
    <sheetView tabSelected="1" workbookViewId="0">
      <selection activeCell="N26" sqref="N26"/>
    </sheetView>
  </sheetViews>
  <sheetFormatPr defaultRowHeight="15" x14ac:dyDescent="0.25"/>
  <cols>
    <col min="1" max="1" width="14.5703125" bestFit="1" customWidth="1"/>
    <col min="2" max="2" width="9.7109375" bestFit="1" customWidth="1"/>
    <col min="5" max="5" width="19.7109375" bestFit="1" customWidth="1"/>
    <col min="7" max="7" width="19.42578125" bestFit="1" customWidth="1"/>
    <col min="8" max="8" width="18.140625" bestFit="1" customWidth="1"/>
    <col min="9" max="9" width="12" bestFit="1" customWidth="1"/>
    <col min="12" max="12" width="25.28515625" bestFit="1" customWidth="1"/>
  </cols>
  <sheetData>
    <row r="1" spans="1:20" x14ac:dyDescent="0.25">
      <c r="A1" s="49" t="s">
        <v>35</v>
      </c>
      <c r="B1" s="50"/>
      <c r="C1" s="51"/>
      <c r="E1" s="54" t="s">
        <v>36</v>
      </c>
      <c r="F1" s="47"/>
      <c r="G1" s="48"/>
      <c r="H1" s="54" t="s">
        <v>37</v>
      </c>
      <c r="I1" s="47"/>
      <c r="J1" s="48"/>
      <c r="K1" s="45" t="s">
        <v>60</v>
      </c>
      <c r="L1" s="45"/>
      <c r="M1" s="45"/>
      <c r="N1" s="46"/>
      <c r="P1" t="s">
        <v>98</v>
      </c>
      <c r="Q1" t="s">
        <v>99</v>
      </c>
      <c r="R1" t="s">
        <v>100</v>
      </c>
      <c r="S1" t="s">
        <v>101</v>
      </c>
      <c r="T1" t="s">
        <v>102</v>
      </c>
    </row>
    <row r="2" spans="1:20" x14ac:dyDescent="0.25">
      <c r="A2" s="52" t="s">
        <v>13</v>
      </c>
      <c r="B2" s="10" t="s">
        <v>14</v>
      </c>
      <c r="C2" s="11" t="s">
        <v>15</v>
      </c>
      <c r="E2" s="40" t="s">
        <v>34</v>
      </c>
      <c r="F2" s="6">
        <v>1500</v>
      </c>
      <c r="G2" s="7" t="s">
        <v>33</v>
      </c>
      <c r="H2" s="39" t="s">
        <v>45</v>
      </c>
      <c r="I2" s="18">
        <f>ROUND((Span^2)/SREF,3)</f>
        <v>6.6669999999999998</v>
      </c>
      <c r="J2" s="7"/>
      <c r="K2" s="8" t="s">
        <v>61</v>
      </c>
      <c r="L2" s="6" t="s">
        <v>65</v>
      </c>
      <c r="M2" s="6" t="s">
        <v>62</v>
      </c>
      <c r="N2" s="7" t="s">
        <v>71</v>
      </c>
      <c r="P2" t="s">
        <v>103</v>
      </c>
      <c r="Q2">
        <f>3/(4*$B$14)</f>
        <v>2.7272727272727268E-2</v>
      </c>
      <c r="R2">
        <f>-(1-$F$11)*$I$12</f>
        <v>-64.45450000000001</v>
      </c>
      <c r="S2">
        <f>$B$12*$I$17*$F$2</f>
        <v>15300.000000000002</v>
      </c>
      <c r="T2">
        <f>(-R2-SQRT(R2^2-4*Q2*S2))/(2*Q2)</f>
        <v>267.6996733102385</v>
      </c>
    </row>
    <row r="3" spans="1:20" x14ac:dyDescent="0.25">
      <c r="A3" s="53"/>
      <c r="B3" s="4">
        <v>14</v>
      </c>
      <c r="C3" s="5">
        <v>99</v>
      </c>
      <c r="E3" s="9" t="s">
        <v>50</v>
      </c>
      <c r="F3" s="6">
        <v>47.44</v>
      </c>
      <c r="G3" s="7" t="s">
        <v>104</v>
      </c>
      <c r="H3" s="12" t="s">
        <v>39</v>
      </c>
      <c r="I3" s="18">
        <f>ROUND(DEGREES(ATAN(TAN(RADIANS(LE_Sweep))-(1+TR)/(2*AR_wing*(1+TR)))),3)</f>
        <v>21.370999999999999</v>
      </c>
      <c r="J3" s="7" t="s">
        <v>24</v>
      </c>
      <c r="K3" s="9" t="s">
        <v>63</v>
      </c>
      <c r="L3" s="6">
        <v>24</v>
      </c>
      <c r="M3" s="6">
        <v>2</v>
      </c>
      <c r="N3" s="7">
        <f t="shared" ref="N3:N6" si="0">M3*L3/2</f>
        <v>24</v>
      </c>
      <c r="P3" t="s">
        <v>105</v>
      </c>
      <c r="Q3">
        <f>3/(4*$B$13)</f>
        <v>3.3333333333333333E-2</v>
      </c>
      <c r="R3">
        <f>-(1-$F$11)*$I$12</f>
        <v>-64.45450000000001</v>
      </c>
      <c r="S3">
        <f>$B$11*$B$8*$F$2</f>
        <v>19500</v>
      </c>
      <c r="T3">
        <f>(-R3-SQRT(R3^2-4*Q3*S3))/(2*Q3)</f>
        <v>375.43261829752515</v>
      </c>
    </row>
    <row r="4" spans="1:20" x14ac:dyDescent="0.25">
      <c r="A4" s="8" t="s">
        <v>16</v>
      </c>
      <c r="B4" s="2" t="s">
        <v>17</v>
      </c>
      <c r="C4" s="3"/>
      <c r="E4" s="9" t="s">
        <v>51</v>
      </c>
      <c r="F4" s="6">
        <v>8</v>
      </c>
      <c r="G4" s="7" t="s">
        <v>59</v>
      </c>
      <c r="H4" s="12" t="s">
        <v>40</v>
      </c>
      <c r="I4" s="18">
        <f>ROUND(2.1*SREF,1)</f>
        <v>3150</v>
      </c>
      <c r="J4" s="14" t="s">
        <v>33</v>
      </c>
      <c r="K4" s="9" t="s">
        <v>64</v>
      </c>
      <c r="L4" s="6">
        <v>20</v>
      </c>
      <c r="M4" s="6">
        <v>0</v>
      </c>
      <c r="N4" s="7">
        <f t="shared" si="0"/>
        <v>0</v>
      </c>
    </row>
    <row r="5" spans="1:20" x14ac:dyDescent="0.25">
      <c r="A5" s="9" t="s">
        <v>18</v>
      </c>
      <c r="B5" s="6">
        <v>2750</v>
      </c>
      <c r="C5" s="7" t="s">
        <v>19</v>
      </c>
      <c r="E5" s="41" t="s">
        <v>56</v>
      </c>
      <c r="F5" s="6">
        <v>6</v>
      </c>
      <c r="G5" s="7"/>
      <c r="H5" s="12" t="s">
        <v>46</v>
      </c>
      <c r="I5" s="18">
        <f>VT_Span/CBAR_V</f>
        <v>1.348435814455232</v>
      </c>
      <c r="J5" s="7"/>
      <c r="K5" s="9" t="s">
        <v>66</v>
      </c>
      <c r="L5" s="6">
        <v>20</v>
      </c>
      <c r="M5" s="6">
        <v>0</v>
      </c>
      <c r="N5" s="7">
        <f t="shared" si="0"/>
        <v>0</v>
      </c>
      <c r="Q5" t="s">
        <v>106</v>
      </c>
    </row>
    <row r="6" spans="1:20" x14ac:dyDescent="0.25">
      <c r="A6" s="9" t="s">
        <v>20</v>
      </c>
      <c r="B6" s="6">
        <v>8500</v>
      </c>
      <c r="C6" s="7" t="s">
        <v>21</v>
      </c>
      <c r="E6" s="41" t="s">
        <v>55</v>
      </c>
      <c r="F6" s="6">
        <v>17</v>
      </c>
      <c r="G6" s="7" t="s">
        <v>54</v>
      </c>
      <c r="H6" s="12" t="s">
        <v>47</v>
      </c>
      <c r="I6" s="18">
        <f>2.1*SREF_V</f>
        <v>788.40300000000002</v>
      </c>
      <c r="J6" s="14" t="s">
        <v>33</v>
      </c>
      <c r="K6" s="9" t="s">
        <v>67</v>
      </c>
      <c r="L6" s="6">
        <v>19</v>
      </c>
      <c r="M6" s="18">
        <v>0</v>
      </c>
      <c r="N6" s="7">
        <f t="shared" si="0"/>
        <v>0</v>
      </c>
    </row>
    <row r="7" spans="1:20" x14ac:dyDescent="0.25">
      <c r="A7" s="9" t="s">
        <v>22</v>
      </c>
      <c r="B7" s="6">
        <v>5500</v>
      </c>
      <c r="C7" s="7" t="s">
        <v>21</v>
      </c>
      <c r="E7" s="41" t="s">
        <v>107</v>
      </c>
      <c r="F7" s="18">
        <v>33</v>
      </c>
      <c r="G7" s="14" t="s">
        <v>54</v>
      </c>
      <c r="H7" s="12" t="s">
        <v>48</v>
      </c>
      <c r="I7" s="18">
        <f>HT_Span/CBAR_H</f>
        <v>2.8248587570621475</v>
      </c>
      <c r="J7" s="7"/>
      <c r="K7" s="9" t="s">
        <v>68</v>
      </c>
      <c r="L7" s="6">
        <v>42</v>
      </c>
      <c r="M7" s="18">
        <v>4</v>
      </c>
      <c r="N7" s="7">
        <f>M7*L7/2</f>
        <v>84</v>
      </c>
    </row>
    <row r="8" spans="1:20" x14ac:dyDescent="0.25">
      <c r="A8" s="9" t="s">
        <v>23</v>
      </c>
      <c r="B8" s="6">
        <v>100</v>
      </c>
      <c r="C8" s="7" t="s">
        <v>21</v>
      </c>
      <c r="E8" s="41" t="s">
        <v>57</v>
      </c>
      <c r="F8" s="6">
        <v>4</v>
      </c>
      <c r="G8" s="7"/>
      <c r="H8" s="12" t="s">
        <v>49</v>
      </c>
      <c r="I8" s="18">
        <f>2.1*SREF_H</f>
        <v>562.16999999999996</v>
      </c>
      <c r="J8" s="14" t="s">
        <v>33</v>
      </c>
      <c r="K8" s="9" t="s">
        <v>69</v>
      </c>
      <c r="L8" s="6">
        <v>32</v>
      </c>
      <c r="M8" s="18">
        <v>0</v>
      </c>
      <c r="N8" s="7">
        <f t="shared" ref="N8:N9" si="1">M8*L8/2</f>
        <v>0</v>
      </c>
    </row>
    <row r="9" spans="1:20" x14ac:dyDescent="0.25">
      <c r="A9" s="9" t="s">
        <v>38</v>
      </c>
      <c r="B9" s="6">
        <v>25</v>
      </c>
      <c r="C9" s="7" t="s">
        <v>24</v>
      </c>
      <c r="E9" s="41" t="s">
        <v>58</v>
      </c>
      <c r="F9" s="6">
        <v>21</v>
      </c>
      <c r="G9" s="7" t="s">
        <v>54</v>
      </c>
      <c r="H9" s="12" t="s">
        <v>108</v>
      </c>
      <c r="I9" s="18">
        <f>ROUNDUP(C3/F5,0)</f>
        <v>17</v>
      </c>
      <c r="J9" s="7"/>
      <c r="K9" s="44" t="s">
        <v>70</v>
      </c>
      <c r="L9" s="4">
        <v>30</v>
      </c>
      <c r="M9" s="4">
        <v>0</v>
      </c>
      <c r="N9" s="7">
        <f t="shared" si="1"/>
        <v>0</v>
      </c>
    </row>
    <row r="10" spans="1:20" x14ac:dyDescent="0.25">
      <c r="A10" s="9" t="s">
        <v>25</v>
      </c>
      <c r="B10" s="13">
        <v>0.1</v>
      </c>
      <c r="C10" s="7"/>
      <c r="E10" s="41" t="s">
        <v>109</v>
      </c>
      <c r="F10" s="18">
        <v>42</v>
      </c>
      <c r="G10" s="14" t="s">
        <v>54</v>
      </c>
      <c r="H10" s="12" t="s">
        <v>110</v>
      </c>
      <c r="I10" s="18">
        <f>ROUNDUP(B3/F8,0)</f>
        <v>4</v>
      </c>
      <c r="J10" s="7"/>
      <c r="K10" s="47" t="s">
        <v>111</v>
      </c>
      <c r="L10" s="47"/>
      <c r="M10" s="48"/>
      <c r="N10" s="23">
        <f>SUM(N3:N9)/12</f>
        <v>9</v>
      </c>
    </row>
    <row r="11" spans="1:20" x14ac:dyDescent="0.25">
      <c r="A11" s="9" t="s">
        <v>27</v>
      </c>
      <c r="B11" s="6">
        <v>0.13</v>
      </c>
      <c r="C11" s="7"/>
      <c r="E11" s="12" t="s">
        <v>112</v>
      </c>
      <c r="F11" s="6">
        <v>0.45</v>
      </c>
      <c r="G11" s="7"/>
      <c r="H11" s="12" t="s">
        <v>113</v>
      </c>
      <c r="I11" s="18">
        <f>(I9*F7+I10*F10)/12+N10</f>
        <v>69.75</v>
      </c>
      <c r="J11" s="7" t="s">
        <v>21</v>
      </c>
    </row>
    <row r="12" spans="1:20" x14ac:dyDescent="0.25">
      <c r="A12" s="9" t="s">
        <v>28</v>
      </c>
      <c r="B12" s="6">
        <v>0.68</v>
      </c>
      <c r="C12" s="7"/>
      <c r="E12" s="42" t="s">
        <v>4</v>
      </c>
      <c r="F12" s="6">
        <v>2</v>
      </c>
      <c r="G12" s="7"/>
      <c r="H12" s="12" t="s">
        <v>52</v>
      </c>
      <c r="I12" s="18">
        <f>LEN_Cabin+LEN_FuseCrud</f>
        <v>117.19</v>
      </c>
      <c r="J12" s="7" t="s">
        <v>21</v>
      </c>
    </row>
    <row r="13" spans="1:20" x14ac:dyDescent="0.25">
      <c r="A13" s="9" t="s">
        <v>29</v>
      </c>
      <c r="B13" s="6">
        <f>0.225*B8</f>
        <v>22.5</v>
      </c>
      <c r="C13" s="7" t="s">
        <v>21</v>
      </c>
      <c r="E13" s="42" t="s">
        <v>5</v>
      </c>
      <c r="F13" s="6">
        <v>2.2000000000000002</v>
      </c>
      <c r="G13" s="7"/>
      <c r="H13" s="12" t="s">
        <v>53</v>
      </c>
      <c r="I13" s="18">
        <f>IF(F5*F6&gt;F8*F9,($F$5*$F$6+20+$F$4)/12,($F$8*$F$9+20+$F$4)/12)</f>
        <v>10.833333333333334</v>
      </c>
      <c r="J13" s="7" t="s">
        <v>21</v>
      </c>
      <c r="K13" t="str">
        <f>IF(I13&lt;8,"WARNING: MINIMAL ROOM FOR BAGGAGE","")</f>
        <v/>
      </c>
    </row>
    <row r="14" spans="1:20" x14ac:dyDescent="0.25">
      <c r="A14" s="9" t="s">
        <v>30</v>
      </c>
      <c r="B14" s="6">
        <f>0.275*B8</f>
        <v>27.500000000000004</v>
      </c>
      <c r="C14" s="7" t="s">
        <v>21</v>
      </c>
      <c r="E14" s="43" t="s">
        <v>72</v>
      </c>
      <c r="F14" s="4">
        <v>150000</v>
      </c>
      <c r="G14" s="5" t="s">
        <v>157</v>
      </c>
      <c r="H14" s="12" t="s">
        <v>114</v>
      </c>
      <c r="I14" s="18">
        <f>0.75*PI()*LEN_Fuse*WIDTH_Fuse-2*(0.5*(TC*I22)*I22)-2*(0.5*(TC*I23)*I23)-(0.5*(TC*I25)*I25)</f>
        <v>2890.5896645456774</v>
      </c>
      <c r="J14" s="14" t="s">
        <v>33</v>
      </c>
      <c r="L14" s="25" t="s">
        <v>186</v>
      </c>
      <c r="M14" s="26" t="s">
        <v>182</v>
      </c>
      <c r="N14" s="26">
        <v>10</v>
      </c>
      <c r="O14" s="26">
        <v>20</v>
      </c>
      <c r="P14" s="26">
        <v>30</v>
      </c>
      <c r="Q14" s="27">
        <v>40</v>
      </c>
    </row>
    <row r="15" spans="1:20" x14ac:dyDescent="0.25">
      <c r="A15" s="9" t="s">
        <v>31</v>
      </c>
      <c r="B15" s="6">
        <v>0.35</v>
      </c>
      <c r="C15" s="7"/>
      <c r="F15" s="18"/>
      <c r="H15" s="12" t="s">
        <v>115</v>
      </c>
      <c r="I15" s="18">
        <f>ROUND(LEN_Fuse/WIDTH_Fuse,3)</f>
        <v>10.818</v>
      </c>
      <c r="J15" s="7"/>
      <c r="L15" s="28" t="s">
        <v>183</v>
      </c>
      <c r="M15" s="32" t="str">
        <f>TO_Landing!B18</f>
        <v>FAIL</v>
      </c>
      <c r="N15" s="32" t="str">
        <f>TO_Landing!C18</f>
        <v>PASS</v>
      </c>
      <c r="O15" s="32" t="str">
        <f>TO_Landing!D18</f>
        <v>PASS</v>
      </c>
      <c r="P15" s="32" t="str">
        <f>TO_Landing!E18</f>
        <v>PASS</v>
      </c>
      <c r="Q15" s="32" t="str">
        <f>TO_Landing!F18</f>
        <v>PASS</v>
      </c>
    </row>
    <row r="16" spans="1:20" x14ac:dyDescent="0.25">
      <c r="A16" s="9" t="s">
        <v>116</v>
      </c>
      <c r="B16" s="6">
        <v>-0.12</v>
      </c>
      <c r="C16" s="7"/>
      <c r="H16" s="12" t="s">
        <v>117</v>
      </c>
      <c r="I16" s="6">
        <f>ROUND(T3,2)</f>
        <v>375.43</v>
      </c>
      <c r="J16" s="7" t="s">
        <v>33</v>
      </c>
      <c r="L16" s="30" t="s">
        <v>184</v>
      </c>
      <c r="M16" s="32" t="str">
        <f>TO_Landing!B19</f>
        <v>PASS</v>
      </c>
      <c r="N16" s="32" t="str">
        <f>TO_Landing!C19</f>
        <v>PASS</v>
      </c>
      <c r="O16" s="32" t="str">
        <f>TO_Landing!D19</f>
        <v>PASS</v>
      </c>
      <c r="P16" s="32" t="str">
        <f>TO_Landing!E19</f>
        <v>PASS</v>
      </c>
      <c r="Q16" s="32" t="str">
        <f>TO_Landing!F19</f>
        <v>PASS</v>
      </c>
    </row>
    <row r="17" spans="1:13" x14ac:dyDescent="0.25">
      <c r="A17" s="9" t="s">
        <v>32</v>
      </c>
      <c r="B17" s="6">
        <v>1</v>
      </c>
      <c r="C17" s="7" t="s">
        <v>33</v>
      </c>
      <c r="H17" s="12" t="s">
        <v>118</v>
      </c>
      <c r="I17" s="6">
        <f>SREF/Span</f>
        <v>15</v>
      </c>
      <c r="J17" s="7" t="s">
        <v>21</v>
      </c>
    </row>
    <row r="18" spans="1:13" x14ac:dyDescent="0.25">
      <c r="A18" s="12" t="s">
        <v>41</v>
      </c>
      <c r="B18" s="6">
        <v>0</v>
      </c>
      <c r="C18" s="7"/>
      <c r="H18" s="12" t="s">
        <v>119</v>
      </c>
      <c r="I18" s="6">
        <f>ROUND(T2,2)</f>
        <v>267.7</v>
      </c>
      <c r="J18" s="7" t="s">
        <v>33</v>
      </c>
      <c r="L18" s="33" t="s">
        <v>180</v>
      </c>
      <c r="M18" s="34" t="str">
        <f>Skymaps!B20</f>
        <v>PASS</v>
      </c>
    </row>
    <row r="19" spans="1:13" x14ac:dyDescent="0.25">
      <c r="A19" s="12" t="s">
        <v>42</v>
      </c>
      <c r="B19" s="6">
        <v>1</v>
      </c>
      <c r="C19" s="7" t="s">
        <v>26</v>
      </c>
      <c r="H19" s="12" t="s">
        <v>120</v>
      </c>
      <c r="I19" s="6">
        <f>ROUND(T3/VT_Span,3)</f>
        <v>16.686</v>
      </c>
      <c r="J19" s="7" t="s">
        <v>21</v>
      </c>
      <c r="L19" s="33" t="s">
        <v>198</v>
      </c>
      <c r="M19" s="25" t="str">
        <f>Weights!F10</f>
        <v>FAIL</v>
      </c>
    </row>
    <row r="20" spans="1:13" x14ac:dyDescent="0.25">
      <c r="A20" s="12" t="s">
        <v>43</v>
      </c>
      <c r="B20" s="6">
        <v>0</v>
      </c>
      <c r="C20" s="7"/>
      <c r="H20" s="12" t="s">
        <v>121</v>
      </c>
      <c r="I20" s="6">
        <f>ROUND(T2/HT_Span,3)</f>
        <v>9.7349999999999994</v>
      </c>
      <c r="J20" s="7" t="s">
        <v>21</v>
      </c>
      <c r="L20" s="33" t="s">
        <v>199</v>
      </c>
      <c r="M20" s="25" t="str">
        <f>Weights!F13</f>
        <v>PASS</v>
      </c>
    </row>
    <row r="21" spans="1:13" x14ac:dyDescent="0.25">
      <c r="A21" s="12" t="s">
        <v>44</v>
      </c>
      <c r="B21" s="6">
        <v>0</v>
      </c>
      <c r="C21" s="7"/>
      <c r="H21" s="12" t="s">
        <v>174</v>
      </c>
      <c r="I21" s="6">
        <f>TR*(2*CBar_W)/(TR+1)</f>
        <v>7.7777777777777777</v>
      </c>
      <c r="J21" s="7" t="s">
        <v>21</v>
      </c>
    </row>
    <row r="22" spans="1:13" x14ac:dyDescent="0.25">
      <c r="A22" s="12" t="s">
        <v>122</v>
      </c>
      <c r="B22" s="6">
        <v>36000</v>
      </c>
      <c r="C22" s="7"/>
      <c r="H22" s="12" t="s">
        <v>173</v>
      </c>
      <c r="I22" s="6">
        <f>2*CBar_W-I21</f>
        <v>22.222222222222221</v>
      </c>
      <c r="J22" s="7" t="s">
        <v>21</v>
      </c>
    </row>
    <row r="23" spans="1:13" x14ac:dyDescent="0.25">
      <c r="A23" s="12" t="s">
        <v>123</v>
      </c>
      <c r="B23" s="6">
        <v>0.87</v>
      </c>
      <c r="C23" s="7" t="s">
        <v>21</v>
      </c>
      <c r="H23" s="12" t="s">
        <v>152</v>
      </c>
      <c r="I23" s="6">
        <f>(2*CBAR_H)/(TR+1)</f>
        <v>14.422222222222221</v>
      </c>
      <c r="J23" s="7" t="s">
        <v>21</v>
      </c>
    </row>
    <row r="24" spans="1:13" x14ac:dyDescent="0.25">
      <c r="A24" s="12" t="s">
        <v>125</v>
      </c>
      <c r="B24" s="6">
        <v>0</v>
      </c>
      <c r="C24" s="7" t="s">
        <v>124</v>
      </c>
      <c r="H24" s="12" t="s">
        <v>153</v>
      </c>
      <c r="I24" s="6">
        <f>(TR*2*CBAR_H)/(TR+1)</f>
        <v>5.0477777777777764</v>
      </c>
      <c r="J24" s="7" t="s">
        <v>21</v>
      </c>
    </row>
    <row r="25" spans="1:13" x14ac:dyDescent="0.25">
      <c r="A25" s="12" t="s">
        <v>126</v>
      </c>
      <c r="B25" s="6">
        <v>0.37</v>
      </c>
      <c r="C25" s="7"/>
      <c r="H25" s="12" t="s">
        <v>154</v>
      </c>
      <c r="I25" s="6">
        <f>(2*CBAR_V)/(TR+1)</f>
        <v>24.72</v>
      </c>
      <c r="J25" s="7" t="s">
        <v>21</v>
      </c>
    </row>
    <row r="26" spans="1:13" x14ac:dyDescent="0.25">
      <c r="A26" s="12" t="s">
        <v>127</v>
      </c>
      <c r="B26" s="18">
        <v>1</v>
      </c>
      <c r="C26" s="7" t="s">
        <v>26</v>
      </c>
      <c r="H26" s="21" t="s">
        <v>155</v>
      </c>
      <c r="I26" s="4">
        <f>(TR*2*CBAR_V)/(TR+1)</f>
        <v>8.6519999999999992</v>
      </c>
      <c r="J26" s="5" t="s">
        <v>21</v>
      </c>
    </row>
    <row r="27" spans="1:13" x14ac:dyDescent="0.25">
      <c r="A27" s="21" t="s">
        <v>130</v>
      </c>
      <c r="B27" s="22">
        <v>10000</v>
      </c>
      <c r="C27" s="5" t="s">
        <v>172</v>
      </c>
      <c r="H27" s="39" t="s">
        <v>187</v>
      </c>
      <c r="I27" s="15">
        <f>MTOW/SREF</f>
        <v>100</v>
      </c>
      <c r="J27" s="14" t="s">
        <v>188</v>
      </c>
    </row>
    <row r="28" spans="1:13" x14ac:dyDescent="0.25">
      <c r="H28" s="21" t="s">
        <v>189</v>
      </c>
      <c r="I28" s="31">
        <f>Thrust/MTOW</f>
        <v>0.29333333333333333</v>
      </c>
      <c r="J28" s="38" t="s">
        <v>190</v>
      </c>
    </row>
    <row r="30" spans="1:13" x14ac:dyDescent="0.25">
      <c r="D30" t="s">
        <v>128</v>
      </c>
    </row>
  </sheetData>
  <mergeCells count="6">
    <mergeCell ref="K1:N1"/>
    <mergeCell ref="K10:M10"/>
    <mergeCell ref="A1:C1"/>
    <mergeCell ref="A2:A3"/>
    <mergeCell ref="E1:G1"/>
    <mergeCell ref="H1:J1"/>
  </mergeCells>
  <conditionalFormatting sqref="L14:Q16 L18:L20">
    <cfRule type="containsText" dxfId="7" priority="7" operator="containsText" text="PASS">
      <formula>NOT(ISERROR(SEARCH("PASS",L14)))</formula>
    </cfRule>
    <cfRule type="containsText" dxfId="6" priority="8" operator="containsText" text="FAIL">
      <formula>NOT(ISERROR(SEARCH("FAIL",L14)))</formula>
    </cfRule>
  </conditionalFormatting>
  <conditionalFormatting sqref="M18">
    <cfRule type="containsText" dxfId="5" priority="5" operator="containsText" text="FAIL">
      <formula>NOT(ISERROR(SEARCH("FAIL",M18)))</formula>
    </cfRule>
    <cfRule type="containsText" dxfId="4" priority="6" operator="containsText" text="PASS">
      <formula>NOT(ISERROR(SEARCH("PASS",M18)))</formula>
    </cfRule>
  </conditionalFormatting>
  <conditionalFormatting sqref="M19">
    <cfRule type="containsText" dxfId="3" priority="4" operator="containsText" text="FAIL">
      <formula>NOT(ISERROR(SEARCH("FAIL",M19)))</formula>
    </cfRule>
    <cfRule type="containsText" dxfId="2" priority="3" operator="containsText" text="PASS">
      <formula>NOT(ISERROR(SEARCH("PASS",M19)))</formula>
    </cfRule>
  </conditionalFormatting>
  <conditionalFormatting sqref="M20">
    <cfRule type="containsText" dxfId="0" priority="2" operator="containsText" text="FAIL">
      <formula>NOT(ISERROR(SEARCH("FAIL",M20)))</formula>
    </cfRule>
    <cfRule type="containsText" dxfId="1" priority="1" operator="containsText" text="PASS">
      <formula>NOT(ISERROR(SEARCH("PASS",M20)))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UT">
                <anchor moveWithCells="1">
                  <from>
                    <xdr:col>15</xdr:col>
                    <xdr:colOff>85725</xdr:colOff>
                    <xdr:row>10</xdr:row>
                    <xdr:rowOff>9525</xdr:rowOff>
                  </from>
                  <to>
                    <xdr:col>16</xdr:col>
                    <xdr:colOff>381000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C936"/>
  <sheetViews>
    <sheetView zoomScale="70" zoomScaleNormal="70" workbookViewId="0">
      <selection activeCell="B24" sqref="B24"/>
    </sheetView>
  </sheetViews>
  <sheetFormatPr defaultRowHeight="15" x14ac:dyDescent="0.25"/>
  <cols>
    <col min="1" max="1" width="20.5703125" bestFit="1" customWidth="1"/>
    <col min="2" max="2" width="21.7109375" bestFit="1" customWidth="1"/>
  </cols>
  <sheetData>
    <row r="1" spans="1:55" x14ac:dyDescent="0.25">
      <c r="A1" s="55" t="s">
        <v>0</v>
      </c>
      <c r="B1" s="55"/>
      <c r="C1" t="s">
        <v>132</v>
      </c>
      <c r="D1" t="s">
        <v>133</v>
      </c>
      <c r="E1">
        <v>0</v>
      </c>
      <c r="F1">
        <v>0.02</v>
      </c>
      <c r="G1">
        <v>0.04</v>
      </c>
      <c r="H1">
        <v>0.06</v>
      </c>
      <c r="I1">
        <v>0.08</v>
      </c>
      <c r="J1">
        <v>0.1</v>
      </c>
      <c r="K1">
        <v>0.12</v>
      </c>
      <c r="L1">
        <v>0.14000000000000001</v>
      </c>
      <c r="M1">
        <v>0.16</v>
      </c>
      <c r="N1">
        <v>0.18</v>
      </c>
      <c r="O1">
        <v>0.2</v>
      </c>
      <c r="P1">
        <v>0.22</v>
      </c>
      <c r="Q1">
        <v>0.24</v>
      </c>
      <c r="R1">
        <v>0.26</v>
      </c>
      <c r="S1">
        <v>0.28000000000000003</v>
      </c>
      <c r="T1">
        <v>0.3</v>
      </c>
      <c r="U1">
        <v>0.32</v>
      </c>
      <c r="V1">
        <v>0.34</v>
      </c>
      <c r="W1">
        <v>0.36</v>
      </c>
      <c r="X1">
        <v>0.38</v>
      </c>
      <c r="Y1">
        <v>0.4</v>
      </c>
      <c r="Z1">
        <v>0.42</v>
      </c>
      <c r="AA1">
        <v>0.44</v>
      </c>
      <c r="AB1">
        <v>0.46</v>
      </c>
      <c r="AC1">
        <v>0.48</v>
      </c>
      <c r="AD1">
        <v>0.5</v>
      </c>
      <c r="AE1">
        <v>0.52</v>
      </c>
      <c r="AF1">
        <v>0.54</v>
      </c>
      <c r="AG1">
        <v>0.56000000000000005</v>
      </c>
      <c r="AH1">
        <v>0.57999999999999996</v>
      </c>
      <c r="AI1">
        <v>0.6</v>
      </c>
      <c r="AJ1">
        <v>0.62</v>
      </c>
      <c r="AK1">
        <v>0.64</v>
      </c>
      <c r="AL1">
        <v>0.66</v>
      </c>
      <c r="AM1">
        <v>0.68</v>
      </c>
      <c r="AN1">
        <v>0.7</v>
      </c>
      <c r="AO1">
        <v>0.72</v>
      </c>
      <c r="AP1">
        <v>0.74</v>
      </c>
      <c r="AQ1">
        <v>0.76</v>
      </c>
      <c r="AR1">
        <v>0.78</v>
      </c>
      <c r="AS1">
        <v>0.8</v>
      </c>
      <c r="AT1">
        <v>0.82</v>
      </c>
      <c r="AU1">
        <v>0.84</v>
      </c>
      <c r="AV1">
        <v>0.86</v>
      </c>
      <c r="AW1">
        <v>0.88</v>
      </c>
      <c r="AX1">
        <v>0.9</v>
      </c>
      <c r="AY1">
        <v>0.92</v>
      </c>
      <c r="AZ1">
        <v>0.94</v>
      </c>
      <c r="BA1">
        <v>0.96</v>
      </c>
      <c r="BB1">
        <v>0.98</v>
      </c>
      <c r="BC1">
        <v>1</v>
      </c>
    </row>
    <row r="2" spans="1:55" x14ac:dyDescent="0.25">
      <c r="A2" t="s">
        <v>6</v>
      </c>
      <c r="B2" s="1" t="s">
        <v>193</v>
      </c>
      <c r="D2">
        <v>0</v>
      </c>
      <c r="E2">
        <v>0</v>
      </c>
      <c r="F2">
        <v>0.59254157543182373</v>
      </c>
      <c r="G2">
        <v>2.3701663017272949</v>
      </c>
      <c r="H2">
        <v>5.3328742980957031</v>
      </c>
      <c r="I2">
        <v>9.4806652069091797</v>
      </c>
      <c r="J2">
        <v>14.813540458679199</v>
      </c>
      <c r="K2">
        <v>21.331497192382813</v>
      </c>
      <c r="L2">
        <v>29.034538269042969</v>
      </c>
      <c r="M2">
        <v>37.922660827636719</v>
      </c>
      <c r="N2">
        <v>47.995868682861328</v>
      </c>
      <c r="O2">
        <v>59.254161834716797</v>
      </c>
      <c r="P2">
        <v>71.697532653808594</v>
      </c>
      <c r="Q2">
        <v>85.32598876953125</v>
      </c>
      <c r="R2">
        <v>100.13953399658203</v>
      </c>
      <c r="S2">
        <v>116.13815307617188</v>
      </c>
      <c r="T2">
        <v>133.32185363769531</v>
      </c>
      <c r="U2">
        <v>151.69064331054688</v>
      </c>
      <c r="V2">
        <v>171.24452209472656</v>
      </c>
      <c r="W2">
        <v>191.98347473144531</v>
      </c>
      <c r="X2">
        <v>213.90751647949219</v>
      </c>
      <c r="Y2">
        <v>237.01664733886719</v>
      </c>
      <c r="Z2">
        <v>261.31085205078125</v>
      </c>
      <c r="AA2">
        <v>286.79013061523438</v>
      </c>
      <c r="AB2">
        <v>313.45449829101563</v>
      </c>
      <c r="AC2">
        <v>341.303955078125</v>
      </c>
      <c r="AD2">
        <v>370.3385009765625</v>
      </c>
      <c r="AE2">
        <v>400.55813598632813</v>
      </c>
      <c r="AF2">
        <v>431.96282958984375</v>
      </c>
      <c r="AG2">
        <v>464.5526123046875</v>
      </c>
      <c r="AH2">
        <v>498.32748413085938</v>
      </c>
      <c r="AI2">
        <v>533.28741455078125</v>
      </c>
      <c r="AJ2">
        <v>569.4324951171875</v>
      </c>
      <c r="AK2">
        <v>606.7625732421875</v>
      </c>
      <c r="AL2">
        <v>645.27783203125</v>
      </c>
      <c r="AM2">
        <v>684.97808837890625</v>
      </c>
      <c r="AN2">
        <v>725.86346435546875</v>
      </c>
      <c r="AO2">
        <v>767.93389892578125</v>
      </c>
      <c r="AP2">
        <v>811.189453125</v>
      </c>
      <c r="AQ2">
        <v>855.63006591796875</v>
      </c>
      <c r="AR2">
        <v>901.25579833984375</v>
      </c>
      <c r="AS2">
        <v>948.06658935546875</v>
      </c>
      <c r="AT2">
        <v>996.06243896484375</v>
      </c>
      <c r="AU2">
        <v>1045.243408203125</v>
      </c>
      <c r="AV2">
        <v>1095.609375</v>
      </c>
      <c r="AW2">
        <v>1147.1605224609375</v>
      </c>
      <c r="AX2">
        <v>1199.896728515625</v>
      </c>
      <c r="AY2">
        <v>1253.8179931640625</v>
      </c>
      <c r="AZ2">
        <v>1308.9244384765625</v>
      </c>
      <c r="BA2">
        <v>1365.2158203125</v>
      </c>
      <c r="BB2">
        <v>1422.6923828125</v>
      </c>
      <c r="BC2">
        <v>1481.35400390625</v>
      </c>
    </row>
    <row r="3" spans="1:55" x14ac:dyDescent="0.25">
      <c r="A3" t="s">
        <v>1</v>
      </c>
      <c r="B3" s="1" t="s">
        <v>129</v>
      </c>
      <c r="D3">
        <v>1000</v>
      </c>
      <c r="E3">
        <v>0</v>
      </c>
      <c r="F3">
        <v>0.57144069671630859</v>
      </c>
      <c r="G3">
        <v>2.2857627868652344</v>
      </c>
      <c r="H3">
        <v>5.1429662704467773</v>
      </c>
      <c r="I3">
        <v>9.1430511474609375</v>
      </c>
      <c r="J3">
        <v>14.286018371582031</v>
      </c>
      <c r="K3">
        <v>20.571865081787109</v>
      </c>
      <c r="L3">
        <v>28.000595092773438</v>
      </c>
      <c r="M3">
        <v>36.57220458984375</v>
      </c>
      <c r="N3">
        <v>46.286697387695313</v>
      </c>
      <c r="O3">
        <v>57.144073486328125</v>
      </c>
      <c r="P3">
        <v>69.144325256347656</v>
      </c>
      <c r="Q3">
        <v>82.287460327148438</v>
      </c>
      <c r="R3">
        <v>96.573478698730469</v>
      </c>
      <c r="S3">
        <v>112.00238037109375</v>
      </c>
      <c r="T3">
        <v>128.57415771484375</v>
      </c>
      <c r="U3">
        <v>146.288818359375</v>
      </c>
      <c r="V3">
        <v>165.1463623046875</v>
      </c>
      <c r="W3">
        <v>185.14678955078125</v>
      </c>
      <c r="X3">
        <v>206.29010009765625</v>
      </c>
      <c r="Y3">
        <v>228.5762939453125</v>
      </c>
      <c r="Z3">
        <v>252.00535583496094</v>
      </c>
      <c r="AA3">
        <v>276.57730102539063</v>
      </c>
      <c r="AB3">
        <v>302.29214477539063</v>
      </c>
      <c r="AC3">
        <v>329.14984130859375</v>
      </c>
      <c r="AD3">
        <v>357.15045166015625</v>
      </c>
      <c r="AE3">
        <v>386.29391479492188</v>
      </c>
      <c r="AF3">
        <v>416.58029174804688</v>
      </c>
      <c r="AG3">
        <v>448.009521484375</v>
      </c>
      <c r="AH3">
        <v>480.58163452148438</v>
      </c>
      <c r="AI3">
        <v>514.296630859375</v>
      </c>
      <c r="AJ3">
        <v>549.154541015625</v>
      </c>
      <c r="AK3">
        <v>585.1552734375</v>
      </c>
      <c r="AL3">
        <v>622.2989501953125</v>
      </c>
      <c r="AM3">
        <v>660.58544921875</v>
      </c>
      <c r="AN3">
        <v>700.014892578125</v>
      </c>
      <c r="AO3">
        <v>740.587158203125</v>
      </c>
      <c r="AP3">
        <v>782.3023681640625</v>
      </c>
      <c r="AQ3">
        <v>825.160400390625</v>
      </c>
      <c r="AR3">
        <v>869.16131591796875</v>
      </c>
      <c r="AS3">
        <v>914.30517578125</v>
      </c>
      <c r="AT3">
        <v>960.59185791015625</v>
      </c>
      <c r="AU3">
        <v>1008.0214233398438</v>
      </c>
      <c r="AV3">
        <v>1056.5938720703125</v>
      </c>
      <c r="AW3">
        <v>1106.3092041015625</v>
      </c>
      <c r="AX3">
        <v>1157.16748046875</v>
      </c>
      <c r="AY3">
        <v>1209.1685791015625</v>
      </c>
      <c r="AZ3">
        <v>1262.3125</v>
      </c>
      <c r="BA3">
        <v>1316.599365234375</v>
      </c>
      <c r="BB3">
        <v>1372.0291748046875</v>
      </c>
      <c r="BC3">
        <v>1428.601806640625</v>
      </c>
    </row>
    <row r="4" spans="1:55" x14ac:dyDescent="0.25">
      <c r="A4" t="s">
        <v>2</v>
      </c>
      <c r="B4" s="1" t="s">
        <v>131</v>
      </c>
      <c r="D4">
        <v>2000</v>
      </c>
      <c r="E4">
        <v>0</v>
      </c>
      <c r="F4">
        <v>0.55095446109771729</v>
      </c>
      <c r="G4">
        <v>2.2038178443908691</v>
      </c>
      <c r="H4">
        <v>4.958590030670166</v>
      </c>
      <c r="I4">
        <v>8.8152713775634766</v>
      </c>
      <c r="J4">
        <v>13.773860931396484</v>
      </c>
      <c r="K4">
        <v>19.834360122680664</v>
      </c>
      <c r="L4">
        <v>26.996767044067383</v>
      </c>
      <c r="M4">
        <v>35.261085510253906</v>
      </c>
      <c r="N4">
        <v>44.627311706542969</v>
      </c>
      <c r="O4">
        <v>55.095443725585938</v>
      </c>
      <c r="P4">
        <v>66.665489196777344</v>
      </c>
      <c r="Q4">
        <v>79.337440490722656</v>
      </c>
      <c r="R4">
        <v>93.111297607421875</v>
      </c>
      <c r="S4">
        <v>107.98706817626953</v>
      </c>
      <c r="T4">
        <v>123.96475219726563</v>
      </c>
      <c r="U4">
        <v>141.04434204101563</v>
      </c>
      <c r="V4">
        <v>159.225830078125</v>
      </c>
      <c r="W4">
        <v>178.50924682617188</v>
      </c>
      <c r="X4">
        <v>198.89454650878906</v>
      </c>
      <c r="Y4">
        <v>220.38177490234375</v>
      </c>
      <c r="Z4">
        <v>242.97091674804688</v>
      </c>
      <c r="AA4">
        <v>266.66195678710938</v>
      </c>
      <c r="AB4">
        <v>291.45489501953125</v>
      </c>
      <c r="AC4">
        <v>317.34976196289063</v>
      </c>
      <c r="AD4">
        <v>344.34652709960938</v>
      </c>
      <c r="AE4">
        <v>372.4451904296875</v>
      </c>
      <c r="AF4">
        <v>401.64578247070313</v>
      </c>
      <c r="AG4">
        <v>431.94827270507813</v>
      </c>
      <c r="AH4">
        <v>463.35269165039063</v>
      </c>
      <c r="AI4">
        <v>495.8590087890625</v>
      </c>
      <c r="AJ4">
        <v>529.46722412109375</v>
      </c>
      <c r="AK4">
        <v>564.1773681640625</v>
      </c>
      <c r="AL4">
        <v>599.9893798828125</v>
      </c>
      <c r="AM4">
        <v>636.9033203125</v>
      </c>
      <c r="AN4">
        <v>674.919189453125</v>
      </c>
      <c r="AO4">
        <v>714.0369873046875</v>
      </c>
      <c r="AP4">
        <v>754.25665283203125</v>
      </c>
      <c r="AQ4">
        <v>795.57818603515625</v>
      </c>
      <c r="AR4">
        <v>838.001708984375</v>
      </c>
      <c r="AS4">
        <v>881.527099609375</v>
      </c>
      <c r="AT4">
        <v>926.1544189453125</v>
      </c>
      <c r="AU4">
        <v>971.8836669921875</v>
      </c>
      <c r="AV4">
        <v>1018.7147827148438</v>
      </c>
      <c r="AW4">
        <v>1066.6478271484375</v>
      </c>
      <c r="AX4">
        <v>1115.6827392578125</v>
      </c>
      <c r="AY4">
        <v>1165.819580078125</v>
      </c>
      <c r="AZ4">
        <v>1217.058349609375</v>
      </c>
      <c r="BA4">
        <v>1269.3990478515625</v>
      </c>
      <c r="BB4">
        <v>1322.8416748046875</v>
      </c>
      <c r="BC4">
        <v>1377.3861083984375</v>
      </c>
    </row>
    <row r="5" spans="1:55" x14ac:dyDescent="0.25">
      <c r="A5" t="s">
        <v>3</v>
      </c>
      <c r="B5">
        <f>MTOW</f>
        <v>150000</v>
      </c>
      <c r="D5">
        <v>3000</v>
      </c>
      <c r="E5">
        <v>0</v>
      </c>
      <c r="F5">
        <v>0.53106880187988281</v>
      </c>
      <c r="G5">
        <v>2.1242752075195313</v>
      </c>
      <c r="H5">
        <v>4.7796192169189453</v>
      </c>
      <c r="I5">
        <v>8.497100830078125</v>
      </c>
      <c r="J5">
        <v>13.27672004699707</v>
      </c>
      <c r="K5">
        <v>19.118476867675781</v>
      </c>
      <c r="L5">
        <v>26.022371292114258</v>
      </c>
      <c r="M5">
        <v>33.9884033203125</v>
      </c>
      <c r="N5">
        <v>43.016571044921875</v>
      </c>
      <c r="O5">
        <v>53.106880187988281</v>
      </c>
      <c r="P5">
        <v>64.259323120117188</v>
      </c>
      <c r="Q5">
        <v>76.473907470703125</v>
      </c>
      <c r="R5">
        <v>89.750625610351563</v>
      </c>
      <c r="S5">
        <v>104.08948516845703</v>
      </c>
      <c r="T5">
        <v>119.490478515625</v>
      </c>
      <c r="U5">
        <v>135.95361328125</v>
      </c>
      <c r="V5">
        <v>153.4788818359375</v>
      </c>
      <c r="W5">
        <v>172.0662841796875</v>
      </c>
      <c r="X5">
        <v>191.71583557128906</v>
      </c>
      <c r="Y5">
        <v>212.42752075195313</v>
      </c>
      <c r="Z5">
        <v>234.20133972167969</v>
      </c>
      <c r="AA5">
        <v>257.03729248046875</v>
      </c>
      <c r="AB5">
        <v>280.93539428710938</v>
      </c>
      <c r="AC5">
        <v>305.8956298828125</v>
      </c>
      <c r="AD5">
        <v>331.91799926757813</v>
      </c>
      <c r="AE5">
        <v>359.00250244140625</v>
      </c>
      <c r="AF5">
        <v>387.14913940429688</v>
      </c>
      <c r="AG5">
        <v>416.35794067382813</v>
      </c>
      <c r="AH5">
        <v>446.62884521484375</v>
      </c>
      <c r="AI5">
        <v>477.9619140625</v>
      </c>
      <c r="AJ5">
        <v>510.35711669921875</v>
      </c>
      <c r="AK5">
        <v>543.814453125</v>
      </c>
      <c r="AL5">
        <v>578.33392333984375</v>
      </c>
      <c r="AM5">
        <v>613.91552734375</v>
      </c>
      <c r="AN5">
        <v>650.55926513671875</v>
      </c>
      <c r="AO5">
        <v>688.26513671875</v>
      </c>
      <c r="AP5">
        <v>727.033203125</v>
      </c>
      <c r="AQ5">
        <v>766.86334228515625</v>
      </c>
      <c r="AR5">
        <v>807.755615234375</v>
      </c>
      <c r="AS5">
        <v>849.7100830078125</v>
      </c>
      <c r="AT5">
        <v>892.72662353515625</v>
      </c>
      <c r="AU5">
        <v>936.80535888671875</v>
      </c>
      <c r="AV5">
        <v>981.94622802734375</v>
      </c>
      <c r="AW5">
        <v>1028.149169921875</v>
      </c>
      <c r="AX5">
        <v>1075.414306640625</v>
      </c>
      <c r="AY5">
        <v>1123.7415771484375</v>
      </c>
      <c r="AZ5">
        <v>1173.1309814453125</v>
      </c>
      <c r="BA5">
        <v>1223.58251953125</v>
      </c>
      <c r="BB5">
        <v>1275.09619140625</v>
      </c>
      <c r="BC5">
        <v>1327.6719970703125</v>
      </c>
    </row>
    <row r="6" spans="1:55" x14ac:dyDescent="0.25">
      <c r="A6" t="s">
        <v>4</v>
      </c>
      <c r="B6">
        <f>nEngine</f>
        <v>2</v>
      </c>
      <c r="D6">
        <v>4000</v>
      </c>
      <c r="E6">
        <v>0</v>
      </c>
      <c r="F6">
        <v>0.51177018880844116</v>
      </c>
      <c r="G6">
        <v>2.0470807552337646</v>
      </c>
      <c r="H6">
        <v>4.6059317588806152</v>
      </c>
      <c r="I6">
        <v>8.1883230209350586</v>
      </c>
      <c r="J6">
        <v>12.794255256652832</v>
      </c>
      <c r="K6">
        <v>18.423727035522461</v>
      </c>
      <c r="L6">
        <v>25.076740264892578</v>
      </c>
      <c r="M6">
        <v>32.753292083740234</v>
      </c>
      <c r="N6">
        <v>41.453388214111328</v>
      </c>
      <c r="O6">
        <v>51.177021026611328</v>
      </c>
      <c r="P6">
        <v>61.9241943359375</v>
      </c>
      <c r="Q6">
        <v>73.694908142089844</v>
      </c>
      <c r="R6">
        <v>86.489166259765625</v>
      </c>
      <c r="S6">
        <v>100.30696105957031</v>
      </c>
      <c r="T6">
        <v>115.14830017089844</v>
      </c>
      <c r="U6">
        <v>131.01316833496094</v>
      </c>
      <c r="V6">
        <v>147.90159606933594</v>
      </c>
      <c r="W6">
        <v>165.81355285644531</v>
      </c>
      <c r="X6">
        <v>184.74905395507813</v>
      </c>
      <c r="Y6">
        <v>204.70808410644531</v>
      </c>
      <c r="Z6">
        <v>225.69065856933594</v>
      </c>
      <c r="AA6">
        <v>247.69677734375</v>
      </c>
      <c r="AB6">
        <v>270.7264404296875</v>
      </c>
      <c r="AC6">
        <v>294.77963256835938</v>
      </c>
      <c r="AD6">
        <v>319.85638427734375</v>
      </c>
      <c r="AE6">
        <v>345.9566650390625</v>
      </c>
      <c r="AF6">
        <v>373.08047485351563</v>
      </c>
      <c r="AG6">
        <v>401.22784423828125</v>
      </c>
      <c r="AH6">
        <v>430.39874267578125</v>
      </c>
      <c r="AI6">
        <v>460.59320068359375</v>
      </c>
      <c r="AJ6">
        <v>491.81118774414063</v>
      </c>
      <c r="AK6">
        <v>524.05267333984375</v>
      </c>
      <c r="AL6">
        <v>557.3177490234375</v>
      </c>
      <c r="AM6">
        <v>591.60638427734375</v>
      </c>
      <c r="AN6">
        <v>626.91851806640625</v>
      </c>
      <c r="AO6">
        <v>663.25421142578125</v>
      </c>
      <c r="AP6">
        <v>700.6134033203125</v>
      </c>
      <c r="AQ6">
        <v>738.9962158203125</v>
      </c>
      <c r="AR6">
        <v>778.40252685546875</v>
      </c>
      <c r="AS6">
        <v>818.83233642578125</v>
      </c>
      <c r="AT6">
        <v>860.28570556640625</v>
      </c>
      <c r="AU6">
        <v>902.76263427734375</v>
      </c>
      <c r="AV6">
        <v>946.26312255859375</v>
      </c>
      <c r="AW6">
        <v>990.787109375</v>
      </c>
      <c r="AX6">
        <v>1036.334716796875</v>
      </c>
      <c r="AY6">
        <v>1082.90576171875</v>
      </c>
      <c r="AZ6">
        <v>1130.5003662109375</v>
      </c>
      <c r="BA6">
        <v>1179.1185302734375</v>
      </c>
      <c r="BB6">
        <v>1228.76025390625</v>
      </c>
      <c r="BC6">
        <v>1279.425537109375</v>
      </c>
    </row>
    <row r="7" spans="1:55" x14ac:dyDescent="0.25">
      <c r="A7" t="s">
        <v>5</v>
      </c>
      <c r="B7">
        <f>enScaleFactor</f>
        <v>2.2000000000000002</v>
      </c>
      <c r="D7">
        <v>5000</v>
      </c>
      <c r="E7">
        <v>0</v>
      </c>
      <c r="F7">
        <v>0.49304521083831787</v>
      </c>
      <c r="G7">
        <v>1.9721808433532715</v>
      </c>
      <c r="H7">
        <v>4.4374070167541504</v>
      </c>
      <c r="I7">
        <v>7.8887233734130859</v>
      </c>
      <c r="J7">
        <v>12.326129913330078</v>
      </c>
      <c r="K7">
        <v>17.749628067016602</v>
      </c>
      <c r="L7">
        <v>24.159215927124023</v>
      </c>
      <c r="M7">
        <v>31.554893493652344</v>
      </c>
      <c r="N7">
        <v>39.936660766601563</v>
      </c>
      <c r="O7">
        <v>49.304519653320313</v>
      </c>
      <c r="P7">
        <v>59.658470153808594</v>
      </c>
      <c r="Q7">
        <v>70.998512268066406</v>
      </c>
      <c r="R7">
        <v>83.324638366699219</v>
      </c>
      <c r="S7">
        <v>96.636863708496094</v>
      </c>
      <c r="T7">
        <v>110.93517303466797</v>
      </c>
      <c r="U7">
        <v>126.21957397460938</v>
      </c>
      <c r="V7">
        <v>142.49006652832031</v>
      </c>
      <c r="W7">
        <v>159.74664306640625</v>
      </c>
      <c r="X7">
        <v>177.98931884765625</v>
      </c>
      <c r="Y7">
        <v>197.21807861328125</v>
      </c>
      <c r="Z7">
        <v>217.43293762207031</v>
      </c>
      <c r="AA7">
        <v>238.63388061523438</v>
      </c>
      <c r="AB7">
        <v>260.8209228515625</v>
      </c>
      <c r="AC7">
        <v>283.99404907226563</v>
      </c>
      <c r="AD7">
        <v>308.15325927734375</v>
      </c>
      <c r="AE7">
        <v>333.29855346679688</v>
      </c>
      <c r="AF7">
        <v>359.42996215820313</v>
      </c>
      <c r="AG7">
        <v>386.54745483398438</v>
      </c>
      <c r="AH7">
        <v>414.65103149414063</v>
      </c>
      <c r="AI7">
        <v>443.74069213867188</v>
      </c>
      <c r="AJ7">
        <v>473.81643676757813</v>
      </c>
      <c r="AK7">
        <v>504.8782958984375</v>
      </c>
      <c r="AL7">
        <v>536.92620849609375</v>
      </c>
      <c r="AM7">
        <v>569.96026611328125</v>
      </c>
      <c r="AN7">
        <v>603.98040771484375</v>
      </c>
      <c r="AO7">
        <v>638.986572265625</v>
      </c>
      <c r="AP7">
        <v>674.9788818359375</v>
      </c>
      <c r="AQ7">
        <v>711.957275390625</v>
      </c>
      <c r="AR7">
        <v>749.9217529296875</v>
      </c>
      <c r="AS7">
        <v>788.872314453125</v>
      </c>
      <c r="AT7">
        <v>828.80902099609375</v>
      </c>
      <c r="AU7">
        <v>869.73175048828125</v>
      </c>
      <c r="AV7">
        <v>911.640625</v>
      </c>
      <c r="AW7">
        <v>954.5355224609375</v>
      </c>
      <c r="AX7">
        <v>998.41656494140625</v>
      </c>
      <c r="AY7">
        <v>1043.28369140625</v>
      </c>
      <c r="AZ7">
        <v>1089.1368408203125</v>
      </c>
      <c r="BA7">
        <v>1135.9761962890625</v>
      </c>
      <c r="BB7">
        <v>1183.801513671875</v>
      </c>
      <c r="BC7">
        <v>1232.613037109375</v>
      </c>
    </row>
    <row r="8" spans="1:55" x14ac:dyDescent="0.25">
      <c r="A8" t="s">
        <v>9</v>
      </c>
      <c r="B8">
        <v>0</v>
      </c>
      <c r="D8">
        <v>6000</v>
      </c>
      <c r="E8">
        <v>0</v>
      </c>
      <c r="F8">
        <v>0.47488060593605042</v>
      </c>
      <c r="G8">
        <v>1.8995224237442017</v>
      </c>
      <c r="H8">
        <v>4.2739253044128418</v>
      </c>
      <c r="I8">
        <v>7.5980896949768066</v>
      </c>
      <c r="J8">
        <v>11.872014999389648</v>
      </c>
      <c r="K8">
        <v>17.095701217651367</v>
      </c>
      <c r="L8">
        <v>23.269149780273438</v>
      </c>
      <c r="M8">
        <v>30.392358779907227</v>
      </c>
      <c r="N8">
        <v>38.465328216552734</v>
      </c>
      <c r="O8">
        <v>47.488059997558594</v>
      </c>
      <c r="P8">
        <v>57.460556030273438</v>
      </c>
      <c r="Q8">
        <v>68.382804870605469</v>
      </c>
      <c r="R8">
        <v>80.25482177734375</v>
      </c>
      <c r="S8">
        <v>93.07659912109375</v>
      </c>
      <c r="T8">
        <v>106.84813690185547</v>
      </c>
      <c r="U8">
        <v>121.56943511962891</v>
      </c>
      <c r="V8">
        <v>137.24049377441406</v>
      </c>
      <c r="W8">
        <v>153.86131286621094</v>
      </c>
      <c r="X8">
        <v>171.43190002441406</v>
      </c>
      <c r="Y8">
        <v>189.95223999023438</v>
      </c>
      <c r="Z8">
        <v>209.42234802246094</v>
      </c>
      <c r="AA8">
        <v>229.84222412109375</v>
      </c>
      <c r="AB8">
        <v>251.21185302734375</v>
      </c>
      <c r="AC8">
        <v>273.53121948242188</v>
      </c>
      <c r="AD8">
        <v>296.80038452148438</v>
      </c>
      <c r="AE8">
        <v>321.019287109375</v>
      </c>
      <c r="AF8">
        <v>346.18795776367188</v>
      </c>
      <c r="AG8">
        <v>372.306396484375</v>
      </c>
      <c r="AH8">
        <v>399.37460327148438</v>
      </c>
      <c r="AI8">
        <v>427.39254760742188</v>
      </c>
      <c r="AJ8">
        <v>456.36026000976563</v>
      </c>
      <c r="AK8">
        <v>486.27774047851563</v>
      </c>
      <c r="AL8">
        <v>517.14501953125</v>
      </c>
      <c r="AM8">
        <v>548.96197509765625</v>
      </c>
      <c r="AN8">
        <v>581.728759765625</v>
      </c>
      <c r="AO8">
        <v>615.44525146484375</v>
      </c>
      <c r="AP8">
        <v>650.111572265625</v>
      </c>
      <c r="AQ8">
        <v>685.72760009765625</v>
      </c>
      <c r="AR8">
        <v>722.29339599609375</v>
      </c>
      <c r="AS8">
        <v>759.8089599609375</v>
      </c>
      <c r="AT8">
        <v>798.2742919921875</v>
      </c>
      <c r="AU8">
        <v>837.68939208984375</v>
      </c>
      <c r="AV8">
        <v>878.05426025390625</v>
      </c>
      <c r="AW8">
        <v>919.368896484375</v>
      </c>
      <c r="AX8">
        <v>961.63323974609375</v>
      </c>
      <c r="AY8">
        <v>1004.847412109375</v>
      </c>
      <c r="AZ8">
        <v>1049.01123046875</v>
      </c>
      <c r="BA8">
        <v>1094.1248779296875</v>
      </c>
      <c r="BB8">
        <v>1140.1883544921875</v>
      </c>
      <c r="BC8">
        <v>1187.2015380859375</v>
      </c>
    </row>
    <row r="9" spans="1:55" x14ac:dyDescent="0.25">
      <c r="A9" t="s">
        <v>11</v>
      </c>
      <c r="B9">
        <v>1000</v>
      </c>
      <c r="D9">
        <v>7000</v>
      </c>
      <c r="E9">
        <v>0</v>
      </c>
      <c r="F9">
        <v>0.45726343989372253</v>
      </c>
      <c r="G9">
        <v>1.8290537595748901</v>
      </c>
      <c r="H9">
        <v>4.1153707504272461</v>
      </c>
      <c r="I9">
        <v>7.3162150382995605</v>
      </c>
      <c r="J9">
        <v>11.431585311889648</v>
      </c>
      <c r="K9">
        <v>16.461483001708984</v>
      </c>
      <c r="L9">
        <v>22.405908584594727</v>
      </c>
      <c r="M9">
        <v>29.264860153198242</v>
      </c>
      <c r="N9">
        <v>37.038337707519531</v>
      </c>
      <c r="O9">
        <v>45.726341247558594</v>
      </c>
      <c r="P9">
        <v>55.328876495361328</v>
      </c>
      <c r="Q9">
        <v>65.845932006835938</v>
      </c>
      <c r="R9">
        <v>77.277519226074219</v>
      </c>
      <c r="S9">
        <v>89.623634338378906</v>
      </c>
      <c r="T9">
        <v>102.88426971435547</v>
      </c>
      <c r="U9">
        <v>117.05944061279297</v>
      </c>
      <c r="V9">
        <v>132.14912414550781</v>
      </c>
      <c r="W9">
        <v>148.15335083007813</v>
      </c>
      <c r="X9">
        <v>165.07209777832031</v>
      </c>
      <c r="Y9">
        <v>182.90536499023438</v>
      </c>
      <c r="Z9">
        <v>201.65316772460938</v>
      </c>
      <c r="AA9">
        <v>221.31550598144531</v>
      </c>
      <c r="AB9">
        <v>241.89234924316406</v>
      </c>
      <c r="AC9">
        <v>263.38372802734375</v>
      </c>
      <c r="AD9">
        <v>285.78964233398438</v>
      </c>
      <c r="AE9">
        <v>309.11007690429688</v>
      </c>
      <c r="AF9">
        <v>333.34503173828125</v>
      </c>
      <c r="AG9">
        <v>358.49453735351563</v>
      </c>
      <c r="AH9">
        <v>384.55853271484375</v>
      </c>
      <c r="AI9">
        <v>411.53707885742188</v>
      </c>
      <c r="AJ9">
        <v>439.43014526367188</v>
      </c>
      <c r="AK9">
        <v>468.23776245117188</v>
      </c>
      <c r="AL9">
        <v>497.95986938476563</v>
      </c>
      <c r="AM9">
        <v>528.59649658203125</v>
      </c>
      <c r="AN9">
        <v>560.147705078125</v>
      </c>
      <c r="AO9">
        <v>592.6134033203125</v>
      </c>
      <c r="AP9">
        <v>625.99365234375</v>
      </c>
      <c r="AQ9">
        <v>660.28839111328125</v>
      </c>
      <c r="AR9">
        <v>695.4976806640625</v>
      </c>
      <c r="AS9">
        <v>731.6214599609375</v>
      </c>
      <c r="AT9">
        <v>768.65985107421875</v>
      </c>
      <c r="AU9">
        <v>806.6126708984375</v>
      </c>
      <c r="AV9">
        <v>845.4801025390625</v>
      </c>
      <c r="AW9">
        <v>885.26202392578125</v>
      </c>
      <c r="AX9">
        <v>925.95843505859375</v>
      </c>
      <c r="AY9">
        <v>967.56939697265625</v>
      </c>
      <c r="AZ9">
        <v>1010.0949096679688</v>
      </c>
      <c r="BA9">
        <v>1053.534912109375</v>
      </c>
      <c r="BB9">
        <v>1097.8895263671875</v>
      </c>
      <c r="BC9">
        <v>1143.1585693359375</v>
      </c>
    </row>
    <row r="10" spans="1:55" x14ac:dyDescent="0.25">
      <c r="A10" t="s">
        <v>10</v>
      </c>
      <c r="B10">
        <v>50000</v>
      </c>
      <c r="D10">
        <v>8000</v>
      </c>
      <c r="E10">
        <v>0</v>
      </c>
      <c r="F10">
        <v>0.44018080830574036</v>
      </c>
      <c r="G10">
        <v>1.7607232332229614</v>
      </c>
      <c r="H10">
        <v>3.9616272449493408</v>
      </c>
      <c r="I10">
        <v>7.0428929328918457</v>
      </c>
      <c r="J10">
        <v>11.004520416259766</v>
      </c>
      <c r="K10">
        <v>15.846508979797363</v>
      </c>
      <c r="L10">
        <v>21.568859100341797</v>
      </c>
      <c r="M10">
        <v>28.171571731567383</v>
      </c>
      <c r="N10">
        <v>35.654644012451172</v>
      </c>
      <c r="O10">
        <v>44.018081665039063</v>
      </c>
      <c r="P10">
        <v>53.261878967285156</v>
      </c>
      <c r="Q10">
        <v>63.386035919189453</v>
      </c>
      <c r="R10">
        <v>74.390556335449219</v>
      </c>
      <c r="S10">
        <v>86.275436401367188</v>
      </c>
      <c r="T10">
        <v>99.040679931640625</v>
      </c>
      <c r="U10">
        <v>112.68628692626953</v>
      </c>
      <c r="V10">
        <v>127.21225738525391</v>
      </c>
      <c r="W10">
        <v>142.61857604980469</v>
      </c>
      <c r="X10">
        <v>158.9052734375</v>
      </c>
      <c r="Y10">
        <v>176.07232666015625</v>
      </c>
      <c r="Z10">
        <v>194.11973571777344</v>
      </c>
      <c r="AA10">
        <v>213.04751586914063</v>
      </c>
      <c r="AB10">
        <v>232.85565185546875</v>
      </c>
      <c r="AC10">
        <v>253.54414367675781</v>
      </c>
      <c r="AD10">
        <v>275.11300659179688</v>
      </c>
      <c r="AE10">
        <v>297.56222534179688</v>
      </c>
      <c r="AF10">
        <v>320.89181518554688</v>
      </c>
      <c r="AG10">
        <v>345.10174560546875</v>
      </c>
      <c r="AH10">
        <v>370.19204711914063</v>
      </c>
      <c r="AI10">
        <v>396.1627197265625</v>
      </c>
      <c r="AJ10">
        <v>423.01376342773438</v>
      </c>
      <c r="AK10">
        <v>450.74514770507813</v>
      </c>
      <c r="AL10">
        <v>479.35690307617188</v>
      </c>
      <c r="AM10">
        <v>508.84902954101563</v>
      </c>
      <c r="AN10">
        <v>539.22149658203125</v>
      </c>
      <c r="AO10">
        <v>570.47430419921875</v>
      </c>
      <c r="AP10">
        <v>602.6075439453125</v>
      </c>
      <c r="AQ10">
        <v>635.62109375</v>
      </c>
      <c r="AR10">
        <v>669.5150146484375</v>
      </c>
      <c r="AS10">
        <v>704.289306640625</v>
      </c>
      <c r="AT10">
        <v>739.9439697265625</v>
      </c>
      <c r="AU10">
        <v>776.47894287109375</v>
      </c>
      <c r="AV10">
        <v>813.89434814453125</v>
      </c>
      <c r="AW10">
        <v>852.1900634765625</v>
      </c>
      <c r="AX10">
        <v>891.36614990234375</v>
      </c>
      <c r="AY10">
        <v>931.422607421875</v>
      </c>
      <c r="AZ10">
        <v>972.35943603515625</v>
      </c>
      <c r="BA10">
        <v>1014.1765747070313</v>
      </c>
      <c r="BB10">
        <v>1056.8741455078125</v>
      </c>
      <c r="BC10">
        <v>1100.4520263671875</v>
      </c>
    </row>
    <row r="11" spans="1:55" x14ac:dyDescent="0.25">
      <c r="A11" t="s">
        <v>8</v>
      </c>
      <c r="B11">
        <v>0</v>
      </c>
      <c r="D11">
        <v>9000</v>
      </c>
      <c r="E11">
        <v>0</v>
      </c>
      <c r="F11">
        <v>0.42362022399902344</v>
      </c>
      <c r="G11">
        <v>1.6944808959960938</v>
      </c>
      <c r="H11">
        <v>3.8125820159912109</v>
      </c>
      <c r="I11">
        <v>6.777923583984375</v>
      </c>
      <c r="J11">
        <v>10.590505599975586</v>
      </c>
      <c r="K11">
        <v>15.250328063964844</v>
      </c>
      <c r="L11">
        <v>20.757390975952148</v>
      </c>
      <c r="M11">
        <v>27.1116943359375</v>
      </c>
      <c r="N11">
        <v>34.313236236572266</v>
      </c>
      <c r="O11">
        <v>42.362022399902344</v>
      </c>
      <c r="P11">
        <v>51.258045196533203</v>
      </c>
      <c r="Q11">
        <v>61.001312255859375</v>
      </c>
      <c r="R11">
        <v>71.591819763183594</v>
      </c>
      <c r="S11">
        <v>83.029563903808594</v>
      </c>
      <c r="T11">
        <v>95.314544677734375</v>
      </c>
      <c r="U11">
        <v>108.44677734375</v>
      </c>
      <c r="V11">
        <v>122.42623901367188</v>
      </c>
      <c r="W11">
        <v>137.25294494628906</v>
      </c>
      <c r="X11">
        <v>152.92689514160156</v>
      </c>
      <c r="Y11">
        <v>169.44808959960938</v>
      </c>
      <c r="Z11">
        <v>186.81651306152344</v>
      </c>
      <c r="AA11">
        <v>205.03218078613281</v>
      </c>
      <c r="AB11">
        <v>224.0950927734375</v>
      </c>
      <c r="AC11">
        <v>244.0052490234375</v>
      </c>
      <c r="AD11">
        <v>264.76263427734375</v>
      </c>
      <c r="AE11">
        <v>286.36727905273438</v>
      </c>
      <c r="AF11">
        <v>308.81912231445313</v>
      </c>
      <c r="AG11">
        <v>332.11825561523438</v>
      </c>
      <c r="AH11">
        <v>356.26458740234375</v>
      </c>
      <c r="AI11">
        <v>381.2581787109375</v>
      </c>
      <c r="AJ11">
        <v>407.09902954101563</v>
      </c>
      <c r="AK11">
        <v>433.787109375</v>
      </c>
      <c r="AL11">
        <v>461.32241821289063</v>
      </c>
      <c r="AM11">
        <v>489.7049560546875</v>
      </c>
      <c r="AN11">
        <v>518.93475341796875</v>
      </c>
      <c r="AO11">
        <v>549.01177978515625</v>
      </c>
      <c r="AP11">
        <v>579.93609619140625</v>
      </c>
      <c r="AQ11">
        <v>611.70758056640625</v>
      </c>
      <c r="AR11">
        <v>644.32635498046875</v>
      </c>
      <c r="AS11">
        <v>677.7923583984375</v>
      </c>
      <c r="AT11">
        <v>712.1055908203125</v>
      </c>
      <c r="AU11">
        <v>747.26605224609375</v>
      </c>
      <c r="AV11">
        <v>783.2738037109375</v>
      </c>
      <c r="AW11">
        <v>820.12872314453125</v>
      </c>
      <c r="AX11">
        <v>857.8309326171875</v>
      </c>
      <c r="AY11">
        <v>896.38037109375</v>
      </c>
      <c r="AZ11">
        <v>935.77703857421875</v>
      </c>
      <c r="BA11">
        <v>976.02099609375</v>
      </c>
      <c r="BB11">
        <v>1017.1121215820313</v>
      </c>
      <c r="BC11">
        <v>1059.050537109375</v>
      </c>
    </row>
    <row r="12" spans="1:55" x14ac:dyDescent="0.25">
      <c r="A12" t="s">
        <v>12</v>
      </c>
      <c r="B12">
        <v>0.02</v>
      </c>
      <c r="D12">
        <v>10000</v>
      </c>
      <c r="E12">
        <v>0</v>
      </c>
      <c r="F12">
        <v>0.40756931900978088</v>
      </c>
      <c r="G12">
        <v>1.6302772760391235</v>
      </c>
      <c r="H12">
        <v>3.668123722076416</v>
      </c>
      <c r="I12">
        <v>6.5211091041564941</v>
      </c>
      <c r="J12">
        <v>10.18923282623291</v>
      </c>
      <c r="K12">
        <v>14.672494888305664</v>
      </c>
      <c r="L12">
        <v>19.970895767211914</v>
      </c>
      <c r="M12">
        <v>26.084436416625977</v>
      </c>
      <c r="N12">
        <v>33.013114929199219</v>
      </c>
      <c r="O12">
        <v>40.756931304931641</v>
      </c>
      <c r="P12">
        <v>49.315887451171875</v>
      </c>
      <c r="Q12">
        <v>58.689979553222656</v>
      </c>
      <c r="R12">
        <v>68.87921142578125</v>
      </c>
      <c r="S12">
        <v>79.883583068847656</v>
      </c>
      <c r="T12">
        <v>91.703094482421875</v>
      </c>
      <c r="U12">
        <v>104.33774566650391</v>
      </c>
      <c r="V12">
        <v>117.78752899169922</v>
      </c>
      <c r="W12">
        <v>132.05245971679688</v>
      </c>
      <c r="X12">
        <v>147.13252258300781</v>
      </c>
      <c r="Y12">
        <v>163.02772521972656</v>
      </c>
      <c r="Z12">
        <v>179.73806762695313</v>
      </c>
      <c r="AA12">
        <v>197.2635498046875</v>
      </c>
      <c r="AB12">
        <v>215.60417175292969</v>
      </c>
      <c r="AC12">
        <v>234.75991821289063</v>
      </c>
      <c r="AD12">
        <v>254.73081970214844</v>
      </c>
      <c r="AE12">
        <v>275.516845703125</v>
      </c>
      <c r="AF12">
        <v>297.1180419921875</v>
      </c>
      <c r="AG12">
        <v>319.53433227539063</v>
      </c>
      <c r="AH12">
        <v>342.76577758789063</v>
      </c>
      <c r="AI12">
        <v>366.8123779296875</v>
      </c>
      <c r="AJ12">
        <v>391.67410278320313</v>
      </c>
      <c r="AK12">
        <v>417.35098266601563</v>
      </c>
      <c r="AL12">
        <v>443.84298706054688</v>
      </c>
      <c r="AM12">
        <v>471.15011596679688</v>
      </c>
      <c r="AN12">
        <v>499.27239990234375</v>
      </c>
      <c r="AO12">
        <v>528.2098388671875</v>
      </c>
      <c r="AP12">
        <v>557.96240234375</v>
      </c>
      <c r="AQ12">
        <v>588.53009033203125</v>
      </c>
      <c r="AR12">
        <v>619.91290283203125</v>
      </c>
      <c r="AS12">
        <v>652.11090087890625</v>
      </c>
      <c r="AT12">
        <v>685.1240234375</v>
      </c>
      <c r="AU12">
        <v>718.9522705078125</v>
      </c>
      <c r="AV12">
        <v>753.59564208984375</v>
      </c>
      <c r="AW12">
        <v>789.05419921875</v>
      </c>
      <c r="AX12">
        <v>825.327880859375</v>
      </c>
      <c r="AY12">
        <v>862.41668701171875</v>
      </c>
      <c r="AZ12">
        <v>900.32061767578125</v>
      </c>
      <c r="BA12">
        <v>939.0396728515625</v>
      </c>
      <c r="BB12">
        <v>978.57391357421875</v>
      </c>
      <c r="BC12">
        <v>1018.9232788085938</v>
      </c>
    </row>
    <row r="13" spans="1:55" x14ac:dyDescent="0.25">
      <c r="A13" t="s">
        <v>7</v>
      </c>
      <c r="B13">
        <v>1</v>
      </c>
      <c r="D13">
        <v>11000</v>
      </c>
      <c r="E13">
        <v>0</v>
      </c>
      <c r="F13">
        <v>0.39201590418815613</v>
      </c>
      <c r="G13">
        <v>1.5680636167526245</v>
      </c>
      <c r="H13">
        <v>3.5281431674957275</v>
      </c>
      <c r="I13">
        <v>6.272254467010498</v>
      </c>
      <c r="J13">
        <v>9.8003978729248047</v>
      </c>
      <c r="K13">
        <v>14.11257266998291</v>
      </c>
      <c r="L13">
        <v>19.208780288696289</v>
      </c>
      <c r="M13">
        <v>25.089017868041992</v>
      </c>
      <c r="N13">
        <v>31.753290176391602</v>
      </c>
      <c r="O13">
        <v>39.201591491699219</v>
      </c>
      <c r="P13">
        <v>47.433925628662109</v>
      </c>
      <c r="Q13">
        <v>56.450290679931641</v>
      </c>
      <c r="R13">
        <v>66.250686645507813</v>
      </c>
      <c r="S13">
        <v>76.835121154785156</v>
      </c>
      <c r="T13">
        <v>88.203582763671875</v>
      </c>
      <c r="U13">
        <v>100.35607147216797</v>
      </c>
      <c r="V13">
        <v>113.2926025390625</v>
      </c>
      <c r="W13">
        <v>127.01316070556641</v>
      </c>
      <c r="X13">
        <v>141.51774597167969</v>
      </c>
      <c r="Y13">
        <v>156.80636596679688</v>
      </c>
      <c r="Z13">
        <v>172.87901306152344</v>
      </c>
      <c r="AA13">
        <v>189.73570251464844</v>
      </c>
      <c r="AB13">
        <v>207.37641906738281</v>
      </c>
      <c r="AC13">
        <v>225.80116271972656</v>
      </c>
      <c r="AD13">
        <v>245.00994873046875</v>
      </c>
      <c r="AE13">
        <v>265.00274658203125</v>
      </c>
      <c r="AF13">
        <v>285.77960205078125</v>
      </c>
      <c r="AG13">
        <v>307.34048461914063</v>
      </c>
      <c r="AH13">
        <v>329.68539428710938</v>
      </c>
      <c r="AI13">
        <v>352.8143310546875</v>
      </c>
      <c r="AJ13">
        <v>376.727294921875</v>
      </c>
      <c r="AK13">
        <v>401.42428588867188</v>
      </c>
      <c r="AL13">
        <v>426.90533447265625</v>
      </c>
      <c r="AM13">
        <v>453.17041015625</v>
      </c>
      <c r="AN13">
        <v>480.21951293945313</v>
      </c>
      <c r="AO13">
        <v>508.05264282226563</v>
      </c>
      <c r="AP13">
        <v>536.6697998046875</v>
      </c>
      <c r="AQ13">
        <v>566.07098388671875</v>
      </c>
      <c r="AR13">
        <v>596.2562255859375</v>
      </c>
      <c r="AS13">
        <v>627.2254638671875</v>
      </c>
      <c r="AT13">
        <v>658.978759765625</v>
      </c>
      <c r="AU13">
        <v>691.51605224609375</v>
      </c>
      <c r="AV13">
        <v>724.83740234375</v>
      </c>
      <c r="AW13">
        <v>758.94281005859375</v>
      </c>
      <c r="AX13">
        <v>793.83221435546875</v>
      </c>
      <c r="AY13">
        <v>829.50567626953125</v>
      </c>
      <c r="AZ13">
        <v>865.963134765625</v>
      </c>
      <c r="BA13">
        <v>903.20465087890625</v>
      </c>
      <c r="BB13">
        <v>941.230224609375</v>
      </c>
      <c r="BC13">
        <v>980.039794921875</v>
      </c>
    </row>
    <row r="14" spans="1:55" x14ac:dyDescent="0.25">
      <c r="D14">
        <v>12000</v>
      </c>
      <c r="E14">
        <v>0</v>
      </c>
      <c r="F14">
        <v>0.37694808840751648</v>
      </c>
      <c r="G14">
        <v>1.5077923536300659</v>
      </c>
      <c r="H14">
        <v>3.3925328254699707</v>
      </c>
      <c r="I14">
        <v>6.0311694145202637</v>
      </c>
      <c r="J14">
        <v>9.4237022399902344</v>
      </c>
      <c r="K14">
        <v>13.570131301879883</v>
      </c>
      <c r="L14">
        <v>18.470457077026367</v>
      </c>
      <c r="M14">
        <v>24.124677658081055</v>
      </c>
      <c r="N14">
        <v>30.532794952392578</v>
      </c>
      <c r="O14">
        <v>37.694808959960938</v>
      </c>
      <c r="P14">
        <v>45.6107177734375</v>
      </c>
      <c r="Q14">
        <v>54.280525207519531</v>
      </c>
      <c r="R14">
        <v>63.704227447509766</v>
      </c>
      <c r="S14">
        <v>73.881828308105469</v>
      </c>
      <c r="T14">
        <v>84.813323974609375</v>
      </c>
      <c r="U14">
        <v>96.498710632324219</v>
      </c>
      <c r="V14">
        <v>108.93799591064453</v>
      </c>
      <c r="W14">
        <v>122.13117980957031</v>
      </c>
      <c r="X14">
        <v>136.07826232910156</v>
      </c>
      <c r="Y14">
        <v>150.77923583984375</v>
      </c>
      <c r="Z14">
        <v>166.23411560058594</v>
      </c>
      <c r="AA14">
        <v>182.44287109375</v>
      </c>
      <c r="AB14">
        <v>199.40554809570313</v>
      </c>
      <c r="AC14">
        <v>217.12210083007813</v>
      </c>
      <c r="AD14">
        <v>235.59255981445313</v>
      </c>
      <c r="AE14">
        <v>254.81690979003906</v>
      </c>
      <c r="AF14">
        <v>274.795166015625</v>
      </c>
      <c r="AG14">
        <v>295.52731323242188</v>
      </c>
      <c r="AH14">
        <v>317.01333618164063</v>
      </c>
      <c r="AI14">
        <v>339.2532958984375</v>
      </c>
      <c r="AJ14">
        <v>362.24713134765625</v>
      </c>
      <c r="AK14">
        <v>385.99484252929688</v>
      </c>
      <c r="AL14">
        <v>410.49649047851563</v>
      </c>
      <c r="AM14">
        <v>435.75198364257813</v>
      </c>
      <c r="AN14">
        <v>461.76141357421875</v>
      </c>
      <c r="AO14">
        <v>488.52471923828125</v>
      </c>
      <c r="AP14">
        <v>516.04193115234375</v>
      </c>
      <c r="AQ14">
        <v>544.31304931640625</v>
      </c>
      <c r="AR14">
        <v>573.33807373046875</v>
      </c>
      <c r="AS14">
        <v>603.116943359375</v>
      </c>
      <c r="AT14">
        <v>633.64971923828125</v>
      </c>
      <c r="AU14">
        <v>664.93646240234375</v>
      </c>
      <c r="AV14">
        <v>696.97705078125</v>
      </c>
      <c r="AW14">
        <v>729.771484375</v>
      </c>
      <c r="AX14">
        <v>763.31988525390625</v>
      </c>
      <c r="AY14">
        <v>797.6221923828125</v>
      </c>
      <c r="AZ14">
        <v>832.6783447265625</v>
      </c>
      <c r="BA14">
        <v>868.4884033203125</v>
      </c>
      <c r="BB14">
        <v>905.0523681640625</v>
      </c>
      <c r="BC14">
        <v>942.3702392578125</v>
      </c>
    </row>
    <row r="15" spans="1:55" x14ac:dyDescent="0.25">
      <c r="A15" t="s">
        <v>175</v>
      </c>
      <c r="B15">
        <v>0.10579206794500351</v>
      </c>
      <c r="D15">
        <v>13000</v>
      </c>
      <c r="E15">
        <v>0</v>
      </c>
      <c r="F15">
        <v>0.36235406994819641</v>
      </c>
      <c r="G15">
        <v>1.4494162797927856</v>
      </c>
      <c r="H15">
        <v>3.2611865997314453</v>
      </c>
      <c r="I15">
        <v>5.7976651191711426</v>
      </c>
      <c r="J15">
        <v>9.0588521957397461</v>
      </c>
      <c r="K15">
        <v>13.044746398925781</v>
      </c>
      <c r="L15">
        <v>17.755350112915039</v>
      </c>
      <c r="M15">
        <v>23.19066047668457</v>
      </c>
      <c r="N15">
        <v>29.350679397583008</v>
      </c>
      <c r="O15">
        <v>36.235408782958984</v>
      </c>
      <c r="P15">
        <v>43.844844818115234</v>
      </c>
      <c r="Q15">
        <v>52.178985595703125</v>
      </c>
      <c r="R15">
        <v>61.237838745117188</v>
      </c>
      <c r="S15">
        <v>71.021400451660156</v>
      </c>
      <c r="T15">
        <v>81.529670715332031</v>
      </c>
      <c r="U15">
        <v>92.762641906738281</v>
      </c>
      <c r="V15">
        <v>104.72032928466797</v>
      </c>
      <c r="W15">
        <v>117.40271759033203</v>
      </c>
      <c r="X15">
        <v>130.809814453125</v>
      </c>
      <c r="Y15">
        <v>144.94163513183594</v>
      </c>
      <c r="Z15">
        <v>159.79814147949219</v>
      </c>
      <c r="AA15">
        <v>175.37937927246094</v>
      </c>
      <c r="AB15">
        <v>191.685302734375</v>
      </c>
      <c r="AC15">
        <v>208.7159423828125</v>
      </c>
      <c r="AD15">
        <v>226.47129821777344</v>
      </c>
      <c r="AE15">
        <v>244.95135498046875</v>
      </c>
      <c r="AF15">
        <v>264.1561279296875</v>
      </c>
      <c r="AG15">
        <v>284.08560180664063</v>
      </c>
      <c r="AH15">
        <v>304.73977661132813</v>
      </c>
      <c r="AI15">
        <v>326.11868286132813</v>
      </c>
      <c r="AJ15">
        <v>348.22225952148438</v>
      </c>
      <c r="AK15">
        <v>371.05056762695313</v>
      </c>
      <c r="AL15">
        <v>394.60357666015625</v>
      </c>
      <c r="AM15">
        <v>418.88131713867188</v>
      </c>
      <c r="AN15">
        <v>443.88375854492188</v>
      </c>
      <c r="AO15">
        <v>469.61087036132813</v>
      </c>
      <c r="AP15">
        <v>496.062744140625</v>
      </c>
      <c r="AQ15">
        <v>523.2392578125</v>
      </c>
      <c r="AR15">
        <v>551.14056396484375</v>
      </c>
      <c r="AS15">
        <v>579.76654052734375</v>
      </c>
      <c r="AT15">
        <v>609.1171875</v>
      </c>
      <c r="AU15">
        <v>639.19256591796875</v>
      </c>
      <c r="AV15">
        <v>669.99267578125</v>
      </c>
      <c r="AW15">
        <v>701.51751708984375</v>
      </c>
      <c r="AX15">
        <v>733.76702880859375</v>
      </c>
      <c r="AY15">
        <v>766.7412109375</v>
      </c>
      <c r="AZ15">
        <v>800.440185546875</v>
      </c>
      <c r="BA15">
        <v>834.86376953125</v>
      </c>
      <c r="BB15">
        <v>870.01214599609375</v>
      </c>
      <c r="BC15">
        <v>905.88519287109375</v>
      </c>
    </row>
    <row r="16" spans="1:55" x14ac:dyDescent="0.25">
      <c r="A16" t="s">
        <v>176</v>
      </c>
      <c r="B16">
        <v>407.83633422851563</v>
      </c>
      <c r="D16">
        <v>14000</v>
      </c>
      <c r="E16">
        <v>0</v>
      </c>
      <c r="F16">
        <v>0.34822231531143188</v>
      </c>
      <c r="G16">
        <v>1.3928892612457275</v>
      </c>
      <c r="H16">
        <v>3.1340007781982422</v>
      </c>
      <c r="I16">
        <v>5.5715570449829102</v>
      </c>
      <c r="J16">
        <v>8.7055578231811523</v>
      </c>
      <c r="K16">
        <v>12.536003112792969</v>
      </c>
      <c r="L16">
        <v>17.062892913818359</v>
      </c>
      <c r="M16">
        <v>22.286228179931641</v>
      </c>
      <c r="N16">
        <v>28.20600700378418</v>
      </c>
      <c r="O16">
        <v>34.822231292724609</v>
      </c>
      <c r="P16">
        <v>42.134899139404297</v>
      </c>
      <c r="Q16">
        <v>50.144012451171875</v>
      </c>
      <c r="R16">
        <v>58.849571228027344</v>
      </c>
      <c r="S16">
        <v>68.251571655273438</v>
      </c>
      <c r="T16">
        <v>78.350021362304688</v>
      </c>
      <c r="U16">
        <v>89.144912719726563</v>
      </c>
      <c r="V16">
        <v>100.63624572753906</v>
      </c>
      <c r="W16">
        <v>112.82402801513672</v>
      </c>
      <c r="X16">
        <v>125.708251953125</v>
      </c>
      <c r="Y16">
        <v>139.28892517089844</v>
      </c>
      <c r="Z16">
        <v>153.5660400390625</v>
      </c>
      <c r="AA16">
        <v>168.53959655761719</v>
      </c>
      <c r="AB16">
        <v>184.20960998535156</v>
      </c>
      <c r="AC16">
        <v>200.5760498046875</v>
      </c>
      <c r="AD16">
        <v>217.63894653320313</v>
      </c>
      <c r="AE16">
        <v>235.39828491210938</v>
      </c>
      <c r="AF16">
        <v>253.85406494140625</v>
      </c>
      <c r="AG16">
        <v>273.00628662109375</v>
      </c>
      <c r="AH16">
        <v>292.85498046875</v>
      </c>
      <c r="AI16">
        <v>313.40008544921875</v>
      </c>
      <c r="AJ16">
        <v>334.64163208007813</v>
      </c>
      <c r="AK16">
        <v>356.57965087890625</v>
      </c>
      <c r="AL16">
        <v>379.214111328125</v>
      </c>
      <c r="AM16">
        <v>402.54498291015625</v>
      </c>
      <c r="AN16">
        <v>426.57232666015625</v>
      </c>
      <c r="AO16">
        <v>451.29611206054688</v>
      </c>
      <c r="AP16">
        <v>476.71633911132813</v>
      </c>
      <c r="AQ16">
        <v>502.8330078125</v>
      </c>
      <c r="AR16">
        <v>529.6461181640625</v>
      </c>
      <c r="AS16">
        <v>557.15570068359375</v>
      </c>
      <c r="AT16">
        <v>585.3616943359375</v>
      </c>
      <c r="AU16">
        <v>614.26416015625</v>
      </c>
      <c r="AV16">
        <v>643.863037109375</v>
      </c>
      <c r="AW16">
        <v>674.15838623046875</v>
      </c>
      <c r="AX16">
        <v>705.15020751953125</v>
      </c>
      <c r="AY16">
        <v>736.83843994140625</v>
      </c>
      <c r="AZ16">
        <v>769.22308349609375</v>
      </c>
      <c r="BA16">
        <v>802.30419921875</v>
      </c>
      <c r="BB16">
        <v>836.081787109375</v>
      </c>
      <c r="BC16">
        <v>870.5557861328125</v>
      </c>
    </row>
    <row r="17" spans="1:55" x14ac:dyDescent="0.25">
      <c r="A17" t="s">
        <v>177</v>
      </c>
      <c r="B17">
        <v>0.69290640806517023</v>
      </c>
      <c r="D17">
        <v>15000</v>
      </c>
      <c r="E17">
        <v>0</v>
      </c>
      <c r="F17">
        <v>0.33454146981239319</v>
      </c>
      <c r="G17">
        <v>1.3381658792495728</v>
      </c>
      <c r="H17">
        <v>3.0108730792999268</v>
      </c>
      <c r="I17">
        <v>5.352663516998291</v>
      </c>
      <c r="J17">
        <v>8.3635368347167969</v>
      </c>
      <c r="K17">
        <v>12.043492317199707</v>
      </c>
      <c r="L17">
        <v>16.39253044128418</v>
      </c>
      <c r="M17">
        <v>21.410654067993164</v>
      </c>
      <c r="N17">
        <v>27.097858428955078</v>
      </c>
      <c r="O17">
        <v>33.454147338867188</v>
      </c>
      <c r="P17">
        <v>40.479515075683594</v>
      </c>
      <c r="Q17">
        <v>48.173969268798828</v>
      </c>
      <c r="R17">
        <v>56.537506103515625</v>
      </c>
      <c r="S17">
        <v>65.570121765136719</v>
      </c>
      <c r="T17">
        <v>75.271827697753906</v>
      </c>
      <c r="U17">
        <v>85.642616271972656</v>
      </c>
      <c r="V17">
        <v>96.682479858398438</v>
      </c>
      <c r="W17">
        <v>108.39143371582031</v>
      </c>
      <c r="X17">
        <v>120.76946258544922</v>
      </c>
      <c r="Y17">
        <v>133.81658935546875</v>
      </c>
      <c r="Z17">
        <v>147.53277587890625</v>
      </c>
      <c r="AA17">
        <v>161.91806030273438</v>
      </c>
      <c r="AB17">
        <v>176.97242736816406</v>
      </c>
      <c r="AC17">
        <v>192.69587707519531</v>
      </c>
      <c r="AD17">
        <v>209.08840942382813</v>
      </c>
      <c r="AE17">
        <v>226.1500244140625</v>
      </c>
      <c r="AF17">
        <v>243.88072204589844</v>
      </c>
      <c r="AG17">
        <v>262.28048706054688</v>
      </c>
      <c r="AH17">
        <v>281.349365234375</v>
      </c>
      <c r="AI17">
        <v>301.08731079101563</v>
      </c>
      <c r="AJ17">
        <v>321.49432373046875</v>
      </c>
      <c r="AK17">
        <v>342.57046508789063</v>
      </c>
      <c r="AL17">
        <v>364.31564331054688</v>
      </c>
      <c r="AM17">
        <v>386.72991943359375</v>
      </c>
      <c r="AN17">
        <v>409.81329345703125</v>
      </c>
      <c r="AO17">
        <v>433.56573486328125</v>
      </c>
      <c r="AP17">
        <v>457.98724365234375</v>
      </c>
      <c r="AQ17">
        <v>483.07785034179688</v>
      </c>
      <c r="AR17">
        <v>508.83755493164063</v>
      </c>
      <c r="AS17">
        <v>535.266357421875</v>
      </c>
      <c r="AT17">
        <v>562.36419677734375</v>
      </c>
      <c r="AU17">
        <v>590.131103515625</v>
      </c>
      <c r="AV17">
        <v>618.567138671875</v>
      </c>
      <c r="AW17">
        <v>647.6722412109375</v>
      </c>
      <c r="AX17">
        <v>677.44647216796875</v>
      </c>
      <c r="AY17">
        <v>707.88970947265625</v>
      </c>
      <c r="AZ17">
        <v>739.0020751953125</v>
      </c>
      <c r="BA17">
        <v>770.78350830078125</v>
      </c>
      <c r="BB17">
        <v>803.2340087890625</v>
      </c>
      <c r="BC17">
        <v>836.3536376953125</v>
      </c>
    </row>
    <row r="18" spans="1:55" x14ac:dyDescent="0.25">
      <c r="A18" t="s">
        <v>178</v>
      </c>
      <c r="B18">
        <v>17.110557556152344</v>
      </c>
      <c r="D18">
        <v>16000</v>
      </c>
      <c r="E18">
        <v>0</v>
      </c>
      <c r="F18">
        <v>0.32130038738250732</v>
      </c>
      <c r="G18">
        <v>1.2852015495300293</v>
      </c>
      <c r="H18">
        <v>2.8917036056518555</v>
      </c>
      <c r="I18">
        <v>5.1408061981201172</v>
      </c>
      <c r="J18">
        <v>8.0325098037719727</v>
      </c>
      <c r="K18">
        <v>11.566814422607422</v>
      </c>
      <c r="L18">
        <v>15.743719100952148</v>
      </c>
      <c r="M18">
        <v>20.563224792480469</v>
      </c>
      <c r="N18">
        <v>26.025331497192383</v>
      </c>
      <c r="O18">
        <v>32.130039215087891</v>
      </c>
      <c r="P18">
        <v>38.877346038818359</v>
      </c>
      <c r="Q18">
        <v>46.267257690429688</v>
      </c>
      <c r="R18">
        <v>54.299766540527344</v>
      </c>
      <c r="S18">
        <v>62.974876403808594</v>
      </c>
      <c r="T18">
        <v>72.292587280273438</v>
      </c>
      <c r="U18">
        <v>82.252899169921875</v>
      </c>
      <c r="V18">
        <v>92.855812072753906</v>
      </c>
      <c r="W18">
        <v>104.10132598876953</v>
      </c>
      <c r="X18">
        <v>115.98944091796875</v>
      </c>
      <c r="Y18">
        <v>128.52015686035156</v>
      </c>
      <c r="Z18">
        <v>141.69346618652344</v>
      </c>
      <c r="AA18">
        <v>155.50938415527344</v>
      </c>
      <c r="AB18">
        <v>169.96791076660156</v>
      </c>
      <c r="AC18">
        <v>185.06903076171875</v>
      </c>
      <c r="AD18">
        <v>200.812744140625</v>
      </c>
      <c r="AE18">
        <v>217.19906616210938</v>
      </c>
      <c r="AF18">
        <v>234.22798156738281</v>
      </c>
      <c r="AG18">
        <v>251.89950561523438</v>
      </c>
      <c r="AH18">
        <v>270.213623046875</v>
      </c>
      <c r="AI18">
        <v>289.17034912109375</v>
      </c>
      <c r="AJ18">
        <v>308.76968383789063</v>
      </c>
      <c r="AK18">
        <v>329.0115966796875</v>
      </c>
      <c r="AL18">
        <v>349.8961181640625</v>
      </c>
      <c r="AM18">
        <v>371.42324829101563</v>
      </c>
      <c r="AN18">
        <v>393.59298706054688</v>
      </c>
      <c r="AO18">
        <v>416.40530395507813</v>
      </c>
      <c r="AP18">
        <v>439.8602294921875</v>
      </c>
      <c r="AQ18">
        <v>463.957763671875</v>
      </c>
      <c r="AR18">
        <v>488.69790649414063</v>
      </c>
      <c r="AS18">
        <v>514.08062744140625</v>
      </c>
      <c r="AT18">
        <v>540.10595703125</v>
      </c>
      <c r="AU18">
        <v>566.77386474609375</v>
      </c>
      <c r="AV18">
        <v>594.08441162109375</v>
      </c>
      <c r="AW18">
        <v>622.03753662109375</v>
      </c>
      <c r="AX18">
        <v>650.63330078125</v>
      </c>
      <c r="AY18">
        <v>679.87164306640625</v>
      </c>
      <c r="AZ18">
        <v>709.7525634765625</v>
      </c>
      <c r="BA18">
        <v>740.276123046875</v>
      </c>
      <c r="BB18">
        <v>771.4422607421875</v>
      </c>
      <c r="BC18">
        <v>803.2509765625</v>
      </c>
    </row>
    <row r="19" spans="1:55" x14ac:dyDescent="0.25">
      <c r="A19" t="s">
        <v>179</v>
      </c>
      <c r="B19">
        <f>(B16/B17)*B18*LN(MTOW/W_f)</f>
        <v>3499.7330580204321</v>
      </c>
      <c r="D19">
        <v>17000</v>
      </c>
      <c r="E19">
        <v>0</v>
      </c>
      <c r="F19">
        <v>0.30848810076713562</v>
      </c>
      <c r="G19">
        <v>1.2339524030685425</v>
      </c>
      <c r="H19">
        <v>2.776392936706543</v>
      </c>
      <c r="I19">
        <v>4.9358096122741699</v>
      </c>
      <c r="J19">
        <v>7.7122025489807129</v>
      </c>
      <c r="K19">
        <v>11.105571746826172</v>
      </c>
      <c r="L19">
        <v>15.115917205810547</v>
      </c>
      <c r="M19">
        <v>19.74323844909668</v>
      </c>
      <c r="N19">
        <v>24.987537384033203</v>
      </c>
      <c r="O19">
        <v>30.848810195922852</v>
      </c>
      <c r="P19">
        <v>37.327060699462891</v>
      </c>
      <c r="Q19">
        <v>44.422286987304688</v>
      </c>
      <c r="R19">
        <v>52.134490966796875</v>
      </c>
      <c r="S19">
        <v>60.463668823242188</v>
      </c>
      <c r="T19">
        <v>69.409828186035156</v>
      </c>
      <c r="U19">
        <v>78.972953796386719</v>
      </c>
      <c r="V19">
        <v>89.153060913085938</v>
      </c>
      <c r="W19">
        <v>99.950149536132813</v>
      </c>
      <c r="X19">
        <v>111.36420440673828</v>
      </c>
      <c r="Y19">
        <v>123.39524078369141</v>
      </c>
      <c r="Z19">
        <v>136.04325866699219</v>
      </c>
      <c r="AA19">
        <v>149.30824279785156</v>
      </c>
      <c r="AB19">
        <v>163.19021606445313</v>
      </c>
      <c r="AC19">
        <v>177.68914794921875</v>
      </c>
      <c r="AD19">
        <v>192.80506896972656</v>
      </c>
      <c r="AE19">
        <v>208.5379638671875</v>
      </c>
      <c r="AF19">
        <v>224.88783264160156</v>
      </c>
      <c r="AG19">
        <v>241.85467529296875</v>
      </c>
      <c r="AH19">
        <v>259.43850708007813</v>
      </c>
      <c r="AI19">
        <v>277.63931274414063</v>
      </c>
      <c r="AJ19">
        <v>296.45706176757813</v>
      </c>
      <c r="AK19">
        <v>315.89181518554688</v>
      </c>
      <c r="AL19">
        <v>335.94354248046875</v>
      </c>
      <c r="AM19">
        <v>356.61224365234375</v>
      </c>
      <c r="AN19">
        <v>377.89794921875</v>
      </c>
      <c r="AO19">
        <v>399.80059814453125</v>
      </c>
      <c r="AP19">
        <v>422.32022094726563</v>
      </c>
      <c r="AQ19">
        <v>445.45681762695313</v>
      </c>
      <c r="AR19">
        <v>469.21041870117188</v>
      </c>
      <c r="AS19">
        <v>493.58096313476563</v>
      </c>
      <c r="AT19">
        <v>518.56854248046875</v>
      </c>
      <c r="AU19">
        <v>544.17303466796875</v>
      </c>
      <c r="AV19">
        <v>570.39453125</v>
      </c>
      <c r="AW19">
        <v>597.23297119140625</v>
      </c>
      <c r="AX19">
        <v>624.68841552734375</v>
      </c>
      <c r="AY19">
        <v>652.7608642578125</v>
      </c>
      <c r="AZ19">
        <v>681.45025634765625</v>
      </c>
      <c r="BA19">
        <v>710.756591796875</v>
      </c>
      <c r="BB19">
        <v>740.679931640625</v>
      </c>
      <c r="BC19">
        <v>771.22027587890625</v>
      </c>
    </row>
    <row r="20" spans="1:55" x14ac:dyDescent="0.25">
      <c r="A20" t="s">
        <v>180</v>
      </c>
      <c r="B20" t="str">
        <f>IF(B19&gt;=Range,"PASS","FAIL")</f>
        <v>PASS</v>
      </c>
      <c r="D20">
        <v>18000</v>
      </c>
      <c r="E20">
        <v>0</v>
      </c>
      <c r="F20">
        <v>0.29609388113021851</v>
      </c>
      <c r="G20">
        <v>1.184375524520874</v>
      </c>
      <c r="H20">
        <v>2.6648447513580322</v>
      </c>
      <c r="I20">
        <v>4.7375020980834961</v>
      </c>
      <c r="J20">
        <v>7.4023466110229492</v>
      </c>
      <c r="K20">
        <v>10.659379005432129</v>
      </c>
      <c r="L20">
        <v>14.508599281311035</v>
      </c>
      <c r="M20">
        <v>18.950008392333984</v>
      </c>
      <c r="N20">
        <v>23.983604431152344</v>
      </c>
      <c r="O20">
        <v>29.609386444091797</v>
      </c>
      <c r="P20">
        <v>35.827358245849609</v>
      </c>
      <c r="Q20">
        <v>42.637516021728516</v>
      </c>
      <c r="R20">
        <v>50.039863586425781</v>
      </c>
      <c r="S20">
        <v>58.034397125244141</v>
      </c>
      <c r="T20">
        <v>66.621124267578125</v>
      </c>
      <c r="U20">
        <v>75.800033569335938</v>
      </c>
      <c r="V20">
        <v>85.571128845214844</v>
      </c>
      <c r="W20">
        <v>95.934417724609375</v>
      </c>
      <c r="X20">
        <v>106.88988494873047</v>
      </c>
      <c r="Y20">
        <v>118.43754577636719</v>
      </c>
      <c r="Z20">
        <v>130.577392578125</v>
      </c>
      <c r="AA20">
        <v>143.30943298339844</v>
      </c>
      <c r="AB20">
        <v>156.63365173339844</v>
      </c>
      <c r="AC20">
        <v>170.55006408691406</v>
      </c>
      <c r="AD20">
        <v>185.05867004394531</v>
      </c>
      <c r="AE20">
        <v>200.15945434570313</v>
      </c>
      <c r="AF20">
        <v>215.85243225097656</v>
      </c>
      <c r="AG20">
        <v>232.13758850097656</v>
      </c>
      <c r="AH20">
        <v>249.01495361328125</v>
      </c>
      <c r="AI20">
        <v>266.4844970703125</v>
      </c>
      <c r="AJ20">
        <v>284.54620361328125</v>
      </c>
      <c r="AK20">
        <v>303.20013427734375</v>
      </c>
      <c r="AL20">
        <v>322.44622802734375</v>
      </c>
      <c r="AM20">
        <v>342.28451538085938</v>
      </c>
      <c r="AN20">
        <v>362.71499633789063</v>
      </c>
      <c r="AO20">
        <v>383.7376708984375</v>
      </c>
      <c r="AP20">
        <v>405.35250854492188</v>
      </c>
      <c r="AQ20">
        <v>427.55953979492188</v>
      </c>
      <c r="AR20">
        <v>450.3587646484375</v>
      </c>
      <c r="AS20">
        <v>473.75018310546875</v>
      </c>
      <c r="AT20">
        <v>497.73379516601563</v>
      </c>
      <c r="AU20">
        <v>522.3095703125</v>
      </c>
      <c r="AV20">
        <v>547.4775390625</v>
      </c>
      <c r="AW20">
        <v>573.23773193359375</v>
      </c>
      <c r="AX20">
        <v>599.590087890625</v>
      </c>
      <c r="AY20">
        <v>626.53460693359375</v>
      </c>
      <c r="AZ20">
        <v>654.07135009765625</v>
      </c>
      <c r="BA20">
        <v>682.20025634765625</v>
      </c>
      <c r="BB20">
        <v>710.92138671875</v>
      </c>
      <c r="BC20">
        <v>740.23468017578125</v>
      </c>
    </row>
    <row r="21" spans="1:55" x14ac:dyDescent="0.25">
      <c r="D21">
        <v>19000</v>
      </c>
      <c r="E21">
        <v>0</v>
      </c>
      <c r="F21">
        <v>0.28410711884498596</v>
      </c>
      <c r="G21">
        <v>1.1364284753799438</v>
      </c>
      <c r="H21">
        <v>2.5569639205932617</v>
      </c>
      <c r="I21">
        <v>4.5457139015197754</v>
      </c>
      <c r="J21">
        <v>7.1026778221130371</v>
      </c>
      <c r="K21">
        <v>10.227855682373047</v>
      </c>
      <c r="L21">
        <v>13.921248435974121</v>
      </c>
      <c r="M21">
        <v>18.182855606079102</v>
      </c>
      <c r="N21">
        <v>23.012676239013672</v>
      </c>
      <c r="O21">
        <v>28.410711288452148</v>
      </c>
      <c r="P21">
        <v>34.376960754394531</v>
      </c>
      <c r="Q21">
        <v>40.911422729492188</v>
      </c>
      <c r="R21">
        <v>48.01409912109375</v>
      </c>
      <c r="S21">
        <v>55.684993743896484</v>
      </c>
      <c r="T21">
        <v>63.924098968505859</v>
      </c>
      <c r="U21">
        <v>72.731422424316406</v>
      </c>
      <c r="V21">
        <v>82.106956481933594</v>
      </c>
      <c r="W21">
        <v>92.050704956054688</v>
      </c>
      <c r="X21">
        <v>102.56266784667969</v>
      </c>
      <c r="Y21">
        <v>113.64284515380859</v>
      </c>
      <c r="Z21">
        <v>125.29123687744141</v>
      </c>
      <c r="AA21">
        <v>137.50784301757813</v>
      </c>
      <c r="AB21">
        <v>150.29266357421875</v>
      </c>
      <c r="AC21">
        <v>163.64569091796875</v>
      </c>
      <c r="AD21">
        <v>177.56694030761719</v>
      </c>
      <c r="AE21">
        <v>192.056396484375</v>
      </c>
      <c r="AF21">
        <v>207.11407470703125</v>
      </c>
      <c r="AG21">
        <v>222.73997497558594</v>
      </c>
      <c r="AH21">
        <v>238.93408203125</v>
      </c>
      <c r="AI21">
        <v>255.69639587402344</v>
      </c>
      <c r="AJ21">
        <v>273.02691650390625</v>
      </c>
      <c r="AK21">
        <v>290.92568969726563</v>
      </c>
      <c r="AL21">
        <v>309.39263916015625</v>
      </c>
      <c r="AM21">
        <v>328.42782592773438</v>
      </c>
      <c r="AN21">
        <v>348.03118896484375</v>
      </c>
      <c r="AO21">
        <v>368.20281982421875</v>
      </c>
      <c r="AP21">
        <v>388.942626953125</v>
      </c>
      <c r="AQ21">
        <v>410.25067138671875</v>
      </c>
      <c r="AR21">
        <v>432.12689208984375</v>
      </c>
      <c r="AS21">
        <v>454.57138061523438</v>
      </c>
      <c r="AT21">
        <v>477.58404541015625</v>
      </c>
      <c r="AU21">
        <v>501.16494750976563</v>
      </c>
      <c r="AV21">
        <v>525.31402587890625</v>
      </c>
      <c r="AW21">
        <v>550.0313720703125</v>
      </c>
      <c r="AX21">
        <v>575.31689453125</v>
      </c>
      <c r="AY21">
        <v>601.170654296875</v>
      </c>
      <c r="AZ21">
        <v>627.59259033203125</v>
      </c>
      <c r="BA21">
        <v>654.582763671875</v>
      </c>
      <c r="BB21">
        <v>682.14117431640625</v>
      </c>
      <c r="BC21">
        <v>710.26776123046875</v>
      </c>
    </row>
    <row r="22" spans="1:55" x14ac:dyDescent="0.25">
      <c r="D22">
        <v>20000</v>
      </c>
      <c r="E22">
        <v>0</v>
      </c>
      <c r="F22">
        <v>0.27251744270324707</v>
      </c>
      <c r="G22">
        <v>1.0900697708129883</v>
      </c>
      <c r="H22">
        <v>2.4526569843292236</v>
      </c>
      <c r="I22">
        <v>4.3602790832519531</v>
      </c>
      <c r="J22">
        <v>6.8129358291625977</v>
      </c>
      <c r="K22">
        <v>9.8106279373168945</v>
      </c>
      <c r="L22">
        <v>13.353354454040527</v>
      </c>
      <c r="M22">
        <v>17.441116333007813</v>
      </c>
      <c r="N22">
        <v>22.073911666870117</v>
      </c>
      <c r="O22">
        <v>27.251743316650391</v>
      </c>
      <c r="P22">
        <v>32.974609375</v>
      </c>
      <c r="Q22">
        <v>39.242511749267578</v>
      </c>
      <c r="R22">
        <v>46.055446624755859</v>
      </c>
      <c r="S22">
        <v>53.413417816162109</v>
      </c>
      <c r="T22">
        <v>61.316421508789063</v>
      </c>
      <c r="U22">
        <v>69.76446533203125</v>
      </c>
      <c r="V22">
        <v>78.757537841796875</v>
      </c>
      <c r="W22">
        <v>88.295646667480469</v>
      </c>
      <c r="X22">
        <v>98.378791809082031</v>
      </c>
      <c r="Y22">
        <v>109.00697326660156</v>
      </c>
      <c r="Z22">
        <v>120.18019104003906</v>
      </c>
      <c r="AA22">
        <v>131.8984375</v>
      </c>
      <c r="AB22">
        <v>144.16172790527344</v>
      </c>
      <c r="AC22">
        <v>156.97004699707031</v>
      </c>
      <c r="AD22">
        <v>170.32339477539063</v>
      </c>
      <c r="AE22">
        <v>184.22178649902344</v>
      </c>
      <c r="AF22">
        <v>198.66520690917969</v>
      </c>
      <c r="AG22">
        <v>213.65367126464844</v>
      </c>
      <c r="AH22">
        <v>229.18716430664063</v>
      </c>
      <c r="AI22">
        <v>245.26568603515625</v>
      </c>
      <c r="AJ22">
        <v>261.88925170898438</v>
      </c>
      <c r="AK22">
        <v>279.057861328125</v>
      </c>
      <c r="AL22">
        <v>296.771484375</v>
      </c>
      <c r="AM22">
        <v>315.0301513671875</v>
      </c>
      <c r="AN22">
        <v>333.8338623046875</v>
      </c>
      <c r="AO22">
        <v>353.18258666992188</v>
      </c>
      <c r="AP22">
        <v>373.07635498046875</v>
      </c>
      <c r="AQ22">
        <v>393.51516723632813</v>
      </c>
      <c r="AR22">
        <v>414.4990234375</v>
      </c>
      <c r="AS22">
        <v>436.02789306640625</v>
      </c>
      <c r="AT22">
        <v>458.101806640625</v>
      </c>
      <c r="AU22">
        <v>480.72076416015625</v>
      </c>
      <c r="AV22">
        <v>503.88473510742188</v>
      </c>
      <c r="AW22">
        <v>527.59375</v>
      </c>
      <c r="AX22">
        <v>551.8477783203125</v>
      </c>
      <c r="AY22">
        <v>576.64691162109375</v>
      </c>
      <c r="AZ22">
        <v>601.99102783203125</v>
      </c>
      <c r="BA22">
        <v>627.88018798828125</v>
      </c>
      <c r="BB22">
        <v>654.3143310546875</v>
      </c>
      <c r="BC22">
        <v>681.2935791015625</v>
      </c>
    </row>
    <row r="23" spans="1:55" x14ac:dyDescent="0.25">
      <c r="D23">
        <v>21000</v>
      </c>
      <c r="E23">
        <v>0</v>
      </c>
      <c r="F23">
        <v>0.26131466031074524</v>
      </c>
      <c r="G23">
        <v>1.045258641242981</v>
      </c>
      <c r="H23">
        <v>2.3518319129943848</v>
      </c>
      <c r="I23">
        <v>4.1810345649719238</v>
      </c>
      <c r="J23">
        <v>6.5328660011291504</v>
      </c>
      <c r="K23">
        <v>9.4073276519775391</v>
      </c>
      <c r="L23">
        <v>12.804417610168457</v>
      </c>
      <c r="M23">
        <v>16.724138259887695</v>
      </c>
      <c r="N23">
        <v>21.166486740112305</v>
      </c>
      <c r="O23">
        <v>26.131464004516602</v>
      </c>
      <c r="P23">
        <v>31.619071960449219</v>
      </c>
      <c r="Q23">
        <v>37.629310607910156</v>
      </c>
      <c r="R23">
        <v>44.162174224853516</v>
      </c>
      <c r="S23">
        <v>51.217670440673828</v>
      </c>
      <c r="T23">
        <v>58.795795440673828</v>
      </c>
      <c r="U23">
        <v>66.896553039550781</v>
      </c>
      <c r="V23">
        <v>75.519935607910156</v>
      </c>
      <c r="W23">
        <v>84.665946960449219</v>
      </c>
      <c r="X23">
        <v>94.334587097167969</v>
      </c>
      <c r="Y23">
        <v>104.52585601806641</v>
      </c>
      <c r="Z23">
        <v>115.23976135253906</v>
      </c>
      <c r="AA23">
        <v>126.47628784179688</v>
      </c>
      <c r="AB23">
        <v>138.23544311523438</v>
      </c>
      <c r="AC23">
        <v>150.51724243164063</v>
      </c>
      <c r="AD23">
        <v>163.3216552734375</v>
      </c>
      <c r="AE23">
        <v>176.64869689941406</v>
      </c>
      <c r="AF23">
        <v>190.49838256835938</v>
      </c>
      <c r="AG23">
        <v>204.87068176269531</v>
      </c>
      <c r="AH23">
        <v>219.765625</v>
      </c>
      <c r="AI23">
        <v>235.18318176269531</v>
      </c>
      <c r="AJ23">
        <v>251.12338256835938</v>
      </c>
      <c r="AK23">
        <v>267.58621215820313</v>
      </c>
      <c r="AL23">
        <v>284.5716552734375</v>
      </c>
      <c r="AM23">
        <v>302.07974243164063</v>
      </c>
      <c r="AN23">
        <v>320.11044311523438</v>
      </c>
      <c r="AO23">
        <v>338.66378784179688</v>
      </c>
      <c r="AP23">
        <v>357.73974609375</v>
      </c>
      <c r="AQ23">
        <v>377.33834838867188</v>
      </c>
      <c r="AR23">
        <v>397.4595947265625</v>
      </c>
      <c r="AS23">
        <v>418.10342407226563</v>
      </c>
      <c r="AT23">
        <v>439.26992797851563</v>
      </c>
      <c r="AU23">
        <v>460.95904541015625</v>
      </c>
      <c r="AV23">
        <v>483.1707763671875</v>
      </c>
      <c r="AW23">
        <v>505.9051513671875</v>
      </c>
      <c r="AX23">
        <v>529.16217041015625</v>
      </c>
      <c r="AY23">
        <v>552.9417724609375</v>
      </c>
      <c r="AZ23">
        <v>577.24407958984375</v>
      </c>
      <c r="BA23">
        <v>602.0689697265625</v>
      </c>
      <c r="BB23">
        <v>627.41644287109375</v>
      </c>
      <c r="BC23">
        <v>653.28662109375</v>
      </c>
    </row>
    <row r="24" spans="1:55" x14ac:dyDescent="0.25">
      <c r="D24">
        <v>22000</v>
      </c>
      <c r="E24">
        <v>0</v>
      </c>
      <c r="F24">
        <v>0.2504887580871582</v>
      </c>
      <c r="G24">
        <v>1.0019550323486328</v>
      </c>
      <c r="H24">
        <v>2.2543988227844238</v>
      </c>
      <c r="I24">
        <v>4.0078201293945313</v>
      </c>
      <c r="J24">
        <v>6.2622184753417969</v>
      </c>
      <c r="K24">
        <v>9.0175952911376953</v>
      </c>
      <c r="L24">
        <v>12.273948669433594</v>
      </c>
      <c r="M24">
        <v>16.031280517578125</v>
      </c>
      <c r="N24">
        <v>20.289588928222656</v>
      </c>
      <c r="O24">
        <v>25.048873901367188</v>
      </c>
      <c r="P24">
        <v>30.309137344360352</v>
      </c>
      <c r="Q24">
        <v>36.070381164550781</v>
      </c>
      <c r="R24">
        <v>42.332599639892578</v>
      </c>
      <c r="S24">
        <v>49.095794677734375</v>
      </c>
      <c r="T24">
        <v>56.359966278076172</v>
      </c>
      <c r="U24">
        <v>64.1251220703125</v>
      </c>
      <c r="V24">
        <v>72.391250610351563</v>
      </c>
      <c r="W24">
        <v>81.158355712890625</v>
      </c>
      <c r="X24">
        <v>90.426437377929688</v>
      </c>
      <c r="Y24">
        <v>100.19549560546875</v>
      </c>
      <c r="Z24">
        <v>110.46553802490234</v>
      </c>
      <c r="AA24">
        <v>121.23654937744141</v>
      </c>
      <c r="AB24">
        <v>132.508544921875</v>
      </c>
      <c r="AC24">
        <v>144.28152465820313</v>
      </c>
      <c r="AD24">
        <v>156.55546569824219</v>
      </c>
      <c r="AE24">
        <v>169.33039855957031</v>
      </c>
      <c r="AF24">
        <v>182.60629272460938</v>
      </c>
      <c r="AG24">
        <v>196.3831787109375</v>
      </c>
      <c r="AH24">
        <v>210.66104125976563</v>
      </c>
      <c r="AI24">
        <v>225.43986511230469</v>
      </c>
      <c r="AJ24">
        <v>240.71968078613281</v>
      </c>
      <c r="AK24">
        <v>256.50048828125</v>
      </c>
      <c r="AL24">
        <v>272.78225708007813</v>
      </c>
      <c r="AM24">
        <v>289.56500244140625</v>
      </c>
      <c r="AN24">
        <v>306.84872436523438</v>
      </c>
      <c r="AO24">
        <v>324.6334228515625</v>
      </c>
      <c r="AP24">
        <v>342.91909790039063</v>
      </c>
      <c r="AQ24">
        <v>361.70574951171875</v>
      </c>
      <c r="AR24">
        <v>380.99337768554688</v>
      </c>
      <c r="AS24">
        <v>400.781982421875</v>
      </c>
      <c r="AT24">
        <v>421.07159423828125</v>
      </c>
      <c r="AU24">
        <v>441.86215209960938</v>
      </c>
      <c r="AV24">
        <v>463.1536865234375</v>
      </c>
      <c r="AW24">
        <v>484.94619750976563</v>
      </c>
      <c r="AX24">
        <v>507.23971557617188</v>
      </c>
      <c r="AY24">
        <v>530.0341796875</v>
      </c>
      <c r="AZ24">
        <v>553.32965087890625</v>
      </c>
      <c r="BA24">
        <v>577.1260986328125</v>
      </c>
      <c r="BB24">
        <v>601.4234619140625</v>
      </c>
      <c r="BC24">
        <v>626.22186279296875</v>
      </c>
    </row>
    <row r="25" spans="1:55" x14ac:dyDescent="0.25">
      <c r="D25">
        <v>23000</v>
      </c>
      <c r="E25">
        <v>0</v>
      </c>
      <c r="F25">
        <v>0.24002988636493683</v>
      </c>
      <c r="G25">
        <v>0.96011954545974731</v>
      </c>
      <c r="H25">
        <v>2.160269021987915</v>
      </c>
      <c r="I25">
        <v>3.8404781818389893</v>
      </c>
      <c r="J25">
        <v>6.0007472038269043</v>
      </c>
      <c r="K25">
        <v>8.6410760879516602</v>
      </c>
      <c r="L25">
        <v>11.76146411895752</v>
      </c>
      <c r="M25">
        <v>15.361912727355957</v>
      </c>
      <c r="N25">
        <v>19.442420959472656</v>
      </c>
      <c r="O25">
        <v>24.002988815307617</v>
      </c>
      <c r="P25">
        <v>29.043615341186523</v>
      </c>
      <c r="Q25">
        <v>34.564304351806641</v>
      </c>
      <c r="R25">
        <v>40.565052032470703</v>
      </c>
      <c r="S25">
        <v>47.045856475830078</v>
      </c>
      <c r="T25">
        <v>54.006725311279297</v>
      </c>
      <c r="U25">
        <v>61.447650909423828</v>
      </c>
      <c r="V25">
        <v>69.368637084960938</v>
      </c>
      <c r="W25">
        <v>77.769683837890625</v>
      </c>
      <c r="X25">
        <v>86.650787353515625</v>
      </c>
      <c r="Y25">
        <v>96.011955261230469</v>
      </c>
      <c r="Z25">
        <v>105.85317993164063</v>
      </c>
      <c r="AA25">
        <v>116.17446136474609</v>
      </c>
      <c r="AB25">
        <v>126.97580718994141</v>
      </c>
      <c r="AC25">
        <v>138.25721740722656</v>
      </c>
      <c r="AD25">
        <v>150.0186767578125</v>
      </c>
      <c r="AE25">
        <v>162.26020812988281</v>
      </c>
      <c r="AF25">
        <v>174.98178100585938</v>
      </c>
      <c r="AG25">
        <v>188.18342590332031</v>
      </c>
      <c r="AH25">
        <v>201.86512756347656</v>
      </c>
      <c r="AI25">
        <v>216.02690124511719</v>
      </c>
      <c r="AJ25">
        <v>230.66871643066406</v>
      </c>
      <c r="AK25">
        <v>245.79060363769531</v>
      </c>
      <c r="AL25">
        <v>261.39254760742188</v>
      </c>
      <c r="AM25">
        <v>277.47454833984375</v>
      </c>
      <c r="AN25">
        <v>294.03662109375</v>
      </c>
      <c r="AO25">
        <v>311.0787353515625</v>
      </c>
      <c r="AP25">
        <v>328.60092163085938</v>
      </c>
      <c r="AQ25">
        <v>346.6031494140625</v>
      </c>
      <c r="AR25">
        <v>365.08544921875</v>
      </c>
      <c r="AS25">
        <v>384.04782104492188</v>
      </c>
      <c r="AT25">
        <v>403.490234375</v>
      </c>
      <c r="AU25">
        <v>423.4127197265625</v>
      </c>
      <c r="AV25">
        <v>443.81524658203125</v>
      </c>
      <c r="AW25">
        <v>464.69784545898438</v>
      </c>
      <c r="AX25">
        <v>486.06051635742188</v>
      </c>
      <c r="AY25">
        <v>507.90322875976563</v>
      </c>
      <c r="AZ25">
        <v>530.22601318359375</v>
      </c>
      <c r="BA25">
        <v>553.02886962890625</v>
      </c>
      <c r="BB25">
        <v>576.311767578125</v>
      </c>
      <c r="BC25">
        <v>600.07470703125</v>
      </c>
    </row>
    <row r="26" spans="1:55" x14ac:dyDescent="0.25">
      <c r="D26">
        <v>24000</v>
      </c>
      <c r="E26">
        <v>0</v>
      </c>
      <c r="F26">
        <v>0.22992844879627228</v>
      </c>
      <c r="G26">
        <v>0.91971379518508911</v>
      </c>
      <c r="H26">
        <v>2.0693559646606445</v>
      </c>
      <c r="I26">
        <v>3.6788551807403564</v>
      </c>
      <c r="J26">
        <v>5.7482109069824219</v>
      </c>
      <c r="K26">
        <v>8.2774238586425781</v>
      </c>
      <c r="L26">
        <v>11.266493797302246</v>
      </c>
      <c r="M26">
        <v>14.715420722961426</v>
      </c>
      <c r="N26">
        <v>18.624204635620117</v>
      </c>
      <c r="O26">
        <v>22.992843627929688</v>
      </c>
      <c r="P26">
        <v>27.821342468261719</v>
      </c>
      <c r="Q26">
        <v>33.109695434570313</v>
      </c>
      <c r="R26">
        <v>38.857906341552734</v>
      </c>
      <c r="S26">
        <v>45.065975189208984</v>
      </c>
      <c r="T26">
        <v>51.733898162841797</v>
      </c>
      <c r="U26">
        <v>58.861682891845703</v>
      </c>
      <c r="V26">
        <v>66.449317932128906</v>
      </c>
      <c r="W26">
        <v>74.496818542480469</v>
      </c>
      <c r="X26">
        <v>83.004165649414063</v>
      </c>
      <c r="Y26">
        <v>91.97137451171875</v>
      </c>
      <c r="Z26">
        <v>101.39844512939453</v>
      </c>
      <c r="AA26">
        <v>111.28536987304688</v>
      </c>
      <c r="AB26">
        <v>121.63214874267578</v>
      </c>
      <c r="AC26">
        <v>132.43878173828125</v>
      </c>
      <c r="AD26">
        <v>143.70527648925781</v>
      </c>
      <c r="AE26">
        <v>155.43162536621094</v>
      </c>
      <c r="AF26">
        <v>167.61782836914063</v>
      </c>
      <c r="AG26">
        <v>180.26390075683594</v>
      </c>
      <c r="AH26">
        <v>193.36982727050781</v>
      </c>
      <c r="AI26">
        <v>206.93559265136719</v>
      </c>
      <c r="AJ26">
        <v>220.96122741699219</v>
      </c>
      <c r="AK26">
        <v>235.44673156738281</v>
      </c>
      <c r="AL26">
        <v>250.39207458496094</v>
      </c>
      <c r="AM26">
        <v>265.79727172851563</v>
      </c>
      <c r="AN26">
        <v>281.662353515625</v>
      </c>
      <c r="AO26">
        <v>297.98727416992188</v>
      </c>
      <c r="AP26">
        <v>314.77203369140625</v>
      </c>
      <c r="AQ26">
        <v>332.01666259765625</v>
      </c>
      <c r="AR26">
        <v>349.72116088867188</v>
      </c>
      <c r="AS26">
        <v>367.885498046875</v>
      </c>
      <c r="AT26">
        <v>386.50970458984375</v>
      </c>
      <c r="AU26">
        <v>405.59378051757813</v>
      </c>
      <c r="AV26">
        <v>425.1376953125</v>
      </c>
      <c r="AW26">
        <v>445.1414794921875</v>
      </c>
      <c r="AX26">
        <v>465.6051025390625</v>
      </c>
      <c r="AY26">
        <v>486.52859497070313</v>
      </c>
      <c r="AZ26">
        <v>507.91192626953125</v>
      </c>
      <c r="BA26">
        <v>529.755126953125</v>
      </c>
      <c r="BB26">
        <v>552.05816650390625</v>
      </c>
      <c r="BC26">
        <v>574.82110595703125</v>
      </c>
    </row>
    <row r="27" spans="1:55" x14ac:dyDescent="0.25">
      <c r="D27">
        <v>25000</v>
      </c>
      <c r="E27">
        <v>0</v>
      </c>
      <c r="F27">
        <v>0.22017492353916168</v>
      </c>
      <c r="G27">
        <v>0.88069969415664673</v>
      </c>
      <c r="H27">
        <v>1.9815742969512939</v>
      </c>
      <c r="I27">
        <v>3.5227987766265869</v>
      </c>
      <c r="J27">
        <v>5.5043730735778809</v>
      </c>
      <c r="K27">
        <v>7.9262971878051758</v>
      </c>
      <c r="L27">
        <v>10.788571357727051</v>
      </c>
      <c r="M27">
        <v>14.091195106506348</v>
      </c>
      <c r="N27">
        <v>17.834169387817383</v>
      </c>
      <c r="O27">
        <v>22.017492294311523</v>
      </c>
      <c r="P27">
        <v>26.641166687011719</v>
      </c>
      <c r="Q27">
        <v>31.705188751220703</v>
      </c>
      <c r="R27">
        <v>37.209564208984375</v>
      </c>
      <c r="S27">
        <v>43.154285430908203</v>
      </c>
      <c r="T27">
        <v>49.539360046386719</v>
      </c>
      <c r="U27">
        <v>56.364780426025391</v>
      </c>
      <c r="V27">
        <v>63.63055419921875</v>
      </c>
      <c r="W27">
        <v>71.336677551269531</v>
      </c>
      <c r="X27">
        <v>79.483146667480469</v>
      </c>
      <c r="Y27">
        <v>88.069969177246094</v>
      </c>
      <c r="Z27">
        <v>97.097145080566406</v>
      </c>
      <c r="AA27">
        <v>106.56466674804688</v>
      </c>
      <c r="AB27">
        <v>116.4725341796875</v>
      </c>
      <c r="AC27">
        <v>126.82075500488281</v>
      </c>
      <c r="AD27">
        <v>137.60932922363281</v>
      </c>
      <c r="AE27">
        <v>148.8382568359375</v>
      </c>
      <c r="AF27">
        <v>160.50752258300781</v>
      </c>
      <c r="AG27">
        <v>172.61714172363281</v>
      </c>
      <c r="AH27">
        <v>185.1671142578125</v>
      </c>
      <c r="AI27">
        <v>198.15744018554688</v>
      </c>
      <c r="AJ27">
        <v>211.58810424804688</v>
      </c>
      <c r="AK27">
        <v>225.45912170410156</v>
      </c>
      <c r="AL27">
        <v>239.77049255371094</v>
      </c>
      <c r="AM27">
        <v>254.522216796875</v>
      </c>
      <c r="AN27">
        <v>269.71429443359375</v>
      </c>
      <c r="AO27">
        <v>285.34671020507813</v>
      </c>
      <c r="AP27">
        <v>301.41946411132813</v>
      </c>
      <c r="AQ27">
        <v>317.93258666992188</v>
      </c>
      <c r="AR27">
        <v>334.88607788085938</v>
      </c>
      <c r="AS27">
        <v>352.27987670898438</v>
      </c>
      <c r="AT27">
        <v>370.11404418945313</v>
      </c>
      <c r="AU27">
        <v>388.38858032226563</v>
      </c>
      <c r="AV27">
        <v>407.10345458984375</v>
      </c>
      <c r="AW27">
        <v>426.2586669921875</v>
      </c>
      <c r="AX27">
        <v>445.85421752929688</v>
      </c>
      <c r="AY27">
        <v>465.89013671875</v>
      </c>
      <c r="AZ27">
        <v>486.36642456054688</v>
      </c>
      <c r="BA27">
        <v>507.28302001953125</v>
      </c>
      <c r="BB27">
        <v>528.6400146484375</v>
      </c>
      <c r="BC27">
        <v>550.43731689453125</v>
      </c>
    </row>
    <row r="28" spans="1:55" x14ac:dyDescent="0.25">
      <c r="D28">
        <v>26000</v>
      </c>
      <c r="E28">
        <v>0</v>
      </c>
      <c r="F28">
        <v>0.21076005697250366</v>
      </c>
      <c r="G28">
        <v>0.84304022789001465</v>
      </c>
      <c r="H28">
        <v>1.8968405723571777</v>
      </c>
      <c r="I28">
        <v>3.3721609115600586</v>
      </c>
      <c r="J28">
        <v>5.2690014839172363</v>
      </c>
      <c r="K28">
        <v>7.5873622894287109</v>
      </c>
      <c r="L28">
        <v>10.327242851257324</v>
      </c>
      <c r="M28">
        <v>13.488643646240234</v>
      </c>
      <c r="N28">
        <v>17.071565628051758</v>
      </c>
      <c r="O28">
        <v>21.076005935668945</v>
      </c>
      <c r="P28">
        <v>25.50196647644043</v>
      </c>
      <c r="Q28">
        <v>30.349449157714844</v>
      </c>
      <c r="R28">
        <v>35.618450164794922</v>
      </c>
      <c r="S28">
        <v>41.308971405029297</v>
      </c>
      <c r="T28">
        <v>47.421012878417969</v>
      </c>
      <c r="U28">
        <v>53.954574584960938</v>
      </c>
      <c r="V28">
        <v>60.909656524658203</v>
      </c>
      <c r="W28">
        <v>68.286262512207031</v>
      </c>
      <c r="X28">
        <v>76.084381103515625</v>
      </c>
      <c r="Y28">
        <v>84.304023742675781</v>
      </c>
      <c r="Z28">
        <v>92.945182800292969</v>
      </c>
      <c r="AA28">
        <v>102.00786590576172</v>
      </c>
      <c r="AB28">
        <v>111.49207305908203</v>
      </c>
      <c r="AC28">
        <v>121.39779663085938</v>
      </c>
      <c r="AD28">
        <v>131.72503662109375</v>
      </c>
      <c r="AE28">
        <v>142.47380065917969</v>
      </c>
      <c r="AF28">
        <v>153.64408874511719</v>
      </c>
      <c r="AG28">
        <v>165.23588562011719</v>
      </c>
      <c r="AH28">
        <v>177.24920654296875</v>
      </c>
      <c r="AI28">
        <v>189.68405151367188</v>
      </c>
      <c r="AJ28">
        <v>202.54042053222656</v>
      </c>
      <c r="AK28">
        <v>215.81829833984375</v>
      </c>
      <c r="AL28">
        <v>229.5177001953125</v>
      </c>
      <c r="AM28">
        <v>243.63862609863281</v>
      </c>
      <c r="AN28">
        <v>258.18106079101563</v>
      </c>
      <c r="AO28">
        <v>273.14505004882813</v>
      </c>
      <c r="AP28">
        <v>288.530517578125</v>
      </c>
      <c r="AQ28">
        <v>304.3375244140625</v>
      </c>
      <c r="AR28">
        <v>320.5660400390625</v>
      </c>
      <c r="AS28">
        <v>337.21609497070313</v>
      </c>
      <c r="AT28">
        <v>354.28765869140625</v>
      </c>
      <c r="AU28">
        <v>371.78073120117188</v>
      </c>
      <c r="AV28">
        <v>389.69534301757813</v>
      </c>
      <c r="AW28">
        <v>408.03146362304688</v>
      </c>
      <c r="AX28">
        <v>426.78912353515625</v>
      </c>
      <c r="AY28">
        <v>445.96829223632813</v>
      </c>
      <c r="AZ28">
        <v>465.5689697265625</v>
      </c>
      <c r="BA28">
        <v>485.5911865234375</v>
      </c>
      <c r="BB28">
        <v>506.034912109375</v>
      </c>
      <c r="BC28">
        <v>526.900146484375</v>
      </c>
    </row>
    <row r="29" spans="1:55" x14ac:dyDescent="0.25">
      <c r="D29">
        <v>27000</v>
      </c>
      <c r="E29">
        <v>0</v>
      </c>
      <c r="F29">
        <v>0.20167471468448639</v>
      </c>
      <c r="G29">
        <v>0.80669885873794556</v>
      </c>
      <c r="H29">
        <v>1.8150724172592163</v>
      </c>
      <c r="I29">
        <v>3.2267954349517822</v>
      </c>
      <c r="J29">
        <v>5.0418682098388672</v>
      </c>
      <c r="K29">
        <v>7.2602896690368652</v>
      </c>
      <c r="L29">
        <v>9.8820610046386719</v>
      </c>
      <c r="M29">
        <v>12.907181739807129</v>
      </c>
      <c r="N29">
        <v>16.335651397705078</v>
      </c>
      <c r="O29">
        <v>20.167472839355469</v>
      </c>
      <c r="P29">
        <v>24.402641296386719</v>
      </c>
      <c r="Q29">
        <v>29.041158676147461</v>
      </c>
      <c r="R29">
        <v>34.083026885986328</v>
      </c>
      <c r="S29">
        <v>39.528244018554688</v>
      </c>
      <c r="T29">
        <v>45.376811981201172</v>
      </c>
      <c r="U29">
        <v>51.628726959228516</v>
      </c>
      <c r="V29">
        <v>58.283992767333984</v>
      </c>
      <c r="W29">
        <v>65.342605590820313</v>
      </c>
      <c r="X29">
        <v>72.804573059082031</v>
      </c>
      <c r="Y29">
        <v>80.669891357421875</v>
      </c>
      <c r="Z29">
        <v>88.938552856445313</v>
      </c>
      <c r="AA29">
        <v>97.610565185546875</v>
      </c>
      <c r="AB29">
        <v>106.68592834472656</v>
      </c>
      <c r="AC29">
        <v>116.16463470458984</v>
      </c>
      <c r="AD29">
        <v>126.04669952392578</v>
      </c>
      <c r="AE29">
        <v>136.33210754394531</v>
      </c>
      <c r="AF29">
        <v>147.0208740234375</v>
      </c>
      <c r="AG29">
        <v>158.11297607421875</v>
      </c>
      <c r="AH29">
        <v>169.60844421386719</v>
      </c>
      <c r="AI29">
        <v>181.50724792480469</v>
      </c>
      <c r="AJ29">
        <v>193.80940246582031</v>
      </c>
      <c r="AK29">
        <v>206.51490783691406</v>
      </c>
      <c r="AL29">
        <v>219.62376403808594</v>
      </c>
      <c r="AM29">
        <v>233.13597106933594</v>
      </c>
      <c r="AN29">
        <v>247.05152893066406</v>
      </c>
      <c r="AO29">
        <v>261.37042236328125</v>
      </c>
      <c r="AP29">
        <v>276.09268188476563</v>
      </c>
      <c r="AQ29">
        <v>291.21829223632813</v>
      </c>
      <c r="AR29">
        <v>306.74725341796875</v>
      </c>
      <c r="AS29">
        <v>322.6795654296875</v>
      </c>
      <c r="AT29">
        <v>339.01519775390625</v>
      </c>
      <c r="AU29">
        <v>355.75421142578125</v>
      </c>
      <c r="AV29">
        <v>372.89654541015625</v>
      </c>
      <c r="AW29">
        <v>390.4422607421875</v>
      </c>
      <c r="AX29">
        <v>408.39129638671875</v>
      </c>
      <c r="AY29">
        <v>426.74371337890625</v>
      </c>
      <c r="AZ29">
        <v>445.49945068359375</v>
      </c>
      <c r="BA29">
        <v>464.65853881835938</v>
      </c>
      <c r="BB29">
        <v>484.22100830078125</v>
      </c>
      <c r="BC29">
        <v>504.18679809570313</v>
      </c>
    </row>
    <row r="30" spans="1:55" x14ac:dyDescent="0.25">
      <c r="D30">
        <v>28000</v>
      </c>
      <c r="E30">
        <v>0</v>
      </c>
      <c r="F30">
        <v>0.19290997087955475</v>
      </c>
      <c r="G30">
        <v>0.77163988351821899</v>
      </c>
      <c r="H30">
        <v>1.7361897230148315</v>
      </c>
      <c r="I30">
        <v>3.086559534072876</v>
      </c>
      <c r="J30">
        <v>4.822749137878418</v>
      </c>
      <c r="K30">
        <v>6.9447588920593262</v>
      </c>
      <c r="L30">
        <v>9.4525890350341797</v>
      </c>
      <c r="M30">
        <v>12.346238136291504</v>
      </c>
      <c r="N30">
        <v>15.625707626342773</v>
      </c>
      <c r="O30">
        <v>19.290996551513672</v>
      </c>
      <c r="P30">
        <v>23.342105865478516</v>
      </c>
      <c r="Q30">
        <v>27.779035568237305</v>
      </c>
      <c r="R30">
        <v>32.601783752441406</v>
      </c>
      <c r="S30">
        <v>37.810356140136719</v>
      </c>
      <c r="T30">
        <v>43.404743194580078</v>
      </c>
      <c r="U30">
        <v>49.384952545166016</v>
      </c>
      <c r="V30">
        <v>55.750980377197266</v>
      </c>
      <c r="W30">
        <v>62.502830505371094</v>
      </c>
      <c r="X30">
        <v>69.6405029296875</v>
      </c>
      <c r="Y30">
        <v>77.163986206054688</v>
      </c>
      <c r="Z30">
        <v>85.073295593261719</v>
      </c>
      <c r="AA30">
        <v>93.368423461914063</v>
      </c>
      <c r="AB30">
        <v>102.04937744140625</v>
      </c>
      <c r="AC30">
        <v>111.11614227294922</v>
      </c>
      <c r="AD30">
        <v>120.56873321533203</v>
      </c>
      <c r="AE30">
        <v>130.40713500976563</v>
      </c>
      <c r="AF30">
        <v>140.63136291503906</v>
      </c>
      <c r="AG30">
        <v>151.24142456054688</v>
      </c>
      <c r="AH30">
        <v>162.23728942871094</v>
      </c>
      <c r="AI30">
        <v>173.61897277832031</v>
      </c>
      <c r="AJ30">
        <v>185.38648986816406</v>
      </c>
      <c r="AK30">
        <v>197.53981018066406</v>
      </c>
      <c r="AL30">
        <v>210.07896423339844</v>
      </c>
      <c r="AM30">
        <v>223.00392150878906</v>
      </c>
      <c r="AN30">
        <v>236.31471252441406</v>
      </c>
      <c r="AO30">
        <v>250.01132202148438</v>
      </c>
      <c r="AP30">
        <v>264.09375</v>
      </c>
      <c r="AQ30">
        <v>278.56201171875</v>
      </c>
      <c r="AR30">
        <v>293.41607666015625</v>
      </c>
      <c r="AS30">
        <v>308.65594482421875</v>
      </c>
      <c r="AT30">
        <v>324.28167724609375</v>
      </c>
      <c r="AU30">
        <v>340.29318237304688</v>
      </c>
      <c r="AV30">
        <v>356.6905517578125</v>
      </c>
      <c r="AW30">
        <v>373.47369384765625</v>
      </c>
      <c r="AX30">
        <v>390.6427001953125</v>
      </c>
      <c r="AY30">
        <v>408.197509765625</v>
      </c>
      <c r="AZ30">
        <v>426.13812255859375</v>
      </c>
      <c r="BA30">
        <v>444.46456909179688</v>
      </c>
      <c r="BB30">
        <v>463.17684936523438</v>
      </c>
      <c r="BC30">
        <v>482.27493286132813</v>
      </c>
    </row>
    <row r="31" spans="1:55" x14ac:dyDescent="0.25">
      <c r="D31">
        <v>29000</v>
      </c>
      <c r="E31">
        <v>0</v>
      </c>
      <c r="F31">
        <v>0.18445704877376556</v>
      </c>
      <c r="G31">
        <v>0.73782819509506226</v>
      </c>
      <c r="H31">
        <v>1.6601133346557617</v>
      </c>
      <c r="I31">
        <v>2.951312780380249</v>
      </c>
      <c r="J31">
        <v>4.6114258766174316</v>
      </c>
      <c r="K31">
        <v>6.6404533386230469</v>
      </c>
      <c r="L31">
        <v>9.0383949279785156</v>
      </c>
      <c r="M31">
        <v>11.805251121520996</v>
      </c>
      <c r="N31">
        <v>14.941020965576172</v>
      </c>
      <c r="O31">
        <v>18.445703506469727</v>
      </c>
      <c r="P31">
        <v>22.319301605224609</v>
      </c>
      <c r="Q31">
        <v>26.561813354492188</v>
      </c>
      <c r="R31">
        <v>31.173240661621094</v>
      </c>
      <c r="S31">
        <v>36.153579711914063</v>
      </c>
      <c r="T31">
        <v>41.502834320068359</v>
      </c>
      <c r="U31">
        <v>47.221004486083984</v>
      </c>
      <c r="V31">
        <v>53.308086395263672</v>
      </c>
      <c r="W31">
        <v>59.764083862304688</v>
      </c>
      <c r="X31">
        <v>66.5889892578125</v>
      </c>
      <c r="Y31">
        <v>73.782814025878906</v>
      </c>
      <c r="Z31">
        <v>81.345558166503906</v>
      </c>
      <c r="AA31">
        <v>89.277206420898438</v>
      </c>
      <c r="AB31">
        <v>97.577774047851563</v>
      </c>
      <c r="AC31">
        <v>106.24725341796875</v>
      </c>
      <c r="AD31">
        <v>115.28565216064453</v>
      </c>
      <c r="AE31">
        <v>124.69296264648438</v>
      </c>
      <c r="AF31">
        <v>134.46917724609375</v>
      </c>
      <c r="AG31">
        <v>144.61431884765625</v>
      </c>
      <c r="AH31">
        <v>155.12837219238281</v>
      </c>
      <c r="AI31">
        <v>166.01133728027344</v>
      </c>
      <c r="AJ31">
        <v>177.26321411132813</v>
      </c>
      <c r="AK31">
        <v>188.88401794433594</v>
      </c>
      <c r="AL31">
        <v>200.87371826171875</v>
      </c>
      <c r="AM31">
        <v>213.23234558105469</v>
      </c>
      <c r="AN31">
        <v>225.95988464355469</v>
      </c>
      <c r="AO31">
        <v>239.05633544921875</v>
      </c>
      <c r="AP31">
        <v>252.52169799804688</v>
      </c>
      <c r="AQ31">
        <v>266.35595703125</v>
      </c>
      <c r="AR31">
        <v>280.55917358398438</v>
      </c>
      <c r="AS31">
        <v>295.13125610351563</v>
      </c>
      <c r="AT31">
        <v>310.07229614257813</v>
      </c>
      <c r="AU31">
        <v>325.38223266601563</v>
      </c>
      <c r="AV31">
        <v>341.06106567382813</v>
      </c>
      <c r="AW31">
        <v>357.10882568359375</v>
      </c>
      <c r="AX31">
        <v>373.5255126953125</v>
      </c>
      <c r="AY31">
        <v>390.31109619140625</v>
      </c>
      <c r="AZ31">
        <v>407.46560668945313</v>
      </c>
      <c r="BA31">
        <v>424.989013671875</v>
      </c>
      <c r="BB31">
        <v>442.88134765625</v>
      </c>
      <c r="BC31">
        <v>461.14260864257813</v>
      </c>
    </row>
    <row r="32" spans="1:55" x14ac:dyDescent="0.25">
      <c r="D32">
        <v>30000</v>
      </c>
      <c r="E32">
        <v>0</v>
      </c>
      <c r="F32">
        <v>0.1763073205947876</v>
      </c>
      <c r="G32">
        <v>0.70522928237915039</v>
      </c>
      <c r="H32">
        <v>1.5867658853530884</v>
      </c>
      <c r="I32">
        <v>2.8209171295166016</v>
      </c>
      <c r="J32">
        <v>4.4076828956604004</v>
      </c>
      <c r="K32">
        <v>6.3470635414123535</v>
      </c>
      <c r="L32">
        <v>8.6390590667724609</v>
      </c>
      <c r="M32">
        <v>11.283668518066406</v>
      </c>
      <c r="N32">
        <v>14.280893325805664</v>
      </c>
      <c r="O32">
        <v>17.630731582641602</v>
      </c>
      <c r="P32">
        <v>21.333187103271484</v>
      </c>
      <c r="Q32">
        <v>25.388254165649414</v>
      </c>
      <c r="R32">
        <v>29.795938491821289</v>
      </c>
      <c r="S32">
        <v>34.556236267089844</v>
      </c>
      <c r="T32">
        <v>39.669147491455078</v>
      </c>
      <c r="U32">
        <v>45.134674072265625</v>
      </c>
      <c r="V32">
        <v>50.952816009521484</v>
      </c>
      <c r="W32">
        <v>57.123573303222656</v>
      </c>
      <c r="X32">
        <v>63.646942138671875</v>
      </c>
      <c r="Y32">
        <v>70.522926330566406</v>
      </c>
      <c r="Z32">
        <v>77.751533508300781</v>
      </c>
      <c r="AA32">
        <v>85.332748413085938</v>
      </c>
      <c r="AB32">
        <v>93.266571044921875</v>
      </c>
      <c r="AC32">
        <v>101.55301666259766</v>
      </c>
      <c r="AD32">
        <v>110.19207763671875</v>
      </c>
      <c r="AE32">
        <v>119.18375396728516</v>
      </c>
      <c r="AF32">
        <v>128.52804565429688</v>
      </c>
      <c r="AG32">
        <v>138.22494506835938</v>
      </c>
      <c r="AH32">
        <v>148.27445983886719</v>
      </c>
      <c r="AI32">
        <v>158.67658996582031</v>
      </c>
      <c r="AJ32">
        <v>169.43133544921875</v>
      </c>
      <c r="AK32">
        <v>180.5386962890625</v>
      </c>
      <c r="AL32">
        <v>191.99867248535156</v>
      </c>
      <c r="AM32">
        <v>203.81126403808594</v>
      </c>
      <c r="AN32">
        <v>215.97647094726563</v>
      </c>
      <c r="AO32">
        <v>228.49429321289063</v>
      </c>
      <c r="AP32">
        <v>241.36473083496094</v>
      </c>
      <c r="AQ32">
        <v>254.5877685546875</v>
      </c>
      <c r="AR32">
        <v>268.1634521484375</v>
      </c>
      <c r="AS32">
        <v>282.09170532226563</v>
      </c>
      <c r="AT32">
        <v>296.37261962890625</v>
      </c>
      <c r="AU32">
        <v>311.00613403320313</v>
      </c>
      <c r="AV32">
        <v>325.99224853515625</v>
      </c>
      <c r="AW32">
        <v>341.33099365234375</v>
      </c>
      <c r="AX32">
        <v>357.0223388671875</v>
      </c>
      <c r="AY32">
        <v>373.0662841796875</v>
      </c>
      <c r="AZ32">
        <v>389.462890625</v>
      </c>
      <c r="BA32">
        <v>406.21206665039063</v>
      </c>
      <c r="BB32">
        <v>423.31387329101563</v>
      </c>
      <c r="BC32">
        <v>440.768310546875</v>
      </c>
    </row>
    <row r="33" spans="4:55" x14ac:dyDescent="0.25">
      <c r="D33">
        <v>31000</v>
      </c>
      <c r="E33">
        <v>0</v>
      </c>
      <c r="F33">
        <v>0.16845239698886871</v>
      </c>
      <c r="G33">
        <v>0.67380958795547485</v>
      </c>
      <c r="H33">
        <v>1.5160715579986572</v>
      </c>
      <c r="I33">
        <v>2.6952383518218994</v>
      </c>
      <c r="J33">
        <v>4.2113099098205566</v>
      </c>
      <c r="K33">
        <v>6.0642862319946289</v>
      </c>
      <c r="L33">
        <v>8.2541675567626953</v>
      </c>
      <c r="M33">
        <v>10.780953407287598</v>
      </c>
      <c r="N33">
        <v>13.644643783569336</v>
      </c>
      <c r="O33">
        <v>16.845239639282227</v>
      </c>
      <c r="P33">
        <v>20.382740020751953</v>
      </c>
      <c r="Q33">
        <v>24.257144927978516</v>
      </c>
      <c r="R33">
        <v>28.468454360961914</v>
      </c>
      <c r="S33">
        <v>33.016670227050781</v>
      </c>
      <c r="T33">
        <v>37.901786804199219</v>
      </c>
      <c r="U33">
        <v>43.123813629150391</v>
      </c>
      <c r="V33">
        <v>48.682743072509766</v>
      </c>
      <c r="W33">
        <v>54.578575134277344</v>
      </c>
      <c r="X33">
        <v>60.811313629150391</v>
      </c>
      <c r="Y33">
        <v>67.380958557128906</v>
      </c>
      <c r="Z33">
        <v>74.287506103515625</v>
      </c>
      <c r="AA33">
        <v>81.530960083007813</v>
      </c>
      <c r="AB33">
        <v>89.111312866210938</v>
      </c>
      <c r="AC33">
        <v>97.028579711914063</v>
      </c>
      <c r="AD33">
        <v>105.28274536132813</v>
      </c>
      <c r="AE33">
        <v>113.87381744384766</v>
      </c>
      <c r="AF33">
        <v>122.80179595947266</v>
      </c>
      <c r="AG33">
        <v>132.06668090820313</v>
      </c>
      <c r="AH33">
        <v>141.66845703125</v>
      </c>
      <c r="AI33">
        <v>151.60714721679688</v>
      </c>
      <c r="AJ33">
        <v>161.88275146484375</v>
      </c>
      <c r="AK33">
        <v>172.49525451660156</v>
      </c>
      <c r="AL33">
        <v>183.44465637207031</v>
      </c>
      <c r="AM33">
        <v>194.73097229003906</v>
      </c>
      <c r="AN33">
        <v>206.35418701171875</v>
      </c>
      <c r="AO33">
        <v>218.31430053710938</v>
      </c>
      <c r="AP33">
        <v>230.611328125</v>
      </c>
      <c r="AQ33">
        <v>243.24525451660156</v>
      </c>
      <c r="AR33">
        <v>256.21609497070313</v>
      </c>
      <c r="AS33">
        <v>269.52383422851563</v>
      </c>
      <c r="AT33">
        <v>283.16845703125</v>
      </c>
      <c r="AU33">
        <v>297.1500244140625</v>
      </c>
      <c r="AV33">
        <v>311.46847534179688</v>
      </c>
      <c r="AW33">
        <v>326.12384033203125</v>
      </c>
      <c r="AX33">
        <v>341.1160888671875</v>
      </c>
      <c r="AY33">
        <v>356.44525146484375</v>
      </c>
      <c r="AZ33">
        <v>372.111328125</v>
      </c>
      <c r="BA33">
        <v>388.11431884765625</v>
      </c>
      <c r="BB33">
        <v>404.45419311523438</v>
      </c>
      <c r="BC33">
        <v>421.1309814453125</v>
      </c>
    </row>
    <row r="34" spans="4:55" x14ac:dyDescent="0.25">
      <c r="D34">
        <v>32000</v>
      </c>
      <c r="E34">
        <v>0</v>
      </c>
      <c r="F34">
        <v>0.16088397800922394</v>
      </c>
      <c r="G34">
        <v>0.64353591203689575</v>
      </c>
      <c r="H34">
        <v>1.447955846786499</v>
      </c>
      <c r="I34">
        <v>2.574143648147583</v>
      </c>
      <c r="J34">
        <v>4.022099494934082</v>
      </c>
      <c r="K34">
        <v>5.7918233871459961</v>
      </c>
      <c r="L34">
        <v>7.8833150863647461</v>
      </c>
      <c r="M34">
        <v>10.296574592590332</v>
      </c>
      <c r="N34">
        <v>13.03160285949707</v>
      </c>
      <c r="O34">
        <v>16.088397979736328</v>
      </c>
      <c r="P34">
        <v>19.466962814331055</v>
      </c>
      <c r="Q34">
        <v>23.167293548583984</v>
      </c>
      <c r="R34">
        <v>27.189393997192383</v>
      </c>
      <c r="S34">
        <v>31.533260345458984</v>
      </c>
      <c r="T34">
        <v>36.198898315429688</v>
      </c>
      <c r="U34">
        <v>41.186298370361328</v>
      </c>
      <c r="V34">
        <v>46.495471954345703</v>
      </c>
      <c r="W34">
        <v>52.126411437988281</v>
      </c>
      <c r="X34">
        <v>58.079116821289063</v>
      </c>
      <c r="Y34">
        <v>64.353591918945313</v>
      </c>
      <c r="Z34">
        <v>70.949836730957031</v>
      </c>
      <c r="AA34">
        <v>77.867851257324219</v>
      </c>
      <c r="AB34">
        <v>85.107627868652344</v>
      </c>
      <c r="AC34">
        <v>92.669174194335938</v>
      </c>
      <c r="AD34">
        <v>100.552490234375</v>
      </c>
      <c r="AE34">
        <v>108.75757598876953</v>
      </c>
      <c r="AF34">
        <v>117.284423828125</v>
      </c>
      <c r="AG34">
        <v>126.13304138183594</v>
      </c>
      <c r="AH34">
        <v>135.30343627929688</v>
      </c>
      <c r="AI34">
        <v>144.79559326171875</v>
      </c>
      <c r="AJ34">
        <v>154.60951232910156</v>
      </c>
      <c r="AK34">
        <v>164.74519348144531</v>
      </c>
      <c r="AL34">
        <v>175.20265197753906</v>
      </c>
      <c r="AM34">
        <v>185.98188781738281</v>
      </c>
      <c r="AN34">
        <v>197.0828857421875</v>
      </c>
      <c r="AO34">
        <v>208.50564575195313</v>
      </c>
      <c r="AP34">
        <v>220.25016784667969</v>
      </c>
      <c r="AQ34">
        <v>232.31646728515625</v>
      </c>
      <c r="AR34">
        <v>244.70454406738281</v>
      </c>
      <c r="AS34">
        <v>257.41436767578125</v>
      </c>
      <c r="AT34">
        <v>270.44598388671875</v>
      </c>
      <c r="AU34">
        <v>283.79934692382813</v>
      </c>
      <c r="AV34">
        <v>297.4744873046875</v>
      </c>
      <c r="AW34">
        <v>311.47140502929688</v>
      </c>
      <c r="AX34">
        <v>325.79006958007813</v>
      </c>
      <c r="AY34">
        <v>340.43051147460938</v>
      </c>
      <c r="AZ34">
        <v>355.39273071289063</v>
      </c>
      <c r="BA34">
        <v>370.67669677734375</v>
      </c>
      <c r="BB34">
        <v>386.28244018554688</v>
      </c>
      <c r="BC34">
        <v>402.2099609375</v>
      </c>
    </row>
    <row r="35" spans="4:55" x14ac:dyDescent="0.25">
      <c r="D35">
        <v>33000</v>
      </c>
      <c r="E35">
        <v>0</v>
      </c>
      <c r="F35">
        <v>0.15359398722648621</v>
      </c>
      <c r="G35">
        <v>0.61437594890594482</v>
      </c>
      <c r="H35">
        <v>1.3823459148406982</v>
      </c>
      <c r="I35">
        <v>2.4575037956237793</v>
      </c>
      <c r="J35">
        <v>3.8398499488830566</v>
      </c>
      <c r="K35">
        <v>5.529383659362793</v>
      </c>
      <c r="L35">
        <v>7.5261058807373047</v>
      </c>
      <c r="M35">
        <v>9.8300151824951172</v>
      </c>
      <c r="N35">
        <v>12.441113471984863</v>
      </c>
      <c r="O35">
        <v>15.359399795532227</v>
      </c>
      <c r="P35">
        <v>18.584873199462891</v>
      </c>
      <c r="Q35">
        <v>22.117534637451172</v>
      </c>
      <c r="R35">
        <v>25.95738410949707</v>
      </c>
      <c r="S35">
        <v>30.104423522949219</v>
      </c>
      <c r="T35">
        <v>34.558647155761719</v>
      </c>
      <c r="U35">
        <v>39.320060729980469</v>
      </c>
      <c r="V35">
        <v>44.388664245605469</v>
      </c>
      <c r="W35">
        <v>49.764453887939453</v>
      </c>
      <c r="X35">
        <v>55.447433471679688</v>
      </c>
      <c r="Y35">
        <v>61.437599182128906</v>
      </c>
      <c r="Z35">
        <v>67.734954833984375</v>
      </c>
      <c r="AA35">
        <v>74.339492797851563</v>
      </c>
      <c r="AB35">
        <v>81.251220703125</v>
      </c>
      <c r="AC35">
        <v>88.470138549804688</v>
      </c>
      <c r="AD35">
        <v>95.996246337890625</v>
      </c>
      <c r="AE35">
        <v>103.82953643798828</v>
      </c>
      <c r="AF35">
        <v>111.97002410888672</v>
      </c>
      <c r="AG35">
        <v>120.41769409179688</v>
      </c>
      <c r="AH35">
        <v>129.17254638671875</v>
      </c>
      <c r="AI35">
        <v>138.23458862304688</v>
      </c>
      <c r="AJ35">
        <v>147.60382080078125</v>
      </c>
      <c r="AK35">
        <v>157.28024291992188</v>
      </c>
      <c r="AL35">
        <v>167.26385498046875</v>
      </c>
      <c r="AM35">
        <v>177.55465698242188</v>
      </c>
      <c r="AN35">
        <v>188.15264892578125</v>
      </c>
      <c r="AO35">
        <v>199.05781555175781</v>
      </c>
      <c r="AP35">
        <v>210.27017211914063</v>
      </c>
      <c r="AQ35">
        <v>221.78973388671875</v>
      </c>
      <c r="AR35">
        <v>233.61647033691406</v>
      </c>
      <c r="AS35">
        <v>245.75039672851563</v>
      </c>
      <c r="AT35">
        <v>258.19149780273438</v>
      </c>
      <c r="AU35">
        <v>270.9398193359375</v>
      </c>
      <c r="AV35">
        <v>283.99530029296875</v>
      </c>
      <c r="AW35">
        <v>297.35797119140625</v>
      </c>
      <c r="AX35">
        <v>311.02783203125</v>
      </c>
      <c r="AY35">
        <v>325.0048828125</v>
      </c>
      <c r="AZ35">
        <v>339.28912353515625</v>
      </c>
      <c r="BA35">
        <v>353.88055419921875</v>
      </c>
      <c r="BB35">
        <v>368.7791748046875</v>
      </c>
      <c r="BC35">
        <v>383.9849853515625</v>
      </c>
    </row>
    <row r="36" spans="4:55" x14ac:dyDescent="0.25">
      <c r="D36">
        <v>34000</v>
      </c>
      <c r="E36">
        <v>0</v>
      </c>
      <c r="F36">
        <v>0.146574467420578</v>
      </c>
      <c r="G36">
        <v>0.58629786968231201</v>
      </c>
      <c r="H36">
        <v>1.3191701173782349</v>
      </c>
      <c r="I36">
        <v>2.345191478729248</v>
      </c>
      <c r="J36">
        <v>3.6643614768981934</v>
      </c>
      <c r="K36">
        <v>5.2766804695129395</v>
      </c>
      <c r="L36">
        <v>7.1821484565734863</v>
      </c>
      <c r="M36">
        <v>9.3807659149169922</v>
      </c>
      <c r="N36">
        <v>11.872531890869141</v>
      </c>
      <c r="O36">
        <v>14.657445907592773</v>
      </c>
      <c r="P36">
        <v>17.735509872436523</v>
      </c>
      <c r="Q36">
        <v>21.106721878051758</v>
      </c>
      <c r="R36">
        <v>24.771083831787109</v>
      </c>
      <c r="S36">
        <v>28.728593826293945</v>
      </c>
      <c r="T36">
        <v>32.979255676269531</v>
      </c>
      <c r="U36">
        <v>37.523063659667969</v>
      </c>
      <c r="V36">
        <v>42.360019683837891</v>
      </c>
      <c r="W36">
        <v>47.490127563476563</v>
      </c>
      <c r="X36">
        <v>52.913379669189453</v>
      </c>
      <c r="Y36">
        <v>58.629783630371094</v>
      </c>
      <c r="Z36">
        <v>64.639335632324219</v>
      </c>
      <c r="AA36">
        <v>70.942039489746094</v>
      </c>
      <c r="AB36">
        <v>77.537887573242188</v>
      </c>
      <c r="AC36">
        <v>84.426887512207031</v>
      </c>
      <c r="AD36">
        <v>91.609039306640625</v>
      </c>
      <c r="AE36">
        <v>99.084335327148438</v>
      </c>
      <c r="AF36">
        <v>106.852783203125</v>
      </c>
      <c r="AG36">
        <v>114.91437530517578</v>
      </c>
      <c r="AH36">
        <v>123.26912689208984</v>
      </c>
      <c r="AI36">
        <v>131.91702270507813</v>
      </c>
      <c r="AJ36">
        <v>140.85806274414063</v>
      </c>
      <c r="AK36">
        <v>150.09225463867188</v>
      </c>
      <c r="AL36">
        <v>159.61958312988281</v>
      </c>
      <c r="AM36">
        <v>169.44007873535156</v>
      </c>
      <c r="AN36">
        <v>179.5537109375</v>
      </c>
      <c r="AO36">
        <v>189.96051025390625</v>
      </c>
      <c r="AP36">
        <v>200.66044616699219</v>
      </c>
      <c r="AQ36">
        <v>211.65351867675781</v>
      </c>
      <c r="AR36">
        <v>222.93975830078125</v>
      </c>
      <c r="AS36">
        <v>234.51913452148438</v>
      </c>
      <c r="AT36">
        <v>246.39167785644531</v>
      </c>
      <c r="AU36">
        <v>258.55734252929688</v>
      </c>
      <c r="AV36">
        <v>271.01617431640625</v>
      </c>
      <c r="AW36">
        <v>283.76815795898438</v>
      </c>
      <c r="AX36">
        <v>296.81329345703125</v>
      </c>
      <c r="AY36">
        <v>310.15155029296875</v>
      </c>
      <c r="AZ36">
        <v>323.78298950195313</v>
      </c>
      <c r="BA36">
        <v>337.70755004882813</v>
      </c>
      <c r="BB36">
        <v>351.92529296875</v>
      </c>
      <c r="BC36">
        <v>366.4361572265625</v>
      </c>
    </row>
    <row r="37" spans="4:55" x14ac:dyDescent="0.25">
      <c r="D37">
        <v>35000</v>
      </c>
      <c r="E37">
        <v>0</v>
      </c>
      <c r="F37">
        <v>0.13981762528419495</v>
      </c>
      <c r="G37">
        <v>0.55927050113677979</v>
      </c>
      <c r="H37">
        <v>1.2583585977554321</v>
      </c>
      <c r="I37">
        <v>2.2370820045471191</v>
      </c>
      <c r="J37">
        <v>3.4954407215118408</v>
      </c>
      <c r="K37">
        <v>5.0334343910217285</v>
      </c>
      <c r="L37">
        <v>6.8510637283325195</v>
      </c>
      <c r="M37">
        <v>8.9483280181884766</v>
      </c>
      <c r="N37">
        <v>11.325227737426758</v>
      </c>
      <c r="O37">
        <v>13.981762886047363</v>
      </c>
      <c r="P37">
        <v>16.917932510375977</v>
      </c>
      <c r="Q37">
        <v>20.133737564086914</v>
      </c>
      <c r="R37">
        <v>23.629179000854492</v>
      </c>
      <c r="S37">
        <v>27.404254913330078</v>
      </c>
      <c r="T37">
        <v>31.458965301513672</v>
      </c>
      <c r="U37">
        <v>35.793312072753906</v>
      </c>
      <c r="V37">
        <v>40.407295227050781</v>
      </c>
      <c r="W37">
        <v>45.300910949707031</v>
      </c>
      <c r="X37">
        <v>50.474163055419922</v>
      </c>
      <c r="Y37">
        <v>55.927051544189453</v>
      </c>
      <c r="Z37">
        <v>61.659572601318359</v>
      </c>
      <c r="AA37">
        <v>67.671730041503906</v>
      </c>
      <c r="AB37">
        <v>73.963523864746094</v>
      </c>
      <c r="AC37">
        <v>80.534950256347656</v>
      </c>
      <c r="AD37">
        <v>87.386016845703125</v>
      </c>
      <c r="AE37">
        <v>94.516716003417969</v>
      </c>
      <c r="AF37">
        <v>101.92704772949219</v>
      </c>
      <c r="AG37">
        <v>109.61701965332031</v>
      </c>
      <c r="AH37">
        <v>117.58662414550781</v>
      </c>
      <c r="AI37">
        <v>125.83586120605469</v>
      </c>
      <c r="AJ37">
        <v>134.36474609375</v>
      </c>
      <c r="AK37">
        <v>143.17324829101563</v>
      </c>
      <c r="AL37">
        <v>152.26139831542969</v>
      </c>
      <c r="AM37">
        <v>161.62918090820313</v>
      </c>
      <c r="AN37">
        <v>171.27659606933594</v>
      </c>
      <c r="AO37">
        <v>181.20364379882813</v>
      </c>
      <c r="AP37">
        <v>191.41032409667969</v>
      </c>
      <c r="AQ37">
        <v>201.89665222167969</v>
      </c>
      <c r="AR37">
        <v>212.66261291503906</v>
      </c>
      <c r="AS37">
        <v>223.70820617675781</v>
      </c>
      <c r="AT37">
        <v>235.03343200683594</v>
      </c>
      <c r="AU37">
        <v>246.63829040527344</v>
      </c>
      <c r="AV37">
        <v>258.52279663085938</v>
      </c>
      <c r="AW37">
        <v>270.68692016601563</v>
      </c>
      <c r="AX37">
        <v>283.13070678710938</v>
      </c>
      <c r="AY37">
        <v>295.85409545898438</v>
      </c>
      <c r="AZ37">
        <v>308.85714721679688</v>
      </c>
      <c r="BA37">
        <v>322.13980102539063</v>
      </c>
      <c r="BB37">
        <v>335.70211791992188</v>
      </c>
      <c r="BC37">
        <v>349.5440673828125</v>
      </c>
    </row>
    <row r="38" spans="4:55" x14ac:dyDescent="0.25">
      <c r="D38">
        <v>36000</v>
      </c>
      <c r="E38">
        <v>0</v>
      </c>
      <c r="F38">
        <v>0.13331587612628937</v>
      </c>
      <c r="G38">
        <v>0.53326350450515747</v>
      </c>
      <c r="H38">
        <v>1.1998428106307983</v>
      </c>
      <c r="I38">
        <v>2.1330540180206299</v>
      </c>
      <c r="J38">
        <v>3.3328967094421387</v>
      </c>
      <c r="K38">
        <v>4.7993712425231934</v>
      </c>
      <c r="L38">
        <v>6.5324773788452148</v>
      </c>
      <c r="M38">
        <v>8.5322160720825195</v>
      </c>
      <c r="N38">
        <v>10.798584938049316</v>
      </c>
      <c r="O38">
        <v>13.331586837768555</v>
      </c>
      <c r="P38">
        <v>16.131219863891602</v>
      </c>
      <c r="Q38">
        <v>19.197484970092773</v>
      </c>
      <c r="R38">
        <v>22.53038215637207</v>
      </c>
      <c r="S38">
        <v>26.129909515380859</v>
      </c>
      <c r="T38">
        <v>29.996070861816406</v>
      </c>
      <c r="U38">
        <v>34.128864288330078</v>
      </c>
      <c r="V38">
        <v>38.528285980224609</v>
      </c>
      <c r="W38">
        <v>43.194339752197266</v>
      </c>
      <c r="X38">
        <v>48.127029418945313</v>
      </c>
      <c r="Y38">
        <v>53.326347351074219</v>
      </c>
      <c r="Z38">
        <v>58.79229736328125</v>
      </c>
      <c r="AA38">
        <v>64.524879455566406</v>
      </c>
      <c r="AB38">
        <v>70.524093627929688</v>
      </c>
      <c r="AC38">
        <v>76.789939880371094</v>
      </c>
      <c r="AD38">
        <v>83.322418212890625</v>
      </c>
      <c r="AE38">
        <v>90.121528625488281</v>
      </c>
      <c r="AF38">
        <v>97.187271118164063</v>
      </c>
      <c r="AG38">
        <v>104.51963806152344</v>
      </c>
      <c r="AH38">
        <v>112.11864471435547</v>
      </c>
      <c r="AI38">
        <v>119.98428344726563</v>
      </c>
      <c r="AJ38">
        <v>128.11654663085938</v>
      </c>
      <c r="AK38">
        <v>136.51545715332031</v>
      </c>
      <c r="AL38">
        <v>145.18098449707031</v>
      </c>
      <c r="AM38">
        <v>154.11314392089844</v>
      </c>
      <c r="AN38">
        <v>163.31193542480469</v>
      </c>
      <c r="AO38">
        <v>172.77735900878906</v>
      </c>
      <c r="AP38">
        <v>182.50942993164063</v>
      </c>
      <c r="AQ38">
        <v>192.50811767578125</v>
      </c>
      <c r="AR38">
        <v>202.7734375</v>
      </c>
      <c r="AS38">
        <v>213.30538940429688</v>
      </c>
      <c r="AT38">
        <v>224.10397338867188</v>
      </c>
      <c r="AU38">
        <v>235.169189453125</v>
      </c>
      <c r="AV38">
        <v>246.50103759765625</v>
      </c>
      <c r="AW38">
        <v>258.09951782226563</v>
      </c>
      <c r="AX38">
        <v>269.96463012695313</v>
      </c>
      <c r="AY38">
        <v>282.09637451171875</v>
      </c>
      <c r="AZ38">
        <v>294.4947509765625</v>
      </c>
      <c r="BA38">
        <v>307.15975952148438</v>
      </c>
      <c r="BB38">
        <v>320.09140014648438</v>
      </c>
      <c r="BC38">
        <v>333.2896728515625</v>
      </c>
    </row>
    <row r="39" spans="4:55" x14ac:dyDescent="0.25">
      <c r="D39">
        <v>37000</v>
      </c>
      <c r="E39">
        <v>0</v>
      </c>
      <c r="F39">
        <v>0.12708112597465515</v>
      </c>
      <c r="G39">
        <v>0.50832450389862061</v>
      </c>
      <c r="H39">
        <v>1.1437301635742188</v>
      </c>
      <c r="I39">
        <v>2.0332980155944824</v>
      </c>
      <c r="J39">
        <v>3.1770281791687012</v>
      </c>
      <c r="K39">
        <v>4.574920654296875</v>
      </c>
      <c r="L39">
        <v>6.2269754409790039</v>
      </c>
      <c r="M39">
        <v>8.1331920623779297</v>
      </c>
      <c r="N39">
        <v>10.293571472167969</v>
      </c>
      <c r="O39">
        <v>12.708112716674805</v>
      </c>
      <c r="P39">
        <v>15.376816749572754</v>
      </c>
      <c r="Q39">
        <v>18.2996826171875</v>
      </c>
      <c r="R39">
        <v>21.476711273193359</v>
      </c>
      <c r="S39">
        <v>24.907901763916016</v>
      </c>
      <c r="T39">
        <v>28.593254089355469</v>
      </c>
      <c r="U39">
        <v>32.532768249511719</v>
      </c>
      <c r="V39">
        <v>36.726444244384766</v>
      </c>
      <c r="W39">
        <v>41.174285888671875</v>
      </c>
      <c r="X39">
        <v>45.876285552978516</v>
      </c>
      <c r="Y39">
        <v>50.832450866699219</v>
      </c>
      <c r="Z39">
        <v>56.042778015136719</v>
      </c>
      <c r="AA39">
        <v>61.507266998291016</v>
      </c>
      <c r="AB39">
        <v>67.225914001464844</v>
      </c>
      <c r="AC39">
        <v>73.19873046875</v>
      </c>
      <c r="AD39">
        <v>79.425704956054688</v>
      </c>
      <c r="AE39">
        <v>85.906845092773438</v>
      </c>
      <c r="AF39">
        <v>92.642143249511719</v>
      </c>
      <c r="AG39">
        <v>99.631607055664063</v>
      </c>
      <c r="AH39">
        <v>106.87522888183594</v>
      </c>
      <c r="AI39">
        <v>114.37301635742188</v>
      </c>
      <c r="AJ39">
        <v>122.12496185302734</v>
      </c>
      <c r="AK39">
        <v>130.13107299804688</v>
      </c>
      <c r="AL39">
        <v>138.39134216308594</v>
      </c>
      <c r="AM39">
        <v>146.90577697753906</v>
      </c>
      <c r="AN39">
        <v>155.67437744140625</v>
      </c>
      <c r="AO39">
        <v>164.6971435546875</v>
      </c>
      <c r="AP39">
        <v>173.97406005859375</v>
      </c>
      <c r="AQ39">
        <v>183.50514221191406</v>
      </c>
      <c r="AR39">
        <v>193.29039001464844</v>
      </c>
      <c r="AS39">
        <v>203.32980346679688</v>
      </c>
      <c r="AT39">
        <v>213.62338256835938</v>
      </c>
      <c r="AU39">
        <v>224.17111206054688</v>
      </c>
      <c r="AV39">
        <v>234.97300720214844</v>
      </c>
      <c r="AW39">
        <v>246.02906799316406</v>
      </c>
      <c r="AX39">
        <v>257.33929443359375</v>
      </c>
      <c r="AY39">
        <v>268.90365600585938</v>
      </c>
      <c r="AZ39">
        <v>280.72219848632813</v>
      </c>
      <c r="BA39">
        <v>292.794921875</v>
      </c>
      <c r="BB39">
        <v>305.12179565429688</v>
      </c>
      <c r="BC39">
        <v>317.70281982421875</v>
      </c>
    </row>
    <row r="40" spans="4:55" x14ac:dyDescent="0.25">
      <c r="D40">
        <v>38000</v>
      </c>
      <c r="E40">
        <v>0</v>
      </c>
      <c r="F40">
        <v>0.12113851308822632</v>
      </c>
      <c r="G40">
        <v>0.48455405235290527</v>
      </c>
      <c r="H40">
        <v>1.0902466773986816</v>
      </c>
      <c r="I40">
        <v>1.9382162094116211</v>
      </c>
      <c r="J40">
        <v>3.0284628868103027</v>
      </c>
      <c r="K40">
        <v>4.3609867095947266</v>
      </c>
      <c r="L40">
        <v>5.9357872009277344</v>
      </c>
      <c r="M40">
        <v>7.7528648376464844</v>
      </c>
      <c r="N40">
        <v>9.8122196197509766</v>
      </c>
      <c r="O40">
        <v>12.113851547241211</v>
      </c>
      <c r="P40">
        <v>14.657759666442871</v>
      </c>
      <c r="Q40">
        <v>17.443946838378906</v>
      </c>
      <c r="R40">
        <v>20.472408294677734</v>
      </c>
      <c r="S40">
        <v>23.743148803710938</v>
      </c>
      <c r="T40">
        <v>27.25616455078125</v>
      </c>
      <c r="U40">
        <v>31.011459350585938</v>
      </c>
      <c r="V40">
        <v>35.009029388427734</v>
      </c>
      <c r="W40">
        <v>39.248878479003906</v>
      </c>
      <c r="X40">
        <v>43.731002807617188</v>
      </c>
      <c r="Y40">
        <v>48.455406188964844</v>
      </c>
      <c r="Z40">
        <v>53.422084808349609</v>
      </c>
      <c r="AA40">
        <v>58.631038665771484</v>
      </c>
      <c r="AB40">
        <v>64.082275390625</v>
      </c>
      <c r="AC40">
        <v>69.775787353515625</v>
      </c>
      <c r="AD40">
        <v>75.711570739746094</v>
      </c>
      <c r="AE40">
        <v>81.889633178710938</v>
      </c>
      <c r="AF40">
        <v>88.309974670410156</v>
      </c>
      <c r="AG40">
        <v>94.97259521484375</v>
      </c>
      <c r="AH40">
        <v>101.87748718261719</v>
      </c>
      <c r="AI40">
        <v>109.024658203125</v>
      </c>
      <c r="AJ40">
        <v>116.41410827636719</v>
      </c>
      <c r="AK40">
        <v>124.04583740234375</v>
      </c>
      <c r="AL40">
        <v>131.91984558105469</v>
      </c>
      <c r="AM40">
        <v>140.03611755371094</v>
      </c>
      <c r="AN40">
        <v>148.39468383789063</v>
      </c>
      <c r="AO40">
        <v>156.99551391601563</v>
      </c>
      <c r="AP40">
        <v>165.838623046875</v>
      </c>
      <c r="AQ40">
        <v>174.92401123046875</v>
      </c>
      <c r="AR40">
        <v>184.25167846679688</v>
      </c>
      <c r="AS40">
        <v>193.82162475585938</v>
      </c>
      <c r="AT40">
        <v>203.63383483886719</v>
      </c>
      <c r="AU40">
        <v>213.68833923339844</v>
      </c>
      <c r="AV40">
        <v>223.985107421875</v>
      </c>
      <c r="AW40">
        <v>234.52415466308594</v>
      </c>
      <c r="AX40">
        <v>245.30549621582031</v>
      </c>
      <c r="AY40">
        <v>256.3291015625</v>
      </c>
      <c r="AZ40">
        <v>267.594970703125</v>
      </c>
      <c r="BA40">
        <v>279.1031494140625</v>
      </c>
      <c r="BB40">
        <v>290.85357666015625</v>
      </c>
      <c r="BC40">
        <v>302.84628295898438</v>
      </c>
    </row>
    <row r="41" spans="4:55" x14ac:dyDescent="0.25">
      <c r="D41">
        <v>39000</v>
      </c>
      <c r="E41">
        <v>0</v>
      </c>
      <c r="F41">
        <v>0.11547432839870453</v>
      </c>
      <c r="G41">
        <v>0.46189731359481812</v>
      </c>
      <c r="H41">
        <v>1.039268970489502</v>
      </c>
      <c r="I41">
        <v>1.8475892543792725</v>
      </c>
      <c r="J41">
        <v>2.8868582248687744</v>
      </c>
      <c r="K41">
        <v>4.1570758819580078</v>
      </c>
      <c r="L41">
        <v>5.6582422256469727</v>
      </c>
      <c r="M41">
        <v>7.3903570175170898</v>
      </c>
      <c r="N41">
        <v>9.3534202575683594</v>
      </c>
      <c r="O41">
        <v>11.547432899475098</v>
      </c>
      <c r="P41">
        <v>13.972393989562988</v>
      </c>
      <c r="Q41">
        <v>16.628303527832031</v>
      </c>
      <c r="R41">
        <v>19.515161514282227</v>
      </c>
      <c r="S41">
        <v>22.632968902587891</v>
      </c>
      <c r="T41">
        <v>25.981723785400391</v>
      </c>
      <c r="U41">
        <v>29.561428070068359</v>
      </c>
      <c r="V41">
        <v>33.372081756591797</v>
      </c>
      <c r="W41">
        <v>37.413681030273438</v>
      </c>
      <c r="X41">
        <v>41.686233520507813</v>
      </c>
      <c r="Y41">
        <v>46.189731597900391</v>
      </c>
      <c r="Z41">
        <v>50.924179077148438</v>
      </c>
      <c r="AA41">
        <v>55.889575958251953</v>
      </c>
      <c r="AB41">
        <v>61.085918426513672</v>
      </c>
      <c r="AC41">
        <v>66.513214111328125</v>
      </c>
      <c r="AD41">
        <v>72.171455383300781</v>
      </c>
      <c r="AE41">
        <v>78.060646057128906</v>
      </c>
      <c r="AF41">
        <v>84.1807861328125</v>
      </c>
      <c r="AG41">
        <v>90.531875610351563</v>
      </c>
      <c r="AH41">
        <v>97.113906860351563</v>
      </c>
      <c r="AI41">
        <v>103.92689514160156</v>
      </c>
      <c r="AJ41">
        <v>110.97083282470703</v>
      </c>
      <c r="AK41">
        <v>118.24571228027344</v>
      </c>
      <c r="AL41">
        <v>125.75154113769531</v>
      </c>
      <c r="AM41">
        <v>133.48832702636719</v>
      </c>
      <c r="AN41">
        <v>141.4560546875</v>
      </c>
      <c r="AO41">
        <v>149.65472412109375</v>
      </c>
      <c r="AP41">
        <v>158.0843505859375</v>
      </c>
      <c r="AQ41">
        <v>166.74493408203125</v>
      </c>
      <c r="AR41">
        <v>175.63645935058594</v>
      </c>
      <c r="AS41">
        <v>184.75892639160156</v>
      </c>
      <c r="AT41">
        <v>194.11235046386719</v>
      </c>
      <c r="AU41">
        <v>203.69671630859375</v>
      </c>
      <c r="AV41">
        <v>213.51203918457031</v>
      </c>
      <c r="AW41">
        <v>223.55830383300781</v>
      </c>
      <c r="AX41">
        <v>233.83551025390625</v>
      </c>
      <c r="AY41">
        <v>244.34367370605469</v>
      </c>
      <c r="AZ41">
        <v>255.08279418945313</v>
      </c>
      <c r="BA41">
        <v>266.0528564453125</v>
      </c>
      <c r="BB41">
        <v>277.25387573242188</v>
      </c>
      <c r="BC41">
        <v>288.68582153320313</v>
      </c>
    </row>
    <row r="42" spans="4:55" x14ac:dyDescent="0.25">
      <c r="D42">
        <v>40000</v>
      </c>
      <c r="E42">
        <v>0</v>
      </c>
      <c r="F42">
        <v>0.11007547378540039</v>
      </c>
      <c r="G42">
        <v>0.44030189514160156</v>
      </c>
      <c r="H42">
        <v>0.99067926406860352</v>
      </c>
      <c r="I42">
        <v>1.7612075805664063</v>
      </c>
      <c r="J42">
        <v>2.7518868446350098</v>
      </c>
      <c r="K42">
        <v>3.9627170562744141</v>
      </c>
      <c r="L42">
        <v>5.3936982154846191</v>
      </c>
      <c r="M42">
        <v>7.044830322265625</v>
      </c>
      <c r="N42">
        <v>8.9161138534545898</v>
      </c>
      <c r="O42">
        <v>11.007547378540039</v>
      </c>
      <c r="P42">
        <v>13.319132804870605</v>
      </c>
      <c r="Q42">
        <v>15.850868225097656</v>
      </c>
      <c r="R42">
        <v>18.602754592895508</v>
      </c>
      <c r="S42">
        <v>21.574792861938477</v>
      </c>
      <c r="T42">
        <v>24.766983032226563</v>
      </c>
      <c r="U42">
        <v>28.1793212890625</v>
      </c>
      <c r="V42">
        <v>31.811813354492188</v>
      </c>
      <c r="W42">
        <v>35.664455413818359</v>
      </c>
      <c r="X42">
        <v>39.737247467041016</v>
      </c>
      <c r="Y42">
        <v>44.030189514160156</v>
      </c>
      <c r="Z42">
        <v>48.543285369873047</v>
      </c>
      <c r="AA42">
        <v>53.276531219482422</v>
      </c>
      <c r="AB42">
        <v>58.229927062988281</v>
      </c>
      <c r="AC42">
        <v>63.403472900390625</v>
      </c>
      <c r="AD42">
        <v>68.797172546386719</v>
      </c>
      <c r="AE42">
        <v>74.411018371582031</v>
      </c>
      <c r="AF42">
        <v>80.245025634765625</v>
      </c>
      <c r="AG42">
        <v>86.299171447753906</v>
      </c>
      <c r="AH42">
        <v>92.573478698730469</v>
      </c>
      <c r="AI42">
        <v>99.06793212890625</v>
      </c>
      <c r="AJ42">
        <v>105.78253173828125</v>
      </c>
      <c r="AK42">
        <v>112.71728515625</v>
      </c>
      <c r="AL42">
        <v>119.8721923828125</v>
      </c>
      <c r="AM42">
        <v>127.24725341796875</v>
      </c>
      <c r="AN42">
        <v>134.84245300292969</v>
      </c>
      <c r="AO42">
        <v>142.65782165527344</v>
      </c>
      <c r="AP42">
        <v>150.69332885742188</v>
      </c>
      <c r="AQ42">
        <v>158.94898986816406</v>
      </c>
      <c r="AR42">
        <v>167.4248046875</v>
      </c>
      <c r="AS42">
        <v>176.12075805664063</v>
      </c>
      <c r="AT42">
        <v>185.03688049316406</v>
      </c>
      <c r="AU42">
        <v>194.17314147949219</v>
      </c>
      <c r="AV42">
        <v>203.52955627441406</v>
      </c>
      <c r="AW42">
        <v>213.10612487792969</v>
      </c>
      <c r="AX42">
        <v>222.90283203125</v>
      </c>
      <c r="AY42">
        <v>232.91970825195313</v>
      </c>
      <c r="AZ42">
        <v>243.15672302246094</v>
      </c>
      <c r="BA42">
        <v>253.6138916015625</v>
      </c>
      <c r="BB42">
        <v>264.29122924804688</v>
      </c>
      <c r="BC42">
        <v>275.18869018554688</v>
      </c>
    </row>
    <row r="43" spans="4:55" x14ac:dyDescent="0.25">
      <c r="D43">
        <v>41000</v>
      </c>
      <c r="E43">
        <v>0</v>
      </c>
      <c r="F43">
        <v>0.10492952913045883</v>
      </c>
      <c r="G43">
        <v>0.41971811652183533</v>
      </c>
      <c r="H43">
        <v>0.9443657398223877</v>
      </c>
      <c r="I43">
        <v>1.6788724660873413</v>
      </c>
      <c r="J43">
        <v>2.6232383251190186</v>
      </c>
      <c r="K43">
        <v>3.7774629592895508</v>
      </c>
      <c r="L43">
        <v>5.1415467262268066</v>
      </c>
      <c r="M43">
        <v>6.7154898643493652</v>
      </c>
      <c r="N43">
        <v>8.4992914199829102</v>
      </c>
      <c r="O43">
        <v>10.492953300476074</v>
      </c>
      <c r="P43">
        <v>12.696473121643066</v>
      </c>
      <c r="Q43">
        <v>15.109851837158203</v>
      </c>
      <c r="R43">
        <v>17.733089447021484</v>
      </c>
      <c r="S43">
        <v>20.566186904907227</v>
      </c>
      <c r="T43">
        <v>23.60914421081543</v>
      </c>
      <c r="U43">
        <v>26.861959457397461</v>
      </c>
      <c r="V43">
        <v>30.324634552001953</v>
      </c>
      <c r="W43">
        <v>33.997165679931641</v>
      </c>
      <c r="X43">
        <v>37.879558563232422</v>
      </c>
      <c r="Y43">
        <v>41.971813201904297</v>
      </c>
      <c r="Z43">
        <v>46.273921966552734</v>
      </c>
      <c r="AA43">
        <v>50.785892486572266</v>
      </c>
      <c r="AB43">
        <v>55.507720947265625</v>
      </c>
      <c r="AC43">
        <v>60.439407348632813</v>
      </c>
      <c r="AD43">
        <v>65.580955505371094</v>
      </c>
      <c r="AE43">
        <v>70.932357788085938</v>
      </c>
      <c r="AF43">
        <v>76.493629455566406</v>
      </c>
      <c r="AG43">
        <v>82.264747619628906</v>
      </c>
      <c r="AH43">
        <v>88.245735168457031</v>
      </c>
      <c r="AI43">
        <v>94.436576843261719</v>
      </c>
      <c r="AJ43">
        <v>100.8372802734375</v>
      </c>
      <c r="AK43">
        <v>107.44783782958984</v>
      </c>
      <c r="AL43">
        <v>114.26825714111328</v>
      </c>
      <c r="AM43">
        <v>121.29853820800781</v>
      </c>
      <c r="AN43">
        <v>128.53866577148438</v>
      </c>
      <c r="AO43">
        <v>135.98866271972656</v>
      </c>
      <c r="AP43">
        <v>143.64852905273438</v>
      </c>
      <c r="AQ43">
        <v>151.51823425292969</v>
      </c>
      <c r="AR43">
        <v>159.59780883789063</v>
      </c>
      <c r="AS43">
        <v>167.88725280761719</v>
      </c>
      <c r="AT43">
        <v>176.38653564453125</v>
      </c>
      <c r="AU43">
        <v>185.09568786621094</v>
      </c>
      <c r="AV43">
        <v>194.01469421386719</v>
      </c>
      <c r="AW43">
        <v>203.14356994628906</v>
      </c>
      <c r="AX43">
        <v>212.4822998046875</v>
      </c>
      <c r="AY43">
        <v>222.0308837890625</v>
      </c>
      <c r="AZ43">
        <v>231.78932189941406</v>
      </c>
      <c r="BA43">
        <v>241.75762939453125</v>
      </c>
      <c r="BB43">
        <v>251.93580627441406</v>
      </c>
      <c r="BC43">
        <v>262.32382202148438</v>
      </c>
    </row>
    <row r="44" spans="4:55" x14ac:dyDescent="0.25">
      <c r="D44">
        <v>42000</v>
      </c>
      <c r="E44">
        <v>0</v>
      </c>
      <c r="F44">
        <v>0.10002461820840836</v>
      </c>
      <c r="G44">
        <v>0.40009847283363342</v>
      </c>
      <c r="H44">
        <v>0.90022152662277222</v>
      </c>
      <c r="I44">
        <v>1.6003938913345337</v>
      </c>
      <c r="J44">
        <v>2.5006153583526611</v>
      </c>
      <c r="K44">
        <v>3.6008861064910889</v>
      </c>
      <c r="L44">
        <v>4.9012060165405273</v>
      </c>
      <c r="M44">
        <v>6.4015755653381348</v>
      </c>
      <c r="N44">
        <v>8.1019935607910156</v>
      </c>
      <c r="O44">
        <v>10.002461433410645</v>
      </c>
      <c r="P44">
        <v>12.102978706359863</v>
      </c>
      <c r="Q44">
        <v>14.403544425964355</v>
      </c>
      <c r="R44">
        <v>16.904159545898438</v>
      </c>
      <c r="S44">
        <v>19.604824066162109</v>
      </c>
      <c r="T44">
        <v>22.505538940429688</v>
      </c>
      <c r="U44">
        <v>25.606302261352539</v>
      </c>
      <c r="V44">
        <v>28.907114028930664</v>
      </c>
      <c r="W44">
        <v>32.407974243164063</v>
      </c>
      <c r="X44">
        <v>36.10888671875</v>
      </c>
      <c r="Y44">
        <v>40.009845733642578</v>
      </c>
      <c r="Z44">
        <v>44.110855102539063</v>
      </c>
      <c r="AA44">
        <v>48.411914825439453</v>
      </c>
      <c r="AB44">
        <v>52.913021087646484</v>
      </c>
      <c r="AC44">
        <v>57.614177703857422</v>
      </c>
      <c r="AD44">
        <v>62.515384674072266</v>
      </c>
      <c r="AE44">
        <v>67.61663818359375</v>
      </c>
      <c r="AF44">
        <v>72.917945861816406</v>
      </c>
      <c r="AG44">
        <v>78.419296264648438</v>
      </c>
      <c r="AH44">
        <v>84.120704650878906</v>
      </c>
      <c r="AI44">
        <v>90.02215576171875</v>
      </c>
      <c r="AJ44">
        <v>96.1236572265625</v>
      </c>
      <c r="AK44">
        <v>102.42520904541016</v>
      </c>
      <c r="AL44">
        <v>108.92680358886719</v>
      </c>
      <c r="AM44">
        <v>115.62845611572266</v>
      </c>
      <c r="AN44">
        <v>122.5301513671875</v>
      </c>
      <c r="AO44">
        <v>129.63189697265625</v>
      </c>
      <c r="AP44">
        <v>136.93370056152344</v>
      </c>
      <c r="AQ44">
        <v>144.435546875</v>
      </c>
      <c r="AR44">
        <v>152.13743591308594</v>
      </c>
      <c r="AS44">
        <v>160.03938293457031</v>
      </c>
      <c r="AT44">
        <v>168.14137268066406</v>
      </c>
      <c r="AU44">
        <v>176.44342041015625</v>
      </c>
      <c r="AV44">
        <v>184.94551086425781</v>
      </c>
      <c r="AW44">
        <v>193.64765930175781</v>
      </c>
      <c r="AX44">
        <v>202.54985046386719</v>
      </c>
      <c r="AY44">
        <v>211.65208435058594</v>
      </c>
      <c r="AZ44">
        <v>220.95437622070313</v>
      </c>
      <c r="BA44">
        <v>230.45671081542969</v>
      </c>
      <c r="BB44">
        <v>240.15910339355469</v>
      </c>
      <c r="BC44">
        <v>250.06153869628906</v>
      </c>
    </row>
    <row r="45" spans="4:55" x14ac:dyDescent="0.25">
      <c r="D45">
        <v>43000</v>
      </c>
      <c r="E45">
        <v>0</v>
      </c>
      <c r="F45">
        <v>9.5349416136741638E-2</v>
      </c>
      <c r="G45">
        <v>0.38139766454696655</v>
      </c>
      <c r="H45">
        <v>0.85814470052719116</v>
      </c>
      <c r="I45">
        <v>1.5255906581878662</v>
      </c>
      <c r="J45">
        <v>2.3837354183197021</v>
      </c>
      <c r="K45">
        <v>3.4325788021087646</v>
      </c>
      <c r="L45">
        <v>4.672121524810791</v>
      </c>
      <c r="M45">
        <v>6.1023626327514648</v>
      </c>
      <c r="N45">
        <v>7.7233023643493652</v>
      </c>
      <c r="O45">
        <v>9.5349416732788086</v>
      </c>
      <c r="P45">
        <v>11.53727912902832</v>
      </c>
      <c r="Q45">
        <v>13.730315208435059</v>
      </c>
      <c r="R45">
        <v>16.114051818847656</v>
      </c>
      <c r="S45">
        <v>18.688486099243164</v>
      </c>
      <c r="T45">
        <v>21.453619003295898</v>
      </c>
      <c r="U45">
        <v>24.409450531005859</v>
      </c>
      <c r="V45">
        <v>27.555980682373047</v>
      </c>
      <c r="W45">
        <v>30.893209457397461</v>
      </c>
      <c r="X45">
        <v>34.421138763427734</v>
      </c>
      <c r="Y45">
        <v>38.139766693115234</v>
      </c>
      <c r="Z45">
        <v>42.049091339111328</v>
      </c>
      <c r="AA45">
        <v>46.149116516113281</v>
      </c>
      <c r="AB45">
        <v>50.439838409423828</v>
      </c>
      <c r="AC45">
        <v>54.921260833740234</v>
      </c>
      <c r="AD45">
        <v>59.5933837890625</v>
      </c>
      <c r="AE45">
        <v>64.456207275390625</v>
      </c>
      <c r="AF45">
        <v>69.509719848632813</v>
      </c>
      <c r="AG45">
        <v>74.753944396972656</v>
      </c>
      <c r="AH45">
        <v>80.188858032226563</v>
      </c>
      <c r="AI45">
        <v>85.814476013183594</v>
      </c>
      <c r="AJ45">
        <v>91.630790710449219</v>
      </c>
      <c r="AK45">
        <v>97.637802124023438</v>
      </c>
      <c r="AL45">
        <v>103.83551025390625</v>
      </c>
      <c r="AM45">
        <v>110.22392272949219</v>
      </c>
      <c r="AN45">
        <v>116.80303192138672</v>
      </c>
      <c r="AO45">
        <v>123.57283782958984</v>
      </c>
      <c r="AP45">
        <v>130.53334045410156</v>
      </c>
      <c r="AQ45">
        <v>137.68455505371094</v>
      </c>
      <c r="AR45">
        <v>145.02645874023438</v>
      </c>
      <c r="AS45">
        <v>152.55906677246094</v>
      </c>
      <c r="AT45">
        <v>160.28236389160156</v>
      </c>
      <c r="AU45">
        <v>168.19636535644531</v>
      </c>
      <c r="AV45">
        <v>176.30107116699219</v>
      </c>
      <c r="AW45">
        <v>184.59646606445313</v>
      </c>
      <c r="AX45">
        <v>193.08256530761719</v>
      </c>
      <c r="AY45">
        <v>201.75935363769531</v>
      </c>
      <c r="AZ45">
        <v>210.62686157226563</v>
      </c>
      <c r="BA45">
        <v>219.68504333496094</v>
      </c>
      <c r="BB45">
        <v>228.93394470214844</v>
      </c>
      <c r="BC45">
        <v>238.37353515625</v>
      </c>
    </row>
    <row r="46" spans="4:55" x14ac:dyDescent="0.25">
      <c r="D46">
        <v>44000</v>
      </c>
      <c r="E46">
        <v>0</v>
      </c>
      <c r="F46">
        <v>9.0893149375915527E-2</v>
      </c>
      <c r="G46">
        <v>0.36357259750366211</v>
      </c>
      <c r="H46">
        <v>0.81803828477859497</v>
      </c>
      <c r="I46">
        <v>1.4542903900146484</v>
      </c>
      <c r="J46">
        <v>2.2723286151885986</v>
      </c>
      <c r="K46">
        <v>3.2721531391143799</v>
      </c>
      <c r="L46">
        <v>4.4537639617919922</v>
      </c>
      <c r="M46">
        <v>5.8171615600585938</v>
      </c>
      <c r="N46">
        <v>7.3623447418212891</v>
      </c>
      <c r="O46">
        <v>9.0893144607543945</v>
      </c>
      <c r="P46">
        <v>10.99807071685791</v>
      </c>
      <c r="Q46">
        <v>13.08861255645752</v>
      </c>
      <c r="R46">
        <v>15.360941886901855</v>
      </c>
      <c r="S46">
        <v>17.815055847167969</v>
      </c>
      <c r="T46">
        <v>20.450958251953125</v>
      </c>
      <c r="U46">
        <v>23.268646240234375</v>
      </c>
      <c r="V46">
        <v>26.268119812011719</v>
      </c>
      <c r="W46">
        <v>29.449378967285156</v>
      </c>
      <c r="X46">
        <v>32.812427520751953</v>
      </c>
      <c r="Y46">
        <v>36.357257843017578</v>
      </c>
      <c r="Z46">
        <v>40.083877563476563</v>
      </c>
      <c r="AA46">
        <v>43.992282867431641</v>
      </c>
      <c r="AB46">
        <v>48.082473754882813</v>
      </c>
      <c r="AC46">
        <v>52.354450225830078</v>
      </c>
      <c r="AD46">
        <v>56.808216094970703</v>
      </c>
      <c r="AE46">
        <v>61.443767547607422</v>
      </c>
      <c r="AF46">
        <v>66.261100769042969</v>
      </c>
      <c r="AG46">
        <v>71.260223388671875</v>
      </c>
      <c r="AH46">
        <v>76.441139221191406</v>
      </c>
      <c r="AI46">
        <v>81.8038330078125</v>
      </c>
      <c r="AJ46">
        <v>87.348312377929688</v>
      </c>
      <c r="AK46">
        <v>93.0745849609375</v>
      </c>
      <c r="AL46">
        <v>98.982635498046875</v>
      </c>
      <c r="AM46">
        <v>105.07247924804688</v>
      </c>
      <c r="AN46">
        <v>111.34410095214844</v>
      </c>
      <c r="AO46">
        <v>117.79751586914063</v>
      </c>
      <c r="AP46">
        <v>124.43271636962891</v>
      </c>
      <c r="AQ46">
        <v>131.24971008300781</v>
      </c>
      <c r="AR46">
        <v>138.24847412109375</v>
      </c>
      <c r="AS46">
        <v>145.42903137207031</v>
      </c>
      <c r="AT46">
        <v>152.7913818359375</v>
      </c>
      <c r="AU46">
        <v>160.33551025390625</v>
      </c>
      <c r="AV46">
        <v>168.06143188476563</v>
      </c>
      <c r="AW46">
        <v>175.96913146972656</v>
      </c>
      <c r="AX46">
        <v>184.05862426757813</v>
      </c>
      <c r="AY46">
        <v>192.32989501953125</v>
      </c>
      <c r="AZ46">
        <v>200.782958984375</v>
      </c>
      <c r="BA46">
        <v>209.41780090332031</v>
      </c>
      <c r="BB46">
        <v>218.23443603515625</v>
      </c>
      <c r="BC46">
        <v>227.23286437988281</v>
      </c>
    </row>
    <row r="47" spans="4:55" x14ac:dyDescent="0.25">
      <c r="D47">
        <v>45000</v>
      </c>
      <c r="E47">
        <v>0</v>
      </c>
      <c r="F47">
        <v>8.6645551025867462E-2</v>
      </c>
      <c r="G47">
        <v>0.34658220410346985</v>
      </c>
      <c r="H47">
        <v>0.77980995178222656</v>
      </c>
      <c r="I47">
        <v>1.3863288164138794</v>
      </c>
      <c r="J47">
        <v>2.1661386489868164</v>
      </c>
      <c r="K47">
        <v>3.1192398071289063</v>
      </c>
      <c r="L47">
        <v>4.2456321716308594</v>
      </c>
      <c r="M47">
        <v>5.5453152656555176</v>
      </c>
      <c r="N47">
        <v>7.0182895660400391</v>
      </c>
      <c r="O47">
        <v>8.6645545959472656</v>
      </c>
      <c r="P47">
        <v>10.484111785888672</v>
      </c>
      <c r="Q47">
        <v>12.476959228515625</v>
      </c>
      <c r="R47">
        <v>14.643097877502441</v>
      </c>
      <c r="S47">
        <v>16.982528686523438</v>
      </c>
      <c r="T47">
        <v>19.495248794555664</v>
      </c>
      <c r="U47">
        <v>22.18126106262207</v>
      </c>
      <c r="V47">
        <v>25.040563583374023</v>
      </c>
      <c r="W47">
        <v>28.073158264160156</v>
      </c>
      <c r="X47">
        <v>31.279043197631836</v>
      </c>
      <c r="Y47">
        <v>34.658218383789063</v>
      </c>
      <c r="Z47">
        <v>38.210689544677734</v>
      </c>
      <c r="AA47">
        <v>41.936447143554688</v>
      </c>
      <c r="AB47">
        <v>45.835494995117188</v>
      </c>
      <c r="AC47">
        <v>49.9078369140625</v>
      </c>
      <c r="AD47">
        <v>54.153469085693359</v>
      </c>
      <c r="AE47">
        <v>58.572391510009766</v>
      </c>
      <c r="AF47">
        <v>63.164608001708984</v>
      </c>
      <c r="AG47">
        <v>67.93011474609375</v>
      </c>
      <c r="AH47">
        <v>72.868911743164063</v>
      </c>
      <c r="AI47">
        <v>77.980995178222656</v>
      </c>
      <c r="AJ47">
        <v>83.266372680664063</v>
      </c>
      <c r="AK47">
        <v>88.725044250488281</v>
      </c>
      <c r="AL47">
        <v>94.357002258300781</v>
      </c>
      <c r="AM47">
        <v>100.16225433349609</v>
      </c>
      <c r="AN47">
        <v>106.14080047607422</v>
      </c>
      <c r="AO47">
        <v>112.29263305664063</v>
      </c>
      <c r="AP47">
        <v>118.61775970458984</v>
      </c>
      <c r="AQ47">
        <v>125.11617279052734</v>
      </c>
      <c r="AR47">
        <v>131.78788757324219</v>
      </c>
      <c r="AS47">
        <v>138.63287353515625</v>
      </c>
      <c r="AT47">
        <v>145.65116882324219</v>
      </c>
      <c r="AU47">
        <v>152.84275817871094</v>
      </c>
      <c r="AV47">
        <v>160.20762634277344</v>
      </c>
      <c r="AW47">
        <v>167.74578857421875</v>
      </c>
      <c r="AX47">
        <v>175.45724487304688</v>
      </c>
      <c r="AY47">
        <v>183.34197998046875</v>
      </c>
      <c r="AZ47">
        <v>191.4000244140625</v>
      </c>
      <c r="BA47">
        <v>199.63134765625</v>
      </c>
      <c r="BB47">
        <v>208.03596496582031</v>
      </c>
      <c r="BC47">
        <v>216.61387634277344</v>
      </c>
    </row>
    <row r="48" spans="4:55" x14ac:dyDescent="0.25">
      <c r="D48">
        <v>46000</v>
      </c>
      <c r="E48">
        <v>0</v>
      </c>
      <c r="F48">
        <v>8.2596823573112488E-2</v>
      </c>
      <c r="G48">
        <v>0.33038729429244995</v>
      </c>
      <c r="H48">
        <v>0.74337142705917358</v>
      </c>
      <c r="I48">
        <v>1.3215491771697998</v>
      </c>
      <c r="J48">
        <v>2.0649206638336182</v>
      </c>
      <c r="K48">
        <v>2.9734857082366943</v>
      </c>
      <c r="L48">
        <v>4.0472445487976074</v>
      </c>
      <c r="M48">
        <v>5.2861967086791992</v>
      </c>
      <c r="N48">
        <v>6.690342903137207</v>
      </c>
      <c r="O48">
        <v>8.2596826553344727</v>
      </c>
      <c r="P48">
        <v>9.9942159652709961</v>
      </c>
      <c r="Q48">
        <v>11.893942832946777</v>
      </c>
      <c r="R48">
        <v>13.958863258361816</v>
      </c>
      <c r="S48">
        <v>16.18897819519043</v>
      </c>
      <c r="T48">
        <v>18.584285736083984</v>
      </c>
      <c r="U48">
        <v>21.144786834716797</v>
      </c>
      <c r="V48">
        <v>23.8704833984375</v>
      </c>
      <c r="W48">
        <v>26.761371612548828</v>
      </c>
      <c r="X48">
        <v>29.817453384399414</v>
      </c>
      <c r="Y48">
        <v>33.038730621337891</v>
      </c>
      <c r="Z48">
        <v>36.425201416015625</v>
      </c>
      <c r="AA48">
        <v>39.976863861083984</v>
      </c>
      <c r="AB48">
        <v>43.693721771240234</v>
      </c>
      <c r="AC48">
        <v>47.575771331787109</v>
      </c>
      <c r="AD48">
        <v>51.623016357421875</v>
      </c>
      <c r="AE48">
        <v>55.835453033447266</v>
      </c>
      <c r="AF48">
        <v>60.213085174560547</v>
      </c>
      <c r="AG48">
        <v>64.755912780761719</v>
      </c>
      <c r="AH48">
        <v>69.46392822265625</v>
      </c>
      <c r="AI48">
        <v>74.337142944335938</v>
      </c>
      <c r="AJ48">
        <v>79.37554931640625</v>
      </c>
      <c r="AK48">
        <v>84.579147338867188</v>
      </c>
      <c r="AL48">
        <v>89.947944641113281</v>
      </c>
      <c r="AM48">
        <v>95.48193359375</v>
      </c>
      <c r="AN48">
        <v>101.18111419677734</v>
      </c>
      <c r="AO48">
        <v>107.04548645019531</v>
      </c>
      <c r="AP48">
        <v>113.07505798339844</v>
      </c>
      <c r="AQ48">
        <v>119.26981353759766</v>
      </c>
      <c r="AR48">
        <v>125.62977600097656</v>
      </c>
      <c r="AS48">
        <v>132.15492248535156</v>
      </c>
      <c r="AT48">
        <v>138.84526062011719</v>
      </c>
      <c r="AU48">
        <v>145.7008056640625</v>
      </c>
      <c r="AV48">
        <v>152.72152709960938</v>
      </c>
      <c r="AW48">
        <v>159.90745544433594</v>
      </c>
      <c r="AX48">
        <v>167.25857543945313</v>
      </c>
      <c r="AY48">
        <v>174.77488708496094</v>
      </c>
      <c r="AZ48">
        <v>182.45639038085938</v>
      </c>
      <c r="BA48">
        <v>190.30308532714844</v>
      </c>
      <c r="BB48">
        <v>198.31498718261719</v>
      </c>
      <c r="BC48">
        <v>206.4920654296875</v>
      </c>
    </row>
    <row r="49" spans="3:55" x14ac:dyDescent="0.25">
      <c r="D49">
        <v>47000</v>
      </c>
      <c r="E49">
        <v>0</v>
      </c>
      <c r="F49">
        <v>7.8737646341323853E-2</v>
      </c>
      <c r="G49">
        <v>0.31495058536529541</v>
      </c>
      <c r="H49">
        <v>0.70863884687423706</v>
      </c>
      <c r="I49">
        <v>1.2598023414611816</v>
      </c>
      <c r="J49">
        <v>1.9684411287307739</v>
      </c>
      <c r="K49">
        <v>2.8345553874969482</v>
      </c>
      <c r="L49">
        <v>3.8581447601318359</v>
      </c>
      <c r="M49">
        <v>5.0392093658447266</v>
      </c>
      <c r="N49">
        <v>6.3777494430541992</v>
      </c>
      <c r="O49">
        <v>7.8737645149230957</v>
      </c>
      <c r="P49">
        <v>9.5272550582885742</v>
      </c>
      <c r="Q49">
        <v>11.338221549987793</v>
      </c>
      <c r="R49">
        <v>13.306662559509277</v>
      </c>
      <c r="S49">
        <v>15.432579040527344</v>
      </c>
      <c r="T49">
        <v>17.715970993041992</v>
      </c>
      <c r="U49">
        <v>20.156837463378906</v>
      </c>
      <c r="V49">
        <v>22.755180358886719</v>
      </c>
      <c r="W49">
        <v>25.510997772216797</v>
      </c>
      <c r="X49">
        <v>28.424289703369141</v>
      </c>
      <c r="Y49">
        <v>31.495058059692383</v>
      </c>
      <c r="Z49">
        <v>34.723300933837891</v>
      </c>
      <c r="AA49">
        <v>38.109020233154297</v>
      </c>
      <c r="AB49">
        <v>41.652214050292969</v>
      </c>
      <c r="AC49">
        <v>45.352886199951172</v>
      </c>
      <c r="AD49">
        <v>49.211029052734375</v>
      </c>
      <c r="AE49">
        <v>53.226650238037109</v>
      </c>
      <c r="AF49">
        <v>57.399745941162109</v>
      </c>
      <c r="AG49">
        <v>61.730316162109375</v>
      </c>
      <c r="AH49">
        <v>66.218360900878906</v>
      </c>
      <c r="AI49">
        <v>70.863883972167969</v>
      </c>
      <c r="AJ49">
        <v>75.666877746582031</v>
      </c>
      <c r="AK49">
        <v>80.627349853515625</v>
      </c>
      <c r="AL49">
        <v>85.74530029296875</v>
      </c>
      <c r="AM49">
        <v>91.020721435546875</v>
      </c>
      <c r="AN49">
        <v>96.45361328125</v>
      </c>
      <c r="AO49">
        <v>102.04399108886719</v>
      </c>
      <c r="AP49">
        <v>107.79183959960938</v>
      </c>
      <c r="AQ49">
        <v>113.69715881347656</v>
      </c>
      <c r="AR49">
        <v>119.75996398925781</v>
      </c>
      <c r="AS49">
        <v>125.98023223876953</v>
      </c>
      <c r="AT49">
        <v>132.35798645019531</v>
      </c>
      <c r="AU49">
        <v>138.89320373535156</v>
      </c>
      <c r="AV49">
        <v>145.58590698242188</v>
      </c>
      <c r="AW49">
        <v>152.43608093261719</v>
      </c>
      <c r="AX49">
        <v>159.44374084472656</v>
      </c>
      <c r="AY49">
        <v>166.60885620117188</v>
      </c>
      <c r="AZ49">
        <v>173.93145751953125</v>
      </c>
      <c r="BA49">
        <v>181.41154479980469</v>
      </c>
      <c r="BB49">
        <v>189.04908752441406</v>
      </c>
      <c r="BC49">
        <v>196.8441162109375</v>
      </c>
    </row>
    <row r="50" spans="3:55" x14ac:dyDescent="0.25">
      <c r="D50">
        <v>48000</v>
      </c>
      <c r="E50">
        <v>0</v>
      </c>
      <c r="F50">
        <v>7.5059130787849426E-2</v>
      </c>
      <c r="G50">
        <v>0.30023652315139771</v>
      </c>
      <c r="H50">
        <v>0.67553216218948364</v>
      </c>
      <c r="I50">
        <v>1.2009460926055908</v>
      </c>
      <c r="J50">
        <v>1.8764783143997192</v>
      </c>
      <c r="K50">
        <v>2.7021286487579346</v>
      </c>
      <c r="L50">
        <v>3.6778974533081055</v>
      </c>
      <c r="M50">
        <v>4.8037843704223633</v>
      </c>
      <c r="N50">
        <v>6.0797896385192871</v>
      </c>
      <c r="O50">
        <v>7.505913257598877</v>
      </c>
      <c r="P50">
        <v>9.0821552276611328</v>
      </c>
      <c r="Q50">
        <v>10.808514595031738</v>
      </c>
      <c r="R50">
        <v>12.684992790222168</v>
      </c>
      <c r="S50">
        <v>14.711589813232422</v>
      </c>
      <c r="T50">
        <v>16.888303756713867</v>
      </c>
      <c r="U50">
        <v>19.215137481689453</v>
      </c>
      <c r="V50">
        <v>21.692089080810547</v>
      </c>
      <c r="W50">
        <v>24.319158554077148</v>
      </c>
      <c r="X50">
        <v>27.096345901489258</v>
      </c>
      <c r="Y50">
        <v>30.023653030395508</v>
      </c>
      <c r="Z50">
        <v>33.101078033447266</v>
      </c>
      <c r="AA50">
        <v>36.328620910644531</v>
      </c>
      <c r="AB50">
        <v>39.706279754638672</v>
      </c>
      <c r="AC50">
        <v>43.234058380126953</v>
      </c>
      <c r="AD50">
        <v>46.911956787109375</v>
      </c>
      <c r="AE50">
        <v>50.739971160888672</v>
      </c>
      <c r="AF50">
        <v>54.718105316162109</v>
      </c>
      <c r="AG50">
        <v>58.846359252929688</v>
      </c>
      <c r="AH50">
        <v>63.124729156494141</v>
      </c>
      <c r="AI50">
        <v>67.553215026855469</v>
      </c>
      <c r="AJ50">
        <v>72.131828308105469</v>
      </c>
      <c r="AK50">
        <v>76.860549926757813</v>
      </c>
      <c r="AL50">
        <v>81.739395141601563</v>
      </c>
      <c r="AM50">
        <v>86.768356323242188</v>
      </c>
      <c r="AN50">
        <v>91.947433471679688</v>
      </c>
      <c r="AO50">
        <v>97.276634216308594</v>
      </c>
      <c r="AP50">
        <v>102.75595092773438</v>
      </c>
      <c r="AQ50">
        <v>108.38538360595703</v>
      </c>
      <c r="AR50">
        <v>114.16493988037109</v>
      </c>
      <c r="AS50">
        <v>120.09461212158203</v>
      </c>
      <c r="AT50">
        <v>126.17440032958984</v>
      </c>
      <c r="AU50">
        <v>132.40431213378906</v>
      </c>
      <c r="AV50">
        <v>138.78433227539063</v>
      </c>
      <c r="AW50">
        <v>145.31448364257813</v>
      </c>
      <c r="AX50">
        <v>151.99473571777344</v>
      </c>
      <c r="AY50">
        <v>158.82511901855469</v>
      </c>
      <c r="AZ50">
        <v>165.80561828613281</v>
      </c>
      <c r="BA50">
        <v>172.93623352050781</v>
      </c>
      <c r="BB50">
        <v>180.21697998046875</v>
      </c>
      <c r="BC50">
        <v>187.6478271484375</v>
      </c>
    </row>
    <row r="51" spans="3:55" x14ac:dyDescent="0.25">
      <c r="D51">
        <v>49000</v>
      </c>
      <c r="E51">
        <v>0</v>
      </c>
      <c r="F51">
        <v>7.1552790701389313E-2</v>
      </c>
      <c r="G51">
        <v>0.28621116280555725</v>
      </c>
      <c r="H51">
        <v>0.64397507905960083</v>
      </c>
      <c r="I51">
        <v>1.144844651222229</v>
      </c>
      <c r="J51">
        <v>1.7888197898864746</v>
      </c>
      <c r="K51">
        <v>2.5759003162384033</v>
      </c>
      <c r="L51">
        <v>3.5060865879058838</v>
      </c>
      <c r="M51">
        <v>4.579378604888916</v>
      </c>
      <c r="N51">
        <v>5.7957758903503418</v>
      </c>
      <c r="O51">
        <v>7.1552791595458984</v>
      </c>
      <c r="P51">
        <v>8.6578874588012695</v>
      </c>
      <c r="Q51">
        <v>10.303601264953613</v>
      </c>
      <c r="R51">
        <v>12.092421531677246</v>
      </c>
      <c r="S51">
        <v>14.024346351623535</v>
      </c>
      <c r="T51">
        <v>16.099376678466797</v>
      </c>
      <c r="U51">
        <v>18.317514419555664</v>
      </c>
      <c r="V51">
        <v>20.678756713867188</v>
      </c>
      <c r="W51">
        <v>23.183103561401367</v>
      </c>
      <c r="X51">
        <v>25.830556869506836</v>
      </c>
      <c r="Y51">
        <v>28.621116638183594</v>
      </c>
      <c r="Z51">
        <v>31.554780960083008</v>
      </c>
      <c r="AA51">
        <v>34.631549835205078</v>
      </c>
      <c r="AB51">
        <v>37.851425170898438</v>
      </c>
      <c r="AC51">
        <v>41.214405059814453</v>
      </c>
      <c r="AD51">
        <v>44.720493316650391</v>
      </c>
      <c r="AE51">
        <v>48.369686126708984</v>
      </c>
      <c r="AF51">
        <v>52.161983489990234</v>
      </c>
      <c r="AG51">
        <v>56.097385406494141</v>
      </c>
      <c r="AH51">
        <v>60.175895690917969</v>
      </c>
      <c r="AI51">
        <v>64.397506713867188</v>
      </c>
      <c r="AJ51">
        <v>68.762229919433594</v>
      </c>
      <c r="AK51">
        <v>73.270057678222656</v>
      </c>
      <c r="AL51">
        <v>77.920989990234375</v>
      </c>
      <c r="AM51">
        <v>82.71502685546875</v>
      </c>
      <c r="AN51">
        <v>87.652168273925781</v>
      </c>
      <c r="AO51">
        <v>92.732414245605469</v>
      </c>
      <c r="AP51">
        <v>97.955764770507813</v>
      </c>
      <c r="AQ51">
        <v>103.32222747802734</v>
      </c>
      <c r="AR51">
        <v>108.83179473876953</v>
      </c>
      <c r="AS51">
        <v>114.48446655273438</v>
      </c>
      <c r="AT51">
        <v>120.28023529052734</v>
      </c>
      <c r="AU51">
        <v>126.21912384033203</v>
      </c>
      <c r="AV51">
        <v>132.30110168457031</v>
      </c>
      <c r="AW51">
        <v>138.52619934082031</v>
      </c>
      <c r="AX51">
        <v>144.89439392089844</v>
      </c>
      <c r="AY51">
        <v>151.40570068359375</v>
      </c>
      <c r="AZ51">
        <v>158.06010437011719</v>
      </c>
      <c r="BA51">
        <v>164.85762023925781</v>
      </c>
      <c r="BB51">
        <v>171.79824829101563</v>
      </c>
      <c r="BC51">
        <v>178.88197326660156</v>
      </c>
    </row>
    <row r="52" spans="3:55" x14ac:dyDescent="0.25">
      <c r="D52">
        <v>50000</v>
      </c>
      <c r="E52">
        <v>0</v>
      </c>
      <c r="F52">
        <v>6.821056455373764E-2</v>
      </c>
      <c r="G52">
        <v>0.27284225821495056</v>
      </c>
      <c r="H52">
        <v>0.61389505863189697</v>
      </c>
      <c r="I52">
        <v>1.0913690328598022</v>
      </c>
      <c r="J52">
        <v>1.7052640914916992</v>
      </c>
      <c r="K52">
        <v>2.4555802345275879</v>
      </c>
      <c r="L52">
        <v>3.3423175811767578</v>
      </c>
      <c r="M52">
        <v>4.365476131439209</v>
      </c>
      <c r="N52">
        <v>5.5250558853149414</v>
      </c>
      <c r="O52">
        <v>6.8210563659667969</v>
      </c>
      <c r="P52">
        <v>8.2534780502319336</v>
      </c>
      <c r="Q52">
        <v>9.8223209381103516</v>
      </c>
      <c r="R52">
        <v>11.527585983276367</v>
      </c>
      <c r="S52">
        <v>13.369270324707031</v>
      </c>
      <c r="T52">
        <v>15.347376823425293</v>
      </c>
      <c r="U52">
        <v>17.461904525756836</v>
      </c>
      <c r="V52">
        <v>19.712852478027344</v>
      </c>
      <c r="W52">
        <v>22.100223541259766</v>
      </c>
      <c r="X52">
        <v>24.624013900756836</v>
      </c>
      <c r="Y52">
        <v>27.284225463867188</v>
      </c>
      <c r="Z52">
        <v>30.080860137939453</v>
      </c>
      <c r="AA52">
        <v>33.013912200927734</v>
      </c>
      <c r="AB52">
        <v>36.083389282226563</v>
      </c>
      <c r="AC52">
        <v>39.289283752441406</v>
      </c>
      <c r="AD52">
        <v>42.631603240966797</v>
      </c>
      <c r="AE52">
        <v>46.110343933105469</v>
      </c>
      <c r="AF52">
        <v>49.725502014160156</v>
      </c>
      <c r="AG52">
        <v>53.477081298828125</v>
      </c>
      <c r="AH52">
        <v>57.365085601806641</v>
      </c>
      <c r="AI52">
        <v>61.389507293701172</v>
      </c>
      <c r="AJ52">
        <v>65.55035400390625</v>
      </c>
      <c r="AK52">
        <v>69.847618103027344</v>
      </c>
      <c r="AL52">
        <v>74.281303405761719</v>
      </c>
      <c r="AM52">
        <v>78.851409912109375</v>
      </c>
      <c r="AN52">
        <v>83.557945251464844</v>
      </c>
      <c r="AO52">
        <v>88.400894165039063</v>
      </c>
      <c r="AP52">
        <v>93.380264282226563</v>
      </c>
      <c r="AQ52">
        <v>98.496055603027344</v>
      </c>
      <c r="AR52">
        <v>103.74826812744141</v>
      </c>
      <c r="AS52">
        <v>109.13690185546875</v>
      </c>
      <c r="AT52">
        <v>114.66195678710938</v>
      </c>
      <c r="AU52">
        <v>120.32344055175781</v>
      </c>
      <c r="AV52">
        <v>126.121337890625</v>
      </c>
      <c r="AW52">
        <v>132.05564880371094</v>
      </c>
      <c r="AX52">
        <v>138.12638854980469</v>
      </c>
      <c r="AY52">
        <v>144.33355712890625</v>
      </c>
      <c r="AZ52">
        <v>150.67713928222656</v>
      </c>
      <c r="BA52">
        <v>157.15713500976563</v>
      </c>
      <c r="BB52">
        <v>163.7735595703125</v>
      </c>
      <c r="BC52">
        <v>170.52641296386719</v>
      </c>
    </row>
    <row r="53" spans="3:55" x14ac:dyDescent="0.25">
      <c r="C53" t="s">
        <v>134</v>
      </c>
      <c r="D53" t="s">
        <v>133</v>
      </c>
      <c r="E53">
        <v>0</v>
      </c>
      <c r="F53">
        <v>0.02</v>
      </c>
      <c r="G53">
        <v>0.04</v>
      </c>
      <c r="H53">
        <v>0.06</v>
      </c>
      <c r="I53">
        <v>0.08</v>
      </c>
      <c r="J53">
        <v>0.1</v>
      </c>
      <c r="K53">
        <v>0.12</v>
      </c>
      <c r="L53">
        <v>0.14000000000000001</v>
      </c>
      <c r="M53">
        <v>0.16</v>
      </c>
      <c r="N53">
        <v>0.18</v>
      </c>
      <c r="O53">
        <v>0.2</v>
      </c>
      <c r="P53">
        <v>0.22</v>
      </c>
      <c r="Q53">
        <v>0.24</v>
      </c>
      <c r="R53">
        <v>0.26</v>
      </c>
      <c r="S53">
        <v>0.28000000000000003</v>
      </c>
      <c r="T53">
        <v>0.3</v>
      </c>
      <c r="U53">
        <v>0.32</v>
      </c>
      <c r="V53">
        <v>0.34</v>
      </c>
      <c r="W53">
        <v>0.36</v>
      </c>
      <c r="X53">
        <v>0.38</v>
      </c>
      <c r="Y53">
        <v>0.4</v>
      </c>
      <c r="Z53">
        <v>0.42</v>
      </c>
      <c r="AA53">
        <v>0.44</v>
      </c>
      <c r="AB53">
        <v>0.46</v>
      </c>
      <c r="AC53">
        <v>0.48</v>
      </c>
      <c r="AD53">
        <v>0.5</v>
      </c>
      <c r="AE53">
        <v>0.52</v>
      </c>
      <c r="AF53">
        <v>0.54</v>
      </c>
      <c r="AG53">
        <v>0.56000000000000005</v>
      </c>
      <c r="AH53">
        <v>0.57999999999999996</v>
      </c>
      <c r="AI53">
        <v>0.6</v>
      </c>
      <c r="AJ53">
        <v>0.62</v>
      </c>
      <c r="AK53">
        <v>0.64</v>
      </c>
      <c r="AL53">
        <v>0.66</v>
      </c>
      <c r="AM53">
        <v>0.68</v>
      </c>
      <c r="AN53">
        <v>0.7</v>
      </c>
      <c r="AO53">
        <v>0.72</v>
      </c>
      <c r="AP53">
        <v>0.74</v>
      </c>
      <c r="AQ53">
        <v>0.76</v>
      </c>
      <c r="AR53">
        <v>0.78</v>
      </c>
      <c r="AS53">
        <v>0.8</v>
      </c>
      <c r="AT53">
        <v>0.82</v>
      </c>
      <c r="AU53">
        <v>0.84</v>
      </c>
      <c r="AV53">
        <v>0.86</v>
      </c>
      <c r="AW53">
        <v>0.88</v>
      </c>
      <c r="AX53">
        <v>0.9</v>
      </c>
      <c r="AY53">
        <v>0.92</v>
      </c>
      <c r="AZ53">
        <v>0.94</v>
      </c>
      <c r="BA53">
        <v>0.96</v>
      </c>
      <c r="BB53">
        <v>0.98</v>
      </c>
      <c r="BC53">
        <v>1</v>
      </c>
    </row>
    <row r="54" spans="3:55" x14ac:dyDescent="0.25">
      <c r="D54">
        <v>0</v>
      </c>
      <c r="E54">
        <v>0</v>
      </c>
      <c r="F54">
        <v>13.249446868896484</v>
      </c>
      <c r="G54">
        <v>26.498893737792969</v>
      </c>
      <c r="H54">
        <v>39.748340606689453</v>
      </c>
      <c r="I54">
        <v>52.997787475585938</v>
      </c>
      <c r="J54">
        <v>66.247238159179688</v>
      </c>
      <c r="K54">
        <v>79.496681213378906</v>
      </c>
      <c r="L54">
        <v>92.746131896972656</v>
      </c>
      <c r="M54">
        <v>105.99557495117188</v>
      </c>
      <c r="N54">
        <v>119.24502563476563</v>
      </c>
      <c r="O54">
        <v>132.49447631835938</v>
      </c>
      <c r="P54">
        <v>145.74392700195313</v>
      </c>
      <c r="Q54">
        <v>158.99336242675781</v>
      </c>
      <c r="R54">
        <v>172.24281311035156</v>
      </c>
      <c r="S54">
        <v>185.49226379394531</v>
      </c>
      <c r="T54">
        <v>198.74171447753906</v>
      </c>
      <c r="U54">
        <v>211.99114990234375</v>
      </c>
      <c r="V54">
        <v>225.2406005859375</v>
      </c>
      <c r="W54">
        <v>238.49005126953125</v>
      </c>
      <c r="X54">
        <v>251.739501953125</v>
      </c>
      <c r="Y54">
        <v>264.98895263671875</v>
      </c>
      <c r="Z54">
        <v>278.2384033203125</v>
      </c>
      <c r="AA54">
        <v>291.48785400390625</v>
      </c>
      <c r="AB54">
        <v>304.73727416992188</v>
      </c>
      <c r="AC54">
        <v>317.98672485351563</v>
      </c>
      <c r="AD54">
        <v>331.23617553710938</v>
      </c>
      <c r="AE54">
        <v>344.48562622070313</v>
      </c>
      <c r="AF54">
        <v>357.73507690429688</v>
      </c>
      <c r="AG54">
        <v>370.98452758789063</v>
      </c>
      <c r="AH54">
        <v>384.23397827148438</v>
      </c>
      <c r="AI54">
        <v>397.48342895507813</v>
      </c>
      <c r="AJ54">
        <v>410.73287963867188</v>
      </c>
      <c r="AK54">
        <v>423.9822998046875</v>
      </c>
      <c r="AL54">
        <v>437.23175048828125</v>
      </c>
      <c r="AM54">
        <v>450.481201171875</v>
      </c>
      <c r="AN54">
        <v>463.73065185546875</v>
      </c>
      <c r="AO54">
        <v>476.9801025390625</v>
      </c>
      <c r="AP54">
        <v>490.22955322265625</v>
      </c>
      <c r="AQ54">
        <v>503.47900390625</v>
      </c>
      <c r="AR54">
        <v>516.72845458984375</v>
      </c>
      <c r="AS54">
        <v>529.9779052734375</v>
      </c>
      <c r="AT54">
        <v>543.22735595703125</v>
      </c>
      <c r="AU54">
        <v>556.476806640625</v>
      </c>
      <c r="AV54">
        <v>569.72625732421875</v>
      </c>
      <c r="AW54">
        <v>582.9757080078125</v>
      </c>
      <c r="AX54">
        <v>596.22509765625</v>
      </c>
      <c r="AY54">
        <v>609.47454833984375</v>
      </c>
      <c r="AZ54">
        <v>622.7239990234375</v>
      </c>
      <c r="BA54">
        <v>635.97344970703125</v>
      </c>
      <c r="BB54">
        <v>649.222900390625</v>
      </c>
      <c r="BC54">
        <v>662.47235107421875</v>
      </c>
    </row>
    <row r="55" spans="3:55" x14ac:dyDescent="0.25">
      <c r="D55">
        <v>1000</v>
      </c>
      <c r="E55">
        <v>0</v>
      </c>
      <c r="F55">
        <v>13.203823089599609</v>
      </c>
      <c r="G55">
        <v>26.407646179199219</v>
      </c>
      <c r="H55">
        <v>39.611469268798828</v>
      </c>
      <c r="I55">
        <v>52.815292358398438</v>
      </c>
      <c r="J55">
        <v>66.019111633300781</v>
      </c>
      <c r="K55">
        <v>79.222938537597656</v>
      </c>
      <c r="L55">
        <v>92.4267578125</v>
      </c>
      <c r="M55">
        <v>105.63058471679688</v>
      </c>
      <c r="N55">
        <v>118.83440399169922</v>
      </c>
      <c r="O55">
        <v>132.03822326660156</v>
      </c>
      <c r="P55">
        <v>145.24205017089844</v>
      </c>
      <c r="Q55">
        <v>158.44587707519531</v>
      </c>
      <c r="R55">
        <v>171.64970397949219</v>
      </c>
      <c r="S55">
        <v>184.853515625</v>
      </c>
      <c r="T55">
        <v>198.05734252929688</v>
      </c>
      <c r="U55">
        <v>211.26116943359375</v>
      </c>
      <c r="V55">
        <v>224.46499633789063</v>
      </c>
      <c r="W55">
        <v>237.66880798339844</v>
      </c>
      <c r="X55">
        <v>250.87263488769531</v>
      </c>
      <c r="Y55">
        <v>264.07644653320313</v>
      </c>
      <c r="Z55">
        <v>277.2802734375</v>
      </c>
      <c r="AA55">
        <v>290.48410034179688</v>
      </c>
      <c r="AB55">
        <v>303.68792724609375</v>
      </c>
      <c r="AC55">
        <v>316.89175415039063</v>
      </c>
      <c r="AD55">
        <v>330.0955810546875</v>
      </c>
      <c r="AE55">
        <v>343.29940795898438</v>
      </c>
      <c r="AF55">
        <v>356.50320434570313</v>
      </c>
      <c r="AG55">
        <v>369.70703125</v>
      </c>
      <c r="AH55">
        <v>382.91085815429688</v>
      </c>
      <c r="AI55">
        <v>396.11468505859375</v>
      </c>
      <c r="AJ55">
        <v>409.31851196289063</v>
      </c>
      <c r="AK55">
        <v>422.5223388671875</v>
      </c>
      <c r="AL55">
        <v>435.72616577148438</v>
      </c>
      <c r="AM55">
        <v>448.92999267578125</v>
      </c>
      <c r="AN55">
        <v>462.1337890625</v>
      </c>
      <c r="AO55">
        <v>475.33761596679688</v>
      </c>
      <c r="AP55">
        <v>488.54144287109375</v>
      </c>
      <c r="AQ55">
        <v>501.74526977539063</v>
      </c>
      <c r="AR55">
        <v>514.9490966796875</v>
      </c>
      <c r="AS55">
        <v>528.15289306640625</v>
      </c>
      <c r="AT55">
        <v>541.35675048828125</v>
      </c>
      <c r="AU55">
        <v>554.560546875</v>
      </c>
      <c r="AV55">
        <v>567.764404296875</v>
      </c>
      <c r="AW55">
        <v>580.96820068359375</v>
      </c>
      <c r="AX55">
        <v>594.17205810546875</v>
      </c>
      <c r="AY55">
        <v>607.3758544921875</v>
      </c>
      <c r="AZ55">
        <v>620.57965087890625</v>
      </c>
      <c r="BA55">
        <v>633.78350830078125</v>
      </c>
      <c r="BB55">
        <v>646.9873046875</v>
      </c>
      <c r="BC55">
        <v>660.191162109375</v>
      </c>
    </row>
    <row r="56" spans="3:55" x14ac:dyDescent="0.25">
      <c r="D56">
        <v>2000</v>
      </c>
      <c r="E56">
        <v>0</v>
      </c>
      <c r="F56">
        <v>13.15804386138916</v>
      </c>
      <c r="G56">
        <v>26.31608772277832</v>
      </c>
      <c r="H56">
        <v>39.474132537841797</v>
      </c>
      <c r="I56">
        <v>52.632175445556641</v>
      </c>
      <c r="J56">
        <v>65.790214538574219</v>
      </c>
      <c r="K56">
        <v>78.948265075683594</v>
      </c>
      <c r="L56">
        <v>92.106307983398438</v>
      </c>
      <c r="M56">
        <v>105.26435089111328</v>
      </c>
      <c r="N56">
        <v>118.42239379882813</v>
      </c>
      <c r="O56">
        <v>131.58042907714844</v>
      </c>
      <c r="P56">
        <v>144.73847961425781</v>
      </c>
      <c r="Q56">
        <v>157.89653015136719</v>
      </c>
      <c r="R56">
        <v>171.0545654296875</v>
      </c>
      <c r="S56">
        <v>184.21261596679688</v>
      </c>
      <c r="T56">
        <v>197.37065124511719</v>
      </c>
      <c r="U56">
        <v>210.52870178222656</v>
      </c>
      <c r="V56">
        <v>223.68673706054688</v>
      </c>
      <c r="W56">
        <v>236.84478759765625</v>
      </c>
      <c r="X56">
        <v>250.00282287597656</v>
      </c>
      <c r="Y56">
        <v>263.16085815429688</v>
      </c>
      <c r="Z56">
        <v>276.31890869140625</v>
      </c>
      <c r="AA56">
        <v>289.47695922851563</v>
      </c>
      <c r="AB56">
        <v>302.635009765625</v>
      </c>
      <c r="AC56">
        <v>315.79306030273438</v>
      </c>
      <c r="AD56">
        <v>328.95108032226563</v>
      </c>
      <c r="AE56">
        <v>342.109130859375</v>
      </c>
      <c r="AF56">
        <v>355.26718139648438</v>
      </c>
      <c r="AG56">
        <v>368.42523193359375</v>
      </c>
      <c r="AH56">
        <v>381.583251953125</v>
      </c>
      <c r="AI56">
        <v>394.74130249023438</v>
      </c>
      <c r="AJ56">
        <v>407.89935302734375</v>
      </c>
      <c r="AK56">
        <v>421.05740356445313</v>
      </c>
      <c r="AL56">
        <v>434.2154541015625</v>
      </c>
      <c r="AM56">
        <v>447.37347412109375</v>
      </c>
      <c r="AN56">
        <v>460.53152465820313</v>
      </c>
      <c r="AO56">
        <v>473.6895751953125</v>
      </c>
      <c r="AP56">
        <v>486.84762573242188</v>
      </c>
      <c r="AQ56">
        <v>500.00564575195313</v>
      </c>
      <c r="AR56">
        <v>513.1636962890625</v>
      </c>
      <c r="AS56">
        <v>526.32171630859375</v>
      </c>
      <c r="AT56">
        <v>539.47979736328125</v>
      </c>
      <c r="AU56">
        <v>552.6378173828125</v>
      </c>
      <c r="AV56">
        <v>565.7958984375</v>
      </c>
      <c r="AW56">
        <v>578.95391845703125</v>
      </c>
      <c r="AX56">
        <v>592.1119384765625</v>
      </c>
      <c r="AY56">
        <v>605.27001953125</v>
      </c>
      <c r="AZ56">
        <v>618.42803955078125</v>
      </c>
      <c r="BA56">
        <v>631.58612060546875</v>
      </c>
      <c r="BB56">
        <v>644.744140625</v>
      </c>
      <c r="BC56">
        <v>657.90216064453125</v>
      </c>
    </row>
    <row r="57" spans="3:55" x14ac:dyDescent="0.25">
      <c r="D57">
        <v>3000</v>
      </c>
      <c r="E57">
        <v>0</v>
      </c>
      <c r="F57">
        <v>13.112109184265137</v>
      </c>
      <c r="G57">
        <v>26.224218368530273</v>
      </c>
      <c r="H57">
        <v>39.336326599121094</v>
      </c>
      <c r="I57">
        <v>52.448436737060547</v>
      </c>
      <c r="J57">
        <v>65.560546875</v>
      </c>
      <c r="K57">
        <v>78.672653198242188</v>
      </c>
      <c r="L57">
        <v>91.784767150878906</v>
      </c>
      <c r="M57">
        <v>104.89687347412109</v>
      </c>
      <c r="N57">
        <v>118.00897979736328</v>
      </c>
      <c r="O57">
        <v>131.12109375</v>
      </c>
      <c r="P57">
        <v>144.23320007324219</v>
      </c>
      <c r="Q57">
        <v>157.34530639648438</v>
      </c>
      <c r="R57">
        <v>170.45742797851563</v>
      </c>
      <c r="S57">
        <v>183.56953430175781</v>
      </c>
      <c r="T57">
        <v>196.681640625</v>
      </c>
      <c r="U57">
        <v>209.79374694824219</v>
      </c>
      <c r="V57">
        <v>222.90585327148438</v>
      </c>
      <c r="W57">
        <v>236.01795959472656</v>
      </c>
      <c r="X57">
        <v>249.13008117675781</v>
      </c>
      <c r="Y57">
        <v>262.2421875</v>
      </c>
      <c r="Z57">
        <v>275.35430908203125</v>
      </c>
      <c r="AA57">
        <v>288.46640014648438</v>
      </c>
      <c r="AB57">
        <v>301.57852172851563</v>
      </c>
      <c r="AC57">
        <v>314.69061279296875</v>
      </c>
      <c r="AD57">
        <v>327.802734375</v>
      </c>
      <c r="AE57">
        <v>340.91485595703125</v>
      </c>
      <c r="AF57">
        <v>354.02694702148438</v>
      </c>
      <c r="AG57">
        <v>367.13906860351563</v>
      </c>
      <c r="AH57">
        <v>380.25115966796875</v>
      </c>
      <c r="AI57">
        <v>393.36328125</v>
      </c>
      <c r="AJ57">
        <v>406.47540283203125</v>
      </c>
      <c r="AK57">
        <v>419.58749389648438</v>
      </c>
      <c r="AL57">
        <v>432.69961547851563</v>
      </c>
      <c r="AM57">
        <v>445.81170654296875</v>
      </c>
      <c r="AN57">
        <v>458.923828125</v>
      </c>
      <c r="AO57">
        <v>472.03591918945313</v>
      </c>
      <c r="AP57">
        <v>485.14804077148438</v>
      </c>
      <c r="AQ57">
        <v>498.26016235351563</v>
      </c>
      <c r="AR57">
        <v>511.37225341796875</v>
      </c>
      <c r="AS57">
        <v>524.484375</v>
      </c>
      <c r="AT57">
        <v>537.59649658203125</v>
      </c>
      <c r="AU57">
        <v>550.7086181640625</v>
      </c>
      <c r="AV57">
        <v>563.8206787109375</v>
      </c>
      <c r="AW57">
        <v>576.93280029296875</v>
      </c>
      <c r="AX57">
        <v>590.044921875</v>
      </c>
      <c r="AY57">
        <v>603.15704345703125</v>
      </c>
      <c r="AZ57">
        <v>616.2691650390625</v>
      </c>
      <c r="BA57">
        <v>629.3812255859375</v>
      </c>
      <c r="BB57">
        <v>642.49334716796875</v>
      </c>
      <c r="BC57">
        <v>655.60546875</v>
      </c>
    </row>
    <row r="58" spans="3:55" x14ac:dyDescent="0.25">
      <c r="D58">
        <v>4000</v>
      </c>
      <c r="E58">
        <v>0</v>
      </c>
      <c r="F58">
        <v>13.066017150878906</v>
      </c>
      <c r="G58">
        <v>26.132034301757813</v>
      </c>
      <c r="H58">
        <v>39.198051452636719</v>
      </c>
      <c r="I58">
        <v>52.264068603515625</v>
      </c>
      <c r="J58">
        <v>65.330085754394531</v>
      </c>
      <c r="K58">
        <v>78.396102905273438</v>
      </c>
      <c r="L58">
        <v>91.462120056152344</v>
      </c>
      <c r="M58">
        <v>104.52813720703125</v>
      </c>
      <c r="N58">
        <v>117.59415435791016</v>
      </c>
      <c r="O58">
        <v>130.66017150878906</v>
      </c>
      <c r="P58">
        <v>143.72618103027344</v>
      </c>
      <c r="Q58">
        <v>156.79220581054688</v>
      </c>
      <c r="R58">
        <v>169.85821533203125</v>
      </c>
      <c r="S58">
        <v>182.92424011230469</v>
      </c>
      <c r="T58">
        <v>195.99024963378906</v>
      </c>
      <c r="U58">
        <v>209.0562744140625</v>
      </c>
      <c r="V58">
        <v>222.12228393554688</v>
      </c>
      <c r="W58">
        <v>235.18830871582031</v>
      </c>
      <c r="X58">
        <v>248.25431823730469</v>
      </c>
      <c r="Y58">
        <v>261.32034301757813</v>
      </c>
      <c r="Z58">
        <v>274.3863525390625</v>
      </c>
      <c r="AA58">
        <v>287.45236206054688</v>
      </c>
      <c r="AB58">
        <v>300.51840209960938</v>
      </c>
      <c r="AC58">
        <v>313.58441162109375</v>
      </c>
      <c r="AD58">
        <v>326.65042114257813</v>
      </c>
      <c r="AE58">
        <v>339.7164306640625</v>
      </c>
      <c r="AF58">
        <v>352.782470703125</v>
      </c>
      <c r="AG58">
        <v>365.84848022460938</v>
      </c>
      <c r="AH58">
        <v>378.91448974609375</v>
      </c>
      <c r="AI58">
        <v>391.98049926757813</v>
      </c>
      <c r="AJ58">
        <v>405.04653930664063</v>
      </c>
      <c r="AK58">
        <v>418.112548828125</v>
      </c>
      <c r="AL58">
        <v>431.17855834960938</v>
      </c>
      <c r="AM58">
        <v>444.24456787109375</v>
      </c>
      <c r="AN58">
        <v>457.31060791015625</v>
      </c>
      <c r="AO58">
        <v>470.37661743164063</v>
      </c>
      <c r="AP58">
        <v>483.442626953125</v>
      </c>
      <c r="AQ58">
        <v>496.50863647460938</v>
      </c>
      <c r="AR58">
        <v>509.57467651367188</v>
      </c>
      <c r="AS58">
        <v>522.64068603515625</v>
      </c>
      <c r="AT58">
        <v>535.70672607421875</v>
      </c>
      <c r="AU58">
        <v>548.772705078125</v>
      </c>
      <c r="AV58">
        <v>561.8387451171875</v>
      </c>
      <c r="AW58">
        <v>574.90472412109375</v>
      </c>
      <c r="AX58">
        <v>587.97076416015625</v>
      </c>
      <c r="AY58">
        <v>601.03680419921875</v>
      </c>
      <c r="AZ58">
        <v>614.102783203125</v>
      </c>
      <c r="BA58">
        <v>627.1688232421875</v>
      </c>
      <c r="BB58">
        <v>640.23486328125</v>
      </c>
      <c r="BC58">
        <v>653.30084228515625</v>
      </c>
    </row>
    <row r="59" spans="3:55" x14ac:dyDescent="0.25">
      <c r="D59">
        <v>5000</v>
      </c>
      <c r="E59">
        <v>0</v>
      </c>
      <c r="F59">
        <v>13.019766807556152</v>
      </c>
      <c r="G59">
        <v>26.039533615112305</v>
      </c>
      <c r="H59">
        <v>39.059299468994141</v>
      </c>
      <c r="I59">
        <v>52.079067230224609</v>
      </c>
      <c r="J59">
        <v>65.098831176757813</v>
      </c>
      <c r="K59">
        <v>78.118598937988281</v>
      </c>
      <c r="L59">
        <v>91.13836669921875</v>
      </c>
      <c r="M59">
        <v>104.15813446044922</v>
      </c>
      <c r="N59">
        <v>117.17790222167969</v>
      </c>
      <c r="O59">
        <v>130.19766235351563</v>
      </c>
      <c r="P59">
        <v>143.21743774414063</v>
      </c>
      <c r="Q59">
        <v>156.23719787597656</v>
      </c>
      <c r="R59">
        <v>169.25697326660156</v>
      </c>
      <c r="S59">
        <v>182.2767333984375</v>
      </c>
      <c r="T59">
        <v>195.2965087890625</v>
      </c>
      <c r="U59">
        <v>208.31626892089844</v>
      </c>
      <c r="V59">
        <v>221.33604431152344</v>
      </c>
      <c r="W59">
        <v>234.35580444335938</v>
      </c>
      <c r="X59">
        <v>247.37556457519531</v>
      </c>
      <c r="Y59">
        <v>260.39532470703125</v>
      </c>
      <c r="Z59">
        <v>273.41510009765625</v>
      </c>
      <c r="AA59">
        <v>286.43487548828125</v>
      </c>
      <c r="AB59">
        <v>299.45465087890625</v>
      </c>
      <c r="AC59">
        <v>312.47439575195313</v>
      </c>
      <c r="AD59">
        <v>325.49417114257813</v>
      </c>
      <c r="AE59">
        <v>338.51394653320313</v>
      </c>
      <c r="AF59">
        <v>351.53369140625</v>
      </c>
      <c r="AG59">
        <v>364.553466796875</v>
      </c>
      <c r="AH59">
        <v>377.5732421875</v>
      </c>
      <c r="AI59">
        <v>390.593017578125</v>
      </c>
      <c r="AJ59">
        <v>403.61276245117188</v>
      </c>
      <c r="AK59">
        <v>416.63253784179688</v>
      </c>
      <c r="AL59">
        <v>429.65231323242188</v>
      </c>
      <c r="AM59">
        <v>442.67208862304688</v>
      </c>
      <c r="AN59">
        <v>455.69183349609375</v>
      </c>
      <c r="AO59">
        <v>468.71160888671875</v>
      </c>
      <c r="AP59">
        <v>481.73138427734375</v>
      </c>
      <c r="AQ59">
        <v>494.75112915039063</v>
      </c>
      <c r="AR59">
        <v>507.77090454101563</v>
      </c>
      <c r="AS59">
        <v>520.7906494140625</v>
      </c>
      <c r="AT59">
        <v>533.8104248046875</v>
      </c>
      <c r="AU59">
        <v>546.8302001953125</v>
      </c>
      <c r="AV59">
        <v>559.8499755859375</v>
      </c>
      <c r="AW59">
        <v>572.8697509765625</v>
      </c>
      <c r="AX59">
        <v>585.8895263671875</v>
      </c>
      <c r="AY59">
        <v>598.9093017578125</v>
      </c>
      <c r="AZ59">
        <v>611.92901611328125</v>
      </c>
      <c r="BA59">
        <v>624.94879150390625</v>
      </c>
      <c r="BB59">
        <v>637.96856689453125</v>
      </c>
      <c r="BC59">
        <v>650.98834228515625</v>
      </c>
    </row>
    <row r="60" spans="3:55" x14ac:dyDescent="0.25">
      <c r="D60">
        <v>6000</v>
      </c>
      <c r="E60">
        <v>0</v>
      </c>
      <c r="F60">
        <v>12.973357200622559</v>
      </c>
      <c r="G60">
        <v>25.946714401245117</v>
      </c>
      <c r="H60">
        <v>38.920070648193359</v>
      </c>
      <c r="I60">
        <v>51.893428802490234</v>
      </c>
      <c r="J60">
        <v>64.866790771484375</v>
      </c>
      <c r="K60">
        <v>77.840141296386719</v>
      </c>
      <c r="L60">
        <v>90.813499450683594</v>
      </c>
      <c r="M60">
        <v>103.78685760498047</v>
      </c>
      <c r="N60">
        <v>116.76021575927734</v>
      </c>
      <c r="O60">
        <v>129.73358154296875</v>
      </c>
      <c r="P60">
        <v>142.70692443847656</v>
      </c>
      <c r="Q60">
        <v>155.68028259277344</v>
      </c>
      <c r="R60">
        <v>168.65364074707031</v>
      </c>
      <c r="S60">
        <v>181.62699890136719</v>
      </c>
      <c r="T60">
        <v>194.60035705566406</v>
      </c>
      <c r="U60">
        <v>207.57371520996094</v>
      </c>
      <c r="V60">
        <v>220.54707336425781</v>
      </c>
      <c r="W60">
        <v>233.52043151855469</v>
      </c>
      <c r="X60">
        <v>246.49378967285156</v>
      </c>
      <c r="Y60">
        <v>259.4671630859375</v>
      </c>
      <c r="Z60">
        <v>272.44049072265625</v>
      </c>
      <c r="AA60">
        <v>285.41384887695313</v>
      </c>
      <c r="AB60">
        <v>298.38720703125</v>
      </c>
      <c r="AC60">
        <v>311.36056518554688</v>
      </c>
      <c r="AD60">
        <v>324.33392333984375</v>
      </c>
      <c r="AE60">
        <v>337.30728149414063</v>
      </c>
      <c r="AF60">
        <v>350.2806396484375</v>
      </c>
      <c r="AG60">
        <v>363.25399780273438</v>
      </c>
      <c r="AH60">
        <v>376.22735595703125</v>
      </c>
      <c r="AI60">
        <v>389.20071411132813</v>
      </c>
      <c r="AJ60">
        <v>402.174072265625</v>
      </c>
      <c r="AK60">
        <v>415.14743041992188</v>
      </c>
      <c r="AL60">
        <v>428.12078857421875</v>
      </c>
      <c r="AM60">
        <v>441.09414672851563</v>
      </c>
      <c r="AN60">
        <v>454.0675048828125</v>
      </c>
      <c r="AO60">
        <v>467.04086303710938</v>
      </c>
      <c r="AP60">
        <v>480.01422119140625</v>
      </c>
      <c r="AQ60">
        <v>492.98757934570313</v>
      </c>
      <c r="AR60">
        <v>505.9609375</v>
      </c>
      <c r="AS60">
        <v>518.934326171875</v>
      </c>
      <c r="AT60">
        <v>531.90765380859375</v>
      </c>
      <c r="AU60">
        <v>544.8809814453125</v>
      </c>
      <c r="AV60">
        <v>557.8543701171875</v>
      </c>
      <c r="AW60">
        <v>570.82769775390625</v>
      </c>
      <c r="AX60">
        <v>583.80108642578125</v>
      </c>
      <c r="AY60">
        <v>596.7744140625</v>
      </c>
      <c r="AZ60">
        <v>609.747802734375</v>
      </c>
      <c r="BA60">
        <v>622.72113037109375</v>
      </c>
      <c r="BB60">
        <v>635.69451904296875</v>
      </c>
      <c r="BC60">
        <v>648.6678466796875</v>
      </c>
    </row>
    <row r="61" spans="3:55" x14ac:dyDescent="0.25">
      <c r="D61">
        <v>7000</v>
      </c>
      <c r="E61">
        <v>0</v>
      </c>
      <c r="F61">
        <v>12.926784515380859</v>
      </c>
      <c r="G61">
        <v>25.853569030761719</v>
      </c>
      <c r="H61">
        <v>38.780353546142578</v>
      </c>
      <c r="I61">
        <v>51.707138061523438</v>
      </c>
      <c r="J61">
        <v>64.633918762207031</v>
      </c>
      <c r="K61">
        <v>77.560707092285156</v>
      </c>
      <c r="L61">
        <v>90.48748779296875</v>
      </c>
      <c r="M61">
        <v>103.41427612304688</v>
      </c>
      <c r="N61">
        <v>116.34105682373047</v>
      </c>
      <c r="O61">
        <v>129.26783752441406</v>
      </c>
      <c r="P61">
        <v>142.19462585449219</v>
      </c>
      <c r="Q61">
        <v>155.12141418457031</v>
      </c>
      <c r="R61">
        <v>168.04818725585938</v>
      </c>
      <c r="S61">
        <v>180.9749755859375</v>
      </c>
      <c r="T61">
        <v>193.90176391601563</v>
      </c>
      <c r="U61">
        <v>206.82855224609375</v>
      </c>
      <c r="V61">
        <v>219.75532531738281</v>
      </c>
      <c r="W61">
        <v>232.68211364746094</v>
      </c>
      <c r="X61">
        <v>245.60890197753906</v>
      </c>
      <c r="Y61">
        <v>258.53567504882813</v>
      </c>
      <c r="Z61">
        <v>271.46246337890625</v>
      </c>
      <c r="AA61">
        <v>284.38925170898438</v>
      </c>
      <c r="AB61">
        <v>297.3160400390625</v>
      </c>
      <c r="AC61">
        <v>310.24282836914063</v>
      </c>
      <c r="AD61">
        <v>323.16961669921875</v>
      </c>
      <c r="AE61">
        <v>336.09637451171875</v>
      </c>
      <c r="AF61">
        <v>349.02316284179688</v>
      </c>
      <c r="AG61">
        <v>361.949951171875</v>
      </c>
      <c r="AH61">
        <v>374.87673950195313</v>
      </c>
      <c r="AI61">
        <v>387.80352783203125</v>
      </c>
      <c r="AJ61">
        <v>400.73031616210938</v>
      </c>
      <c r="AK61">
        <v>413.6571044921875</v>
      </c>
      <c r="AL61">
        <v>426.58389282226563</v>
      </c>
      <c r="AM61">
        <v>439.51065063476563</v>
      </c>
      <c r="AN61">
        <v>452.43743896484375</v>
      </c>
      <c r="AO61">
        <v>465.36422729492188</v>
      </c>
      <c r="AP61">
        <v>478.291015625</v>
      </c>
      <c r="AQ61">
        <v>491.21780395507813</v>
      </c>
      <c r="AR61">
        <v>504.14459228515625</v>
      </c>
      <c r="AS61">
        <v>517.07135009765625</v>
      </c>
      <c r="AT61">
        <v>529.9981689453125</v>
      </c>
      <c r="AU61">
        <v>542.9249267578125</v>
      </c>
      <c r="AV61">
        <v>555.85174560546875</v>
      </c>
      <c r="AW61">
        <v>568.77850341796875</v>
      </c>
      <c r="AX61">
        <v>581.70526123046875</v>
      </c>
      <c r="AY61">
        <v>594.632080078125</v>
      </c>
      <c r="AZ61">
        <v>607.558837890625</v>
      </c>
      <c r="BA61">
        <v>620.48565673828125</v>
      </c>
      <c r="BB61">
        <v>633.41241455078125</v>
      </c>
      <c r="BC61">
        <v>646.3392333984375</v>
      </c>
    </row>
    <row r="62" spans="3:55" x14ac:dyDescent="0.25">
      <c r="D62">
        <v>8000</v>
      </c>
      <c r="E62">
        <v>0</v>
      </c>
      <c r="F62">
        <v>12.880046844482422</v>
      </c>
      <c r="G62">
        <v>25.760093688964844</v>
      </c>
      <c r="H62">
        <v>38.640140533447266</v>
      </c>
      <c r="I62">
        <v>51.520187377929688</v>
      </c>
      <c r="J62">
        <v>64.400238037109375</v>
      </c>
      <c r="K62">
        <v>77.280281066894531</v>
      </c>
      <c r="L62">
        <v>90.160331726074219</v>
      </c>
      <c r="M62">
        <v>103.04037475585938</v>
      </c>
      <c r="N62">
        <v>115.92042541503906</v>
      </c>
      <c r="O62">
        <v>128.80047607421875</v>
      </c>
      <c r="P62">
        <v>141.68052673339844</v>
      </c>
      <c r="Q62">
        <v>154.56056213378906</v>
      </c>
      <c r="R62">
        <v>167.44061279296875</v>
      </c>
      <c r="S62">
        <v>180.32066345214844</v>
      </c>
      <c r="T62">
        <v>193.20071411132813</v>
      </c>
      <c r="U62">
        <v>206.08074951171875</v>
      </c>
      <c r="V62">
        <v>218.96080017089844</v>
      </c>
      <c r="W62">
        <v>231.84085083007813</v>
      </c>
      <c r="X62">
        <v>244.72090148925781</v>
      </c>
      <c r="Y62">
        <v>257.6009521484375</v>
      </c>
      <c r="Z62">
        <v>270.48098754882813</v>
      </c>
      <c r="AA62">
        <v>283.36105346679688</v>
      </c>
      <c r="AB62">
        <v>296.2410888671875</v>
      </c>
      <c r="AC62">
        <v>309.12112426757813</v>
      </c>
      <c r="AD62">
        <v>322.00119018554688</v>
      </c>
      <c r="AE62">
        <v>334.8812255859375</v>
      </c>
      <c r="AF62">
        <v>347.76129150390625</v>
      </c>
      <c r="AG62">
        <v>360.64132690429688</v>
      </c>
      <c r="AH62">
        <v>373.5213623046875</v>
      </c>
      <c r="AI62">
        <v>386.40142822265625</v>
      </c>
      <c r="AJ62">
        <v>399.28146362304688</v>
      </c>
      <c r="AK62">
        <v>412.1614990234375</v>
      </c>
      <c r="AL62">
        <v>425.04156494140625</v>
      </c>
      <c r="AM62">
        <v>437.92160034179688</v>
      </c>
      <c r="AN62">
        <v>450.80166625976563</v>
      </c>
      <c r="AO62">
        <v>463.68170166015625</v>
      </c>
      <c r="AP62">
        <v>476.56173706054688</v>
      </c>
      <c r="AQ62">
        <v>489.44180297851563</v>
      </c>
      <c r="AR62">
        <v>502.32183837890625</v>
      </c>
      <c r="AS62">
        <v>515.201904296875</v>
      </c>
      <c r="AT62">
        <v>528.08197021484375</v>
      </c>
      <c r="AU62">
        <v>540.96197509765625</v>
      </c>
      <c r="AV62">
        <v>553.842041015625</v>
      </c>
      <c r="AW62">
        <v>566.72210693359375</v>
      </c>
      <c r="AX62">
        <v>579.60211181640625</v>
      </c>
      <c r="AY62">
        <v>592.482177734375</v>
      </c>
      <c r="AZ62">
        <v>605.36224365234375</v>
      </c>
      <c r="BA62">
        <v>618.24224853515625</v>
      </c>
      <c r="BB62">
        <v>631.122314453125</v>
      </c>
      <c r="BC62">
        <v>644.00238037109375</v>
      </c>
    </row>
    <row r="63" spans="3:55" x14ac:dyDescent="0.25">
      <c r="D63">
        <v>9000</v>
      </c>
      <c r="E63">
        <v>0</v>
      </c>
      <c r="F63">
        <v>12.833145141601563</v>
      </c>
      <c r="G63">
        <v>25.666290283203125</v>
      </c>
      <c r="H63">
        <v>38.499435424804688</v>
      </c>
      <c r="I63">
        <v>51.33258056640625</v>
      </c>
      <c r="J63">
        <v>64.165725708007813</v>
      </c>
      <c r="K63">
        <v>76.998870849609375</v>
      </c>
      <c r="L63">
        <v>89.832015991210938</v>
      </c>
      <c r="M63">
        <v>102.6651611328125</v>
      </c>
      <c r="N63">
        <v>115.49830627441406</v>
      </c>
      <c r="O63">
        <v>128.33145141601563</v>
      </c>
      <c r="P63">
        <v>141.16459655761719</v>
      </c>
      <c r="Q63">
        <v>153.99774169921875</v>
      </c>
      <c r="R63">
        <v>166.83088684082031</v>
      </c>
      <c r="S63">
        <v>179.66403198242188</v>
      </c>
      <c r="T63">
        <v>192.49717712402344</v>
      </c>
      <c r="U63">
        <v>205.330322265625</v>
      </c>
      <c r="V63">
        <v>218.16346740722656</v>
      </c>
      <c r="W63">
        <v>230.99661254882813</v>
      </c>
      <c r="X63">
        <v>243.82975769042969</v>
      </c>
      <c r="Y63">
        <v>256.66290283203125</v>
      </c>
      <c r="Z63">
        <v>269.49606323242188</v>
      </c>
      <c r="AA63">
        <v>282.32919311523438</v>
      </c>
      <c r="AB63">
        <v>295.162353515625</v>
      </c>
      <c r="AC63">
        <v>307.9954833984375</v>
      </c>
      <c r="AD63">
        <v>320.82864379882813</v>
      </c>
      <c r="AE63">
        <v>333.66177368164063</v>
      </c>
      <c r="AF63">
        <v>346.49493408203125</v>
      </c>
      <c r="AG63">
        <v>359.32806396484375</v>
      </c>
      <c r="AH63">
        <v>372.16122436523438</v>
      </c>
      <c r="AI63">
        <v>384.99435424804688</v>
      </c>
      <c r="AJ63">
        <v>397.8275146484375</v>
      </c>
      <c r="AK63">
        <v>410.66064453125</v>
      </c>
      <c r="AL63">
        <v>423.49380493164063</v>
      </c>
      <c r="AM63">
        <v>436.32693481445313</v>
      </c>
      <c r="AN63">
        <v>449.16009521484375</v>
      </c>
      <c r="AO63">
        <v>461.99322509765625</v>
      </c>
      <c r="AP63">
        <v>474.82638549804688</v>
      </c>
      <c r="AQ63">
        <v>487.65951538085938</v>
      </c>
      <c r="AR63">
        <v>500.49267578125</v>
      </c>
      <c r="AS63">
        <v>513.3258056640625</v>
      </c>
      <c r="AT63">
        <v>526.158935546875</v>
      </c>
      <c r="AU63">
        <v>538.99212646484375</v>
      </c>
      <c r="AV63">
        <v>551.82525634765625</v>
      </c>
      <c r="AW63">
        <v>564.65838623046875</v>
      </c>
      <c r="AX63">
        <v>577.49151611328125</v>
      </c>
      <c r="AY63">
        <v>590.32470703125</v>
      </c>
      <c r="AZ63">
        <v>603.1578369140625</v>
      </c>
      <c r="BA63">
        <v>615.990966796875</v>
      </c>
      <c r="BB63">
        <v>628.8240966796875</v>
      </c>
      <c r="BC63">
        <v>641.65728759765625</v>
      </c>
    </row>
    <row r="64" spans="3:55" x14ac:dyDescent="0.25">
      <c r="D64">
        <v>10000</v>
      </c>
      <c r="E64">
        <v>0</v>
      </c>
      <c r="F64">
        <v>12.786075592041016</v>
      </c>
      <c r="G64">
        <v>25.572151184082031</v>
      </c>
      <c r="H64">
        <v>38.358226776123047</v>
      </c>
      <c r="I64">
        <v>51.144302368164063</v>
      </c>
      <c r="J64">
        <v>63.930374145507813</v>
      </c>
      <c r="K64">
        <v>76.716453552246094</v>
      </c>
      <c r="L64">
        <v>89.502525329589844</v>
      </c>
      <c r="M64">
        <v>102.28860473632813</v>
      </c>
      <c r="N64">
        <v>115.07467651367188</v>
      </c>
      <c r="O64">
        <v>127.86074829101563</v>
      </c>
      <c r="P64">
        <v>140.64682006835938</v>
      </c>
      <c r="Q64">
        <v>153.43290710449219</v>
      </c>
      <c r="R64">
        <v>166.21897888183594</v>
      </c>
      <c r="S64">
        <v>179.00505065917969</v>
      </c>
      <c r="T64">
        <v>191.79112243652344</v>
      </c>
      <c r="U64">
        <v>204.57720947265625</v>
      </c>
      <c r="V64">
        <v>217.36328125</v>
      </c>
      <c r="W64">
        <v>230.14935302734375</v>
      </c>
      <c r="X64">
        <v>242.9354248046875</v>
      </c>
      <c r="Y64">
        <v>255.72149658203125</v>
      </c>
      <c r="Z64">
        <v>268.507568359375</v>
      </c>
      <c r="AA64">
        <v>281.29364013671875</v>
      </c>
      <c r="AB64">
        <v>294.07974243164063</v>
      </c>
      <c r="AC64">
        <v>306.86581420898438</v>
      </c>
      <c r="AD64">
        <v>319.65188598632813</v>
      </c>
      <c r="AE64">
        <v>332.43795776367188</v>
      </c>
      <c r="AF64">
        <v>345.22402954101563</v>
      </c>
      <c r="AG64">
        <v>358.01010131835938</v>
      </c>
      <c r="AH64">
        <v>370.79617309570313</v>
      </c>
      <c r="AI64">
        <v>383.58224487304688</v>
      </c>
      <c r="AJ64">
        <v>396.36831665039063</v>
      </c>
      <c r="AK64">
        <v>409.1544189453125</v>
      </c>
      <c r="AL64">
        <v>421.94049072265625</v>
      </c>
      <c r="AM64">
        <v>434.7265625</v>
      </c>
      <c r="AN64">
        <v>447.51263427734375</v>
      </c>
      <c r="AO64">
        <v>460.2987060546875</v>
      </c>
      <c r="AP64">
        <v>473.08477783203125</v>
      </c>
      <c r="AQ64">
        <v>485.870849609375</v>
      </c>
      <c r="AR64">
        <v>498.65692138671875</v>
      </c>
      <c r="AS64">
        <v>511.4429931640625</v>
      </c>
      <c r="AT64">
        <v>524.22906494140625</v>
      </c>
      <c r="AU64">
        <v>537.01513671875</v>
      </c>
      <c r="AV64">
        <v>549.80120849609375</v>
      </c>
      <c r="AW64">
        <v>562.5872802734375</v>
      </c>
      <c r="AX64">
        <v>575.3734130859375</v>
      </c>
      <c r="AY64">
        <v>588.15948486328125</v>
      </c>
      <c r="AZ64">
        <v>600.945556640625</v>
      </c>
      <c r="BA64">
        <v>613.73162841796875</v>
      </c>
      <c r="BB64">
        <v>626.5177001953125</v>
      </c>
      <c r="BC64">
        <v>639.30377197265625</v>
      </c>
    </row>
    <row r="65" spans="4:55" x14ac:dyDescent="0.25">
      <c r="D65">
        <v>11000</v>
      </c>
      <c r="E65">
        <v>0</v>
      </c>
      <c r="F65">
        <v>12.738835334777832</v>
      </c>
      <c r="G65">
        <v>25.477670669555664</v>
      </c>
      <c r="H65">
        <v>38.216506958007813</v>
      </c>
      <c r="I65">
        <v>50.955341339111328</v>
      </c>
      <c r="J65">
        <v>63.694179534912109</v>
      </c>
      <c r="K65">
        <v>76.433013916015625</v>
      </c>
      <c r="L65">
        <v>89.171852111816406</v>
      </c>
      <c r="M65">
        <v>101.91068267822266</v>
      </c>
      <c r="N65">
        <v>114.64952087402344</v>
      </c>
      <c r="O65">
        <v>127.38835906982422</v>
      </c>
      <c r="P65">
        <v>140.127197265625</v>
      </c>
      <c r="Q65">
        <v>152.86602783203125</v>
      </c>
      <c r="R65">
        <v>165.6048583984375</v>
      </c>
      <c r="S65">
        <v>178.34370422363281</v>
      </c>
      <c r="T65">
        <v>191.08253479003906</v>
      </c>
      <c r="U65">
        <v>203.82136535644531</v>
      </c>
      <c r="V65">
        <v>216.56021118164063</v>
      </c>
      <c r="W65">
        <v>229.29904174804688</v>
      </c>
      <c r="X65">
        <v>242.03787231445313</v>
      </c>
      <c r="Y65">
        <v>254.77671813964844</v>
      </c>
      <c r="Z65">
        <v>267.51553344726563</v>
      </c>
      <c r="AA65">
        <v>280.25439453125</v>
      </c>
      <c r="AB65">
        <v>292.99322509765625</v>
      </c>
      <c r="AC65">
        <v>305.7320556640625</v>
      </c>
      <c r="AD65">
        <v>318.47088623046875</v>
      </c>
      <c r="AE65">
        <v>331.209716796875</v>
      </c>
      <c r="AF65">
        <v>343.94854736328125</v>
      </c>
      <c r="AG65">
        <v>356.68740844726563</v>
      </c>
      <c r="AH65">
        <v>369.42623901367188</v>
      </c>
      <c r="AI65">
        <v>382.16506958007813</v>
      </c>
      <c r="AJ65">
        <v>394.90390014648438</v>
      </c>
      <c r="AK65">
        <v>407.64273071289063</v>
      </c>
      <c r="AL65">
        <v>420.38156127929688</v>
      </c>
      <c r="AM65">
        <v>433.12042236328125</v>
      </c>
      <c r="AN65">
        <v>445.8592529296875</v>
      </c>
      <c r="AO65">
        <v>458.59808349609375</v>
      </c>
      <c r="AP65">
        <v>471.3369140625</v>
      </c>
      <c r="AQ65">
        <v>484.07574462890625</v>
      </c>
      <c r="AR65">
        <v>496.8145751953125</v>
      </c>
      <c r="AS65">
        <v>509.55343627929688</v>
      </c>
      <c r="AT65">
        <v>522.292236328125</v>
      </c>
      <c r="AU65">
        <v>535.03106689453125</v>
      </c>
      <c r="AV65">
        <v>547.76995849609375</v>
      </c>
      <c r="AW65">
        <v>560.5087890625</v>
      </c>
      <c r="AX65">
        <v>573.24761962890625</v>
      </c>
      <c r="AY65">
        <v>585.9864501953125</v>
      </c>
      <c r="AZ65">
        <v>598.72528076171875</v>
      </c>
      <c r="BA65">
        <v>611.464111328125</v>
      </c>
      <c r="BB65">
        <v>624.20294189453125</v>
      </c>
      <c r="BC65">
        <v>636.9417724609375</v>
      </c>
    </row>
    <row r="66" spans="4:55" x14ac:dyDescent="0.25">
      <c r="D66">
        <v>12000</v>
      </c>
      <c r="E66">
        <v>0</v>
      </c>
      <c r="F66">
        <v>12.691425323486328</v>
      </c>
      <c r="G66">
        <v>25.382850646972656</v>
      </c>
      <c r="H66">
        <v>38.074275970458984</v>
      </c>
      <c r="I66">
        <v>50.765701293945313</v>
      </c>
      <c r="J66">
        <v>63.457126617431641</v>
      </c>
      <c r="K66">
        <v>76.148551940917969</v>
      </c>
      <c r="L66">
        <v>88.839973449707031</v>
      </c>
      <c r="M66">
        <v>101.53140258789063</v>
      </c>
      <c r="N66">
        <v>114.22282409667969</v>
      </c>
      <c r="O66">
        <v>126.91425323486328</v>
      </c>
      <c r="P66">
        <v>139.60568237304688</v>
      </c>
      <c r="Q66">
        <v>152.29710388183594</v>
      </c>
      <c r="R66">
        <v>164.988525390625</v>
      </c>
      <c r="S66">
        <v>177.67994689941406</v>
      </c>
      <c r="T66">
        <v>190.37138366699219</v>
      </c>
      <c r="U66">
        <v>203.06280517578125</v>
      </c>
      <c r="V66">
        <v>215.75422668457031</v>
      </c>
      <c r="W66">
        <v>228.44564819335938</v>
      </c>
      <c r="X66">
        <v>241.13706970214844</v>
      </c>
      <c r="Y66">
        <v>253.82850646972656</v>
      </c>
      <c r="Z66">
        <v>266.51992797851563</v>
      </c>
      <c r="AA66">
        <v>279.21136474609375</v>
      </c>
      <c r="AB66">
        <v>291.90277099609375</v>
      </c>
      <c r="AC66">
        <v>304.59420776367188</v>
      </c>
      <c r="AD66">
        <v>317.28561401367188</v>
      </c>
      <c r="AE66">
        <v>329.97705078125</v>
      </c>
      <c r="AF66">
        <v>342.66848754882813</v>
      </c>
      <c r="AG66">
        <v>355.35989379882813</v>
      </c>
      <c r="AH66">
        <v>368.05133056640625</v>
      </c>
      <c r="AI66">
        <v>380.74276733398438</v>
      </c>
      <c r="AJ66">
        <v>393.43417358398438</v>
      </c>
      <c r="AK66">
        <v>406.1256103515625</v>
      </c>
      <c r="AL66">
        <v>418.8170166015625</v>
      </c>
      <c r="AM66">
        <v>431.50845336914063</v>
      </c>
      <c r="AN66">
        <v>444.19989013671875</v>
      </c>
      <c r="AO66">
        <v>456.89129638671875</v>
      </c>
      <c r="AP66">
        <v>469.58273315429688</v>
      </c>
      <c r="AQ66">
        <v>482.27413940429688</v>
      </c>
      <c r="AR66">
        <v>494.965576171875</v>
      </c>
      <c r="AS66">
        <v>507.65701293945313</v>
      </c>
      <c r="AT66">
        <v>520.34844970703125</v>
      </c>
      <c r="AU66">
        <v>533.03985595703125</v>
      </c>
      <c r="AV66">
        <v>545.73126220703125</v>
      </c>
      <c r="AW66">
        <v>558.4227294921875</v>
      </c>
      <c r="AX66">
        <v>571.1141357421875</v>
      </c>
      <c r="AY66">
        <v>583.8055419921875</v>
      </c>
      <c r="AZ66">
        <v>596.49700927734375</v>
      </c>
      <c r="BA66">
        <v>609.18841552734375</v>
      </c>
      <c r="BB66">
        <v>621.87982177734375</v>
      </c>
      <c r="BC66">
        <v>634.57122802734375</v>
      </c>
    </row>
    <row r="67" spans="4:55" x14ac:dyDescent="0.25">
      <c r="D67">
        <v>13000</v>
      </c>
      <c r="E67">
        <v>0</v>
      </c>
      <c r="F67">
        <v>12.643840789794922</v>
      </c>
      <c r="G67">
        <v>25.287681579589844</v>
      </c>
      <c r="H67">
        <v>37.931522369384766</v>
      </c>
      <c r="I67">
        <v>50.575363159179688</v>
      </c>
      <c r="J67">
        <v>63.219203948974609</v>
      </c>
      <c r="K67">
        <v>75.863044738769531</v>
      </c>
      <c r="L67">
        <v>88.506881713867188</v>
      </c>
      <c r="M67">
        <v>101.15072631835938</v>
      </c>
      <c r="N67">
        <v>113.79456329345703</v>
      </c>
      <c r="O67">
        <v>126.43840789794922</v>
      </c>
      <c r="P67">
        <v>139.08224487304688</v>
      </c>
      <c r="Q67">
        <v>151.72608947753906</v>
      </c>
      <c r="R67">
        <v>164.36993408203125</v>
      </c>
      <c r="S67">
        <v>177.01376342773438</v>
      </c>
      <c r="T67">
        <v>189.65760803222656</v>
      </c>
      <c r="U67">
        <v>202.30145263671875</v>
      </c>
      <c r="V67">
        <v>214.94529724121094</v>
      </c>
      <c r="W67">
        <v>227.58912658691406</v>
      </c>
      <c r="X67">
        <v>240.23297119140625</v>
      </c>
      <c r="Y67">
        <v>252.87681579589844</v>
      </c>
      <c r="Z67">
        <v>265.52066040039063</v>
      </c>
      <c r="AA67">
        <v>278.16448974609375</v>
      </c>
      <c r="AB67">
        <v>290.808349609375</v>
      </c>
      <c r="AC67">
        <v>303.45217895507813</v>
      </c>
      <c r="AD67">
        <v>316.09600830078125</v>
      </c>
      <c r="AE67">
        <v>328.7398681640625</v>
      </c>
      <c r="AF67">
        <v>341.38369750976563</v>
      </c>
      <c r="AG67">
        <v>354.02752685546875</v>
      </c>
      <c r="AH67">
        <v>366.67138671875</v>
      </c>
      <c r="AI67">
        <v>379.31521606445313</v>
      </c>
      <c r="AJ67">
        <v>391.95907592773438</v>
      </c>
      <c r="AK67">
        <v>404.6029052734375</v>
      </c>
      <c r="AL67">
        <v>417.24673461914063</v>
      </c>
      <c r="AM67">
        <v>429.89059448242188</v>
      </c>
      <c r="AN67">
        <v>442.534423828125</v>
      </c>
      <c r="AO67">
        <v>455.17825317382813</v>
      </c>
      <c r="AP67">
        <v>467.82211303710938</v>
      </c>
      <c r="AQ67">
        <v>480.4659423828125</v>
      </c>
      <c r="AR67">
        <v>493.10980224609375</v>
      </c>
      <c r="AS67">
        <v>505.75363159179688</v>
      </c>
      <c r="AT67">
        <v>518.3974609375</v>
      </c>
      <c r="AU67">
        <v>531.04132080078125</v>
      </c>
      <c r="AV67">
        <v>543.6851806640625</v>
      </c>
      <c r="AW67">
        <v>556.3289794921875</v>
      </c>
      <c r="AX67">
        <v>568.97283935546875</v>
      </c>
      <c r="AY67">
        <v>581.61669921875</v>
      </c>
      <c r="AZ67">
        <v>594.260498046875</v>
      </c>
      <c r="BA67">
        <v>606.90435791015625</v>
      </c>
      <c r="BB67">
        <v>619.5482177734375</v>
      </c>
      <c r="BC67">
        <v>632.1920166015625</v>
      </c>
    </row>
    <row r="68" spans="4:55" x14ac:dyDescent="0.25">
      <c r="D68">
        <v>14000</v>
      </c>
      <c r="E68">
        <v>0</v>
      </c>
      <c r="F68">
        <v>12.59608268737793</v>
      </c>
      <c r="G68">
        <v>25.192165374755859</v>
      </c>
      <c r="H68">
        <v>37.788246154785156</v>
      </c>
      <c r="I68">
        <v>50.384330749511719</v>
      </c>
      <c r="J68">
        <v>62.980411529541016</v>
      </c>
      <c r="K68">
        <v>75.576492309570313</v>
      </c>
      <c r="L68">
        <v>88.172576904296875</v>
      </c>
      <c r="M68">
        <v>100.76866149902344</v>
      </c>
      <c r="N68">
        <v>113.36474609375</v>
      </c>
      <c r="O68">
        <v>125.96082305908203</v>
      </c>
      <c r="P68">
        <v>138.55691528320313</v>
      </c>
      <c r="Q68">
        <v>151.15298461914063</v>
      </c>
      <c r="R68">
        <v>163.74906921386719</v>
      </c>
      <c r="S68">
        <v>176.34515380859375</v>
      </c>
      <c r="T68">
        <v>188.94123840332031</v>
      </c>
      <c r="U68">
        <v>201.53732299804688</v>
      </c>
      <c r="V68">
        <v>214.13340759277344</v>
      </c>
      <c r="W68">
        <v>226.7294921875</v>
      </c>
      <c r="X68">
        <v>239.3255615234375</v>
      </c>
      <c r="Y68">
        <v>251.92164611816406</v>
      </c>
      <c r="Z68">
        <v>264.51773071289063</v>
      </c>
      <c r="AA68">
        <v>277.11383056640625</v>
      </c>
      <c r="AB68">
        <v>289.70989990234375</v>
      </c>
      <c r="AC68">
        <v>302.30596923828125</v>
      </c>
      <c r="AD68">
        <v>314.90206909179688</v>
      </c>
      <c r="AE68">
        <v>327.49813842773438</v>
      </c>
      <c r="AF68">
        <v>340.09423828125</v>
      </c>
      <c r="AG68">
        <v>352.6903076171875</v>
      </c>
      <c r="AH68">
        <v>365.28640747070313</v>
      </c>
      <c r="AI68">
        <v>377.88247680664063</v>
      </c>
      <c r="AJ68">
        <v>390.47854614257813</v>
      </c>
      <c r="AK68">
        <v>403.07464599609375</v>
      </c>
      <c r="AL68">
        <v>415.67071533203125</v>
      </c>
      <c r="AM68">
        <v>428.26681518554688</v>
      </c>
      <c r="AN68">
        <v>440.86288452148438</v>
      </c>
      <c r="AO68">
        <v>453.458984375</v>
      </c>
      <c r="AP68">
        <v>466.0550537109375</v>
      </c>
      <c r="AQ68">
        <v>478.651123046875</v>
      </c>
      <c r="AR68">
        <v>491.24722290039063</v>
      </c>
      <c r="AS68">
        <v>503.84329223632813</v>
      </c>
      <c r="AT68">
        <v>516.43939208984375</v>
      </c>
      <c r="AU68">
        <v>529.03546142578125</v>
      </c>
      <c r="AV68">
        <v>541.63153076171875</v>
      </c>
      <c r="AW68">
        <v>554.2276611328125</v>
      </c>
      <c r="AX68">
        <v>566.82373046875</v>
      </c>
      <c r="AY68">
        <v>579.4197998046875</v>
      </c>
      <c r="AZ68">
        <v>592.015869140625</v>
      </c>
      <c r="BA68">
        <v>604.6119384765625</v>
      </c>
      <c r="BB68">
        <v>617.20806884765625</v>
      </c>
      <c r="BC68">
        <v>629.80413818359375</v>
      </c>
    </row>
    <row r="69" spans="4:55" x14ac:dyDescent="0.25">
      <c r="D69">
        <v>15000</v>
      </c>
      <c r="E69">
        <v>0</v>
      </c>
      <c r="F69">
        <v>12.54814624786377</v>
      </c>
      <c r="G69">
        <v>25.096292495727539</v>
      </c>
      <c r="H69">
        <v>37.644439697265625</v>
      </c>
      <c r="I69">
        <v>50.192584991455078</v>
      </c>
      <c r="J69">
        <v>62.740730285644531</v>
      </c>
      <c r="K69">
        <v>75.28887939453125</v>
      </c>
      <c r="L69">
        <v>87.837020874023438</v>
      </c>
      <c r="M69">
        <v>100.38516998291016</v>
      </c>
      <c r="N69">
        <v>112.93331146240234</v>
      </c>
      <c r="O69">
        <v>125.48146057128906</v>
      </c>
      <c r="P69">
        <v>138.02960205078125</v>
      </c>
      <c r="Q69">
        <v>150.5777587890625</v>
      </c>
      <c r="R69">
        <v>163.12590026855469</v>
      </c>
      <c r="S69">
        <v>175.67404174804688</v>
      </c>
      <c r="T69">
        <v>188.22219848632813</v>
      </c>
      <c r="U69">
        <v>200.77033996582031</v>
      </c>
      <c r="V69">
        <v>213.3184814453125</v>
      </c>
      <c r="W69">
        <v>225.86662292480469</v>
      </c>
      <c r="X69">
        <v>238.41477966308594</v>
      </c>
      <c r="Y69">
        <v>250.96292114257813</v>
      </c>
      <c r="Z69">
        <v>263.51107788085938</v>
      </c>
      <c r="AA69">
        <v>276.0592041015625</v>
      </c>
      <c r="AB69">
        <v>288.60736083984375</v>
      </c>
      <c r="AC69">
        <v>301.155517578125</v>
      </c>
      <c r="AD69">
        <v>313.70364379882813</v>
      </c>
      <c r="AE69">
        <v>326.25180053710938</v>
      </c>
      <c r="AF69">
        <v>338.79995727539063</v>
      </c>
      <c r="AG69">
        <v>351.34808349609375</v>
      </c>
      <c r="AH69">
        <v>363.896240234375</v>
      </c>
      <c r="AI69">
        <v>376.44439697265625</v>
      </c>
      <c r="AJ69">
        <v>388.99252319335938</v>
      </c>
      <c r="AK69">
        <v>401.54067993164063</v>
      </c>
      <c r="AL69">
        <v>414.08883666992188</v>
      </c>
      <c r="AM69">
        <v>426.636962890625</v>
      </c>
      <c r="AN69">
        <v>439.18511962890625</v>
      </c>
      <c r="AO69">
        <v>451.73324584960938</v>
      </c>
      <c r="AP69">
        <v>464.28140258789063</v>
      </c>
      <c r="AQ69">
        <v>476.82955932617188</v>
      </c>
      <c r="AR69">
        <v>489.377685546875</v>
      </c>
      <c r="AS69">
        <v>501.92584228515625</v>
      </c>
      <c r="AT69">
        <v>514.4739990234375</v>
      </c>
      <c r="AU69">
        <v>527.02215576171875</v>
      </c>
      <c r="AV69">
        <v>539.5703125</v>
      </c>
      <c r="AW69">
        <v>552.118408203125</v>
      </c>
      <c r="AX69">
        <v>564.66656494140625</v>
      </c>
      <c r="AY69">
        <v>577.2147216796875</v>
      </c>
      <c r="AZ69">
        <v>589.76287841796875</v>
      </c>
      <c r="BA69">
        <v>602.31103515625</v>
      </c>
      <c r="BB69">
        <v>614.859130859375</v>
      </c>
      <c r="BC69">
        <v>627.40728759765625</v>
      </c>
    </row>
    <row r="70" spans="4:55" x14ac:dyDescent="0.25">
      <c r="D70">
        <v>16000</v>
      </c>
      <c r="E70">
        <v>0</v>
      </c>
      <c r="F70">
        <v>12.500030517578125</v>
      </c>
      <c r="G70">
        <v>25.00006103515625</v>
      </c>
      <c r="H70">
        <v>37.500091552734375</v>
      </c>
      <c r="I70">
        <v>50.0001220703125</v>
      </c>
      <c r="J70">
        <v>62.500148773193359</v>
      </c>
      <c r="K70">
        <v>75.00018310546875</v>
      </c>
      <c r="L70">
        <v>87.500213623046875</v>
      </c>
      <c r="M70">
        <v>100.000244140625</v>
      </c>
      <c r="N70">
        <v>112.50027465820313</v>
      </c>
      <c r="O70">
        <v>125.00029754638672</v>
      </c>
      <c r="P70">
        <v>137.50033569335938</v>
      </c>
      <c r="Q70">
        <v>150.0003662109375</v>
      </c>
      <c r="R70">
        <v>162.50039672851563</v>
      </c>
      <c r="S70">
        <v>175.00042724609375</v>
      </c>
      <c r="T70">
        <v>187.50045776367188</v>
      </c>
      <c r="U70">
        <v>200.00048828125</v>
      </c>
      <c r="V70">
        <v>212.50051879882813</v>
      </c>
      <c r="W70">
        <v>225.00054931640625</v>
      </c>
      <c r="X70">
        <v>237.50056457519531</v>
      </c>
      <c r="Y70">
        <v>250.00059509277344</v>
      </c>
      <c r="Z70">
        <v>262.50064086914063</v>
      </c>
      <c r="AA70">
        <v>275.00067138671875</v>
      </c>
      <c r="AB70">
        <v>287.50070190429688</v>
      </c>
      <c r="AC70">
        <v>300.000732421875</v>
      </c>
      <c r="AD70">
        <v>312.50076293945313</v>
      </c>
      <c r="AE70">
        <v>325.00079345703125</v>
      </c>
      <c r="AF70">
        <v>337.50082397460938</v>
      </c>
      <c r="AG70">
        <v>350.0008544921875</v>
      </c>
      <c r="AH70">
        <v>362.50088500976563</v>
      </c>
      <c r="AI70">
        <v>375.00091552734375</v>
      </c>
      <c r="AJ70">
        <v>387.50094604492188</v>
      </c>
      <c r="AK70">
        <v>400.0009765625</v>
      </c>
      <c r="AL70">
        <v>412.50100708007813</v>
      </c>
      <c r="AM70">
        <v>425.00103759765625</v>
      </c>
      <c r="AN70">
        <v>437.50106811523438</v>
      </c>
      <c r="AO70">
        <v>450.0010986328125</v>
      </c>
      <c r="AP70">
        <v>462.5010986328125</v>
      </c>
      <c r="AQ70">
        <v>475.00112915039063</v>
      </c>
      <c r="AR70">
        <v>487.50115966796875</v>
      </c>
      <c r="AS70">
        <v>500.00119018554688</v>
      </c>
      <c r="AT70">
        <v>512.501220703125</v>
      </c>
      <c r="AU70">
        <v>525.00128173828125</v>
      </c>
      <c r="AV70">
        <v>537.50128173828125</v>
      </c>
      <c r="AW70">
        <v>550.0013427734375</v>
      </c>
      <c r="AX70">
        <v>562.5013427734375</v>
      </c>
      <c r="AY70">
        <v>575.00140380859375</v>
      </c>
      <c r="AZ70">
        <v>587.50140380859375</v>
      </c>
      <c r="BA70">
        <v>600.00146484375</v>
      </c>
      <c r="BB70">
        <v>612.50146484375</v>
      </c>
      <c r="BC70">
        <v>625.00152587890625</v>
      </c>
    </row>
    <row r="71" spans="4:55" x14ac:dyDescent="0.25">
      <c r="D71">
        <v>17000</v>
      </c>
      <c r="E71">
        <v>0</v>
      </c>
      <c r="F71">
        <v>12.45173454284668</v>
      </c>
      <c r="G71">
        <v>24.903469085693359</v>
      </c>
      <c r="H71">
        <v>37.355201721191406</v>
      </c>
      <c r="I71">
        <v>49.806938171386719</v>
      </c>
      <c r="J71">
        <v>62.258670806884766</v>
      </c>
      <c r="K71">
        <v>74.710403442382813</v>
      </c>
      <c r="L71">
        <v>87.162139892578125</v>
      </c>
      <c r="M71">
        <v>99.613876342773438</v>
      </c>
      <c r="N71">
        <v>112.06561279296875</v>
      </c>
      <c r="O71">
        <v>124.51734161376953</v>
      </c>
      <c r="P71">
        <v>136.96908569335938</v>
      </c>
      <c r="Q71">
        <v>149.42080688476563</v>
      </c>
      <c r="R71">
        <v>161.87254333496094</v>
      </c>
      <c r="S71">
        <v>174.32427978515625</v>
      </c>
      <c r="T71">
        <v>186.77601623535156</v>
      </c>
      <c r="U71">
        <v>199.22775268554688</v>
      </c>
      <c r="V71">
        <v>211.67948913574219</v>
      </c>
      <c r="W71">
        <v>224.1312255859375</v>
      </c>
      <c r="X71">
        <v>236.58294677734375</v>
      </c>
      <c r="Y71">
        <v>249.03468322753906</v>
      </c>
      <c r="Z71">
        <v>261.48641967773438</v>
      </c>
      <c r="AA71">
        <v>273.93817138671875</v>
      </c>
      <c r="AB71">
        <v>286.389892578125</v>
      </c>
      <c r="AC71">
        <v>298.84161376953125</v>
      </c>
      <c r="AD71">
        <v>311.29336547851563</v>
      </c>
      <c r="AE71">
        <v>323.74508666992188</v>
      </c>
      <c r="AF71">
        <v>336.19683837890625</v>
      </c>
      <c r="AG71">
        <v>348.6485595703125</v>
      </c>
      <c r="AH71">
        <v>361.10031127929688</v>
      </c>
      <c r="AI71">
        <v>373.55203247070313</v>
      </c>
      <c r="AJ71">
        <v>386.00375366210938</v>
      </c>
      <c r="AK71">
        <v>398.45550537109375</v>
      </c>
      <c r="AL71">
        <v>410.9072265625</v>
      </c>
      <c r="AM71">
        <v>423.35897827148438</v>
      </c>
      <c r="AN71">
        <v>435.81069946289063</v>
      </c>
      <c r="AO71">
        <v>448.262451171875</v>
      </c>
      <c r="AP71">
        <v>460.71417236328125</v>
      </c>
      <c r="AQ71">
        <v>473.1658935546875</v>
      </c>
      <c r="AR71">
        <v>485.61764526367188</v>
      </c>
      <c r="AS71">
        <v>498.06936645507813</v>
      </c>
      <c r="AT71">
        <v>510.5211181640625</v>
      </c>
      <c r="AU71">
        <v>522.97283935546875</v>
      </c>
      <c r="AV71">
        <v>535.424560546875</v>
      </c>
      <c r="AW71">
        <v>547.8763427734375</v>
      </c>
      <c r="AX71">
        <v>560.32806396484375</v>
      </c>
      <c r="AY71">
        <v>572.77978515625</v>
      </c>
      <c r="AZ71">
        <v>585.23150634765625</v>
      </c>
      <c r="BA71">
        <v>597.6832275390625</v>
      </c>
      <c r="BB71">
        <v>610.135009765625</v>
      </c>
      <c r="BC71">
        <v>622.58673095703125</v>
      </c>
    </row>
    <row r="72" spans="4:55" x14ac:dyDescent="0.25">
      <c r="D72">
        <v>18000</v>
      </c>
      <c r="E72">
        <v>0</v>
      </c>
      <c r="F72">
        <v>12.403253555297852</v>
      </c>
      <c r="G72">
        <v>24.806507110595703</v>
      </c>
      <c r="H72">
        <v>37.209758758544922</v>
      </c>
      <c r="I72">
        <v>49.613014221191406</v>
      </c>
      <c r="J72">
        <v>62.016265869140625</v>
      </c>
      <c r="K72">
        <v>74.419517517089844</v>
      </c>
      <c r="L72">
        <v>86.822776794433594</v>
      </c>
      <c r="M72">
        <v>99.226028442382813</v>
      </c>
      <c r="N72">
        <v>111.62928009033203</v>
      </c>
      <c r="O72">
        <v>124.03253173828125</v>
      </c>
      <c r="P72">
        <v>136.435791015625</v>
      </c>
      <c r="Q72">
        <v>148.83903503417969</v>
      </c>
      <c r="R72">
        <v>161.24229431152344</v>
      </c>
      <c r="S72">
        <v>173.64555358886719</v>
      </c>
      <c r="T72">
        <v>186.04879760742188</v>
      </c>
      <c r="U72">
        <v>198.45205688476563</v>
      </c>
      <c r="V72">
        <v>210.85530090332031</v>
      </c>
      <c r="W72">
        <v>223.25856018066406</v>
      </c>
      <c r="X72">
        <v>235.66181945800781</v>
      </c>
      <c r="Y72">
        <v>248.0650634765625</v>
      </c>
      <c r="Z72">
        <v>260.46832275390625</v>
      </c>
      <c r="AA72">
        <v>272.87158203125</v>
      </c>
      <c r="AB72">
        <v>285.27484130859375</v>
      </c>
      <c r="AC72">
        <v>297.67807006835938</v>
      </c>
      <c r="AD72">
        <v>310.08132934570313</v>
      </c>
      <c r="AE72">
        <v>322.48458862304688</v>
      </c>
      <c r="AF72">
        <v>334.88784790039063</v>
      </c>
      <c r="AG72">
        <v>347.29110717773438</v>
      </c>
      <c r="AH72">
        <v>359.6943359375</v>
      </c>
      <c r="AI72">
        <v>372.09759521484375</v>
      </c>
      <c r="AJ72">
        <v>384.5008544921875</v>
      </c>
      <c r="AK72">
        <v>396.90411376953125</v>
      </c>
      <c r="AL72">
        <v>409.307373046875</v>
      </c>
      <c r="AM72">
        <v>421.71060180664063</v>
      </c>
      <c r="AN72">
        <v>434.11386108398438</v>
      </c>
      <c r="AO72">
        <v>446.51712036132813</v>
      </c>
      <c r="AP72">
        <v>458.92037963867188</v>
      </c>
      <c r="AQ72">
        <v>471.32363891601563</v>
      </c>
      <c r="AR72">
        <v>483.72686767578125</v>
      </c>
      <c r="AS72">
        <v>496.130126953125</v>
      </c>
      <c r="AT72">
        <v>508.53338623046875</v>
      </c>
      <c r="AU72">
        <v>520.9366455078125</v>
      </c>
      <c r="AV72">
        <v>533.33990478515625</v>
      </c>
      <c r="AW72">
        <v>545.7431640625</v>
      </c>
      <c r="AX72">
        <v>558.14642333984375</v>
      </c>
      <c r="AY72">
        <v>570.5496826171875</v>
      </c>
      <c r="AZ72">
        <v>582.952880859375</v>
      </c>
      <c r="BA72">
        <v>595.35614013671875</v>
      </c>
      <c r="BB72">
        <v>607.7593994140625</v>
      </c>
      <c r="BC72">
        <v>620.16265869140625</v>
      </c>
    </row>
    <row r="73" spans="4:55" x14ac:dyDescent="0.25">
      <c r="D73">
        <v>19000</v>
      </c>
      <c r="E73">
        <v>0</v>
      </c>
      <c r="F73">
        <v>12.354588508605957</v>
      </c>
      <c r="G73">
        <v>24.709177017211914</v>
      </c>
      <c r="H73">
        <v>37.063766479492188</v>
      </c>
      <c r="I73">
        <v>49.418354034423828</v>
      </c>
      <c r="J73">
        <v>61.772941589355469</v>
      </c>
      <c r="K73">
        <v>74.127532958984375</v>
      </c>
      <c r="L73">
        <v>86.48211669921875</v>
      </c>
      <c r="M73">
        <v>98.836708068847656</v>
      </c>
      <c r="N73">
        <v>111.19129180908203</v>
      </c>
      <c r="O73">
        <v>123.54588317871094</v>
      </c>
      <c r="P73">
        <v>135.90046691894531</v>
      </c>
      <c r="Q73">
        <v>148.25506591796875</v>
      </c>
      <c r="R73">
        <v>160.60964965820313</v>
      </c>
      <c r="S73">
        <v>172.9642333984375</v>
      </c>
      <c r="T73">
        <v>185.31881713867188</v>
      </c>
      <c r="U73">
        <v>197.67341613769531</v>
      </c>
      <c r="V73">
        <v>210.02799987792969</v>
      </c>
      <c r="W73">
        <v>222.38258361816406</v>
      </c>
      <c r="X73">
        <v>234.7371826171875</v>
      </c>
      <c r="Y73">
        <v>247.09176635742188</v>
      </c>
      <c r="Z73">
        <v>259.44635009765625</v>
      </c>
      <c r="AA73">
        <v>271.80093383789063</v>
      </c>
      <c r="AB73">
        <v>284.155517578125</v>
      </c>
      <c r="AC73">
        <v>296.5101318359375</v>
      </c>
      <c r="AD73">
        <v>308.86471557617188</v>
      </c>
      <c r="AE73">
        <v>321.21929931640625</v>
      </c>
      <c r="AF73">
        <v>333.57388305664063</v>
      </c>
      <c r="AG73">
        <v>345.928466796875</v>
      </c>
      <c r="AH73">
        <v>358.28305053710938</v>
      </c>
      <c r="AI73">
        <v>370.63763427734375</v>
      </c>
      <c r="AJ73">
        <v>382.99224853515625</v>
      </c>
      <c r="AK73">
        <v>395.34683227539063</v>
      </c>
      <c r="AL73">
        <v>407.701416015625</v>
      </c>
      <c r="AM73">
        <v>420.05599975585938</v>
      </c>
      <c r="AN73">
        <v>432.41058349609375</v>
      </c>
      <c r="AO73">
        <v>444.76516723632813</v>
      </c>
      <c r="AP73">
        <v>457.11978149414063</v>
      </c>
      <c r="AQ73">
        <v>469.474365234375</v>
      </c>
      <c r="AR73">
        <v>481.82894897460938</v>
      </c>
      <c r="AS73">
        <v>494.18353271484375</v>
      </c>
      <c r="AT73">
        <v>506.53811645507813</v>
      </c>
      <c r="AU73">
        <v>518.8927001953125</v>
      </c>
      <c r="AV73">
        <v>531.247314453125</v>
      </c>
      <c r="AW73">
        <v>543.60186767578125</v>
      </c>
      <c r="AX73">
        <v>555.95648193359375</v>
      </c>
      <c r="AY73">
        <v>568.31103515625</v>
      </c>
      <c r="AZ73">
        <v>580.6656494140625</v>
      </c>
      <c r="BA73">
        <v>593.020263671875</v>
      </c>
      <c r="BB73">
        <v>605.37481689453125</v>
      </c>
      <c r="BC73">
        <v>617.72943115234375</v>
      </c>
    </row>
    <row r="74" spans="4:55" x14ac:dyDescent="0.25">
      <c r="D74">
        <v>20000</v>
      </c>
      <c r="E74">
        <v>0</v>
      </c>
      <c r="F74">
        <v>12.305734634399414</v>
      </c>
      <c r="G74">
        <v>24.611469268798828</v>
      </c>
      <c r="H74">
        <v>36.917205810546875</v>
      </c>
      <c r="I74">
        <v>49.222938537597656</v>
      </c>
      <c r="J74">
        <v>61.528675079345703</v>
      </c>
      <c r="K74">
        <v>73.83441162109375</v>
      </c>
      <c r="L74">
        <v>86.140144348144531</v>
      </c>
      <c r="M74">
        <v>98.445877075195313</v>
      </c>
      <c r="N74">
        <v>110.75161743164063</v>
      </c>
      <c r="O74">
        <v>123.05735015869141</v>
      </c>
      <c r="P74">
        <v>135.36308288574219</v>
      </c>
      <c r="Q74">
        <v>147.6688232421875</v>
      </c>
      <c r="R74">
        <v>159.97454833984375</v>
      </c>
      <c r="S74">
        <v>172.28028869628906</v>
      </c>
      <c r="T74">
        <v>184.58602905273438</v>
      </c>
      <c r="U74">
        <v>196.89175415039063</v>
      </c>
      <c r="V74">
        <v>209.19749450683594</v>
      </c>
      <c r="W74">
        <v>221.50323486328125</v>
      </c>
      <c r="X74">
        <v>233.8089599609375</v>
      </c>
      <c r="Y74">
        <v>246.11470031738281</v>
      </c>
      <c r="Z74">
        <v>258.42044067382813</v>
      </c>
      <c r="AA74">
        <v>270.72616577148438</v>
      </c>
      <c r="AB74">
        <v>283.03189086914063</v>
      </c>
      <c r="AC74">
        <v>295.337646484375</v>
      </c>
      <c r="AD74">
        <v>307.64337158203125</v>
      </c>
      <c r="AE74">
        <v>319.9490966796875</v>
      </c>
      <c r="AF74">
        <v>332.25485229492188</v>
      </c>
      <c r="AG74">
        <v>344.56057739257813</v>
      </c>
      <c r="AH74">
        <v>356.86630249023438</v>
      </c>
      <c r="AI74">
        <v>369.17205810546875</v>
      </c>
      <c r="AJ74">
        <v>381.477783203125</v>
      </c>
      <c r="AK74">
        <v>393.78350830078125</v>
      </c>
      <c r="AL74">
        <v>406.08926391601563</v>
      </c>
      <c r="AM74">
        <v>418.39498901367188</v>
      </c>
      <c r="AN74">
        <v>430.70071411132813</v>
      </c>
      <c r="AO74">
        <v>443.0064697265625</v>
      </c>
      <c r="AP74">
        <v>455.31219482421875</v>
      </c>
      <c r="AQ74">
        <v>467.617919921875</v>
      </c>
      <c r="AR74">
        <v>479.92367553710938</v>
      </c>
      <c r="AS74">
        <v>492.22940063476563</v>
      </c>
      <c r="AT74">
        <v>504.53512573242188</v>
      </c>
      <c r="AU74">
        <v>516.84088134765625</v>
      </c>
      <c r="AV74">
        <v>529.1466064453125</v>
      </c>
      <c r="AW74">
        <v>541.45233154296875</v>
      </c>
      <c r="AX74">
        <v>553.758056640625</v>
      </c>
      <c r="AY74">
        <v>566.06378173828125</v>
      </c>
      <c r="AZ74">
        <v>578.36956787109375</v>
      </c>
      <c r="BA74">
        <v>590.67529296875</v>
      </c>
      <c r="BB74">
        <v>602.98101806640625</v>
      </c>
      <c r="BC74">
        <v>615.2867431640625</v>
      </c>
    </row>
    <row r="75" spans="4:55" x14ac:dyDescent="0.25">
      <c r="D75">
        <v>21000</v>
      </c>
      <c r="E75">
        <v>0</v>
      </c>
      <c r="F75">
        <v>12.256691932678223</v>
      </c>
      <c r="G75">
        <v>24.513383865356445</v>
      </c>
      <c r="H75">
        <v>36.770076751708984</v>
      </c>
      <c r="I75">
        <v>49.026767730712891</v>
      </c>
      <c r="J75">
        <v>61.283458709716797</v>
      </c>
      <c r="K75">
        <v>73.540153503417969</v>
      </c>
      <c r="L75">
        <v>85.796844482421875</v>
      </c>
      <c r="M75">
        <v>98.053535461425781</v>
      </c>
      <c r="N75">
        <v>110.31022644042969</v>
      </c>
      <c r="O75">
        <v>122.56691741943359</v>
      </c>
      <c r="P75">
        <v>134.8236083984375</v>
      </c>
      <c r="Q75">
        <v>147.08030700683594</v>
      </c>
      <c r="R75">
        <v>159.33699035644531</v>
      </c>
      <c r="S75">
        <v>171.59368896484375</v>
      </c>
      <c r="T75">
        <v>183.85037231445313</v>
      </c>
      <c r="U75">
        <v>196.10707092285156</v>
      </c>
      <c r="V75">
        <v>208.36375427246094</v>
      </c>
      <c r="W75">
        <v>220.62045288085938</v>
      </c>
      <c r="X75">
        <v>232.87713623046875</v>
      </c>
      <c r="Y75">
        <v>245.13383483886719</v>
      </c>
      <c r="Z75">
        <v>257.39053344726563</v>
      </c>
      <c r="AA75">
        <v>269.647216796875</v>
      </c>
      <c r="AB75">
        <v>281.90390014648438</v>
      </c>
      <c r="AC75">
        <v>294.16061401367188</v>
      </c>
      <c r="AD75">
        <v>306.41729736328125</v>
      </c>
      <c r="AE75">
        <v>318.67398071289063</v>
      </c>
      <c r="AF75">
        <v>330.9306640625</v>
      </c>
      <c r="AG75">
        <v>343.1873779296875</v>
      </c>
      <c r="AH75">
        <v>355.44406127929688</v>
      </c>
      <c r="AI75">
        <v>367.70074462890625</v>
      </c>
      <c r="AJ75">
        <v>379.95742797851563</v>
      </c>
      <c r="AK75">
        <v>392.21414184570313</v>
      </c>
      <c r="AL75">
        <v>404.4708251953125</v>
      </c>
      <c r="AM75">
        <v>416.72750854492188</v>
      </c>
      <c r="AN75">
        <v>428.98422241210938</v>
      </c>
      <c r="AO75">
        <v>441.24090576171875</v>
      </c>
      <c r="AP75">
        <v>453.49758911132813</v>
      </c>
      <c r="AQ75">
        <v>465.7542724609375</v>
      </c>
      <c r="AR75">
        <v>478.010986328125</v>
      </c>
      <c r="AS75">
        <v>490.26766967773438</v>
      </c>
      <c r="AT75">
        <v>502.52435302734375</v>
      </c>
      <c r="AU75">
        <v>514.78106689453125</v>
      </c>
      <c r="AV75">
        <v>527.0377197265625</v>
      </c>
      <c r="AW75">
        <v>539.29443359375</v>
      </c>
      <c r="AX75">
        <v>551.5511474609375</v>
      </c>
      <c r="AY75">
        <v>563.80780029296875</v>
      </c>
      <c r="AZ75">
        <v>576.06451416015625</v>
      </c>
      <c r="BA75">
        <v>588.32122802734375</v>
      </c>
      <c r="BB75">
        <v>600.577880859375</v>
      </c>
      <c r="BC75">
        <v>612.8345947265625</v>
      </c>
    </row>
    <row r="76" spans="4:55" x14ac:dyDescent="0.25">
      <c r="D76">
        <v>22000</v>
      </c>
      <c r="E76">
        <v>0</v>
      </c>
      <c r="F76">
        <v>12.207455635070801</v>
      </c>
      <c r="G76">
        <v>24.414911270141602</v>
      </c>
      <c r="H76">
        <v>36.622367858886719</v>
      </c>
      <c r="I76">
        <v>48.829822540283203</v>
      </c>
      <c r="J76">
        <v>61.037281036376953</v>
      </c>
      <c r="K76">
        <v>73.244735717773438</v>
      </c>
      <c r="L76">
        <v>85.452194213867188</v>
      </c>
      <c r="M76">
        <v>97.659645080566406</v>
      </c>
      <c r="N76">
        <v>109.86710357666016</v>
      </c>
      <c r="O76">
        <v>122.07456207275391</v>
      </c>
      <c r="P76">
        <v>134.28201293945313</v>
      </c>
      <c r="Q76">
        <v>146.48947143554688</v>
      </c>
      <c r="R76">
        <v>158.69692993164063</v>
      </c>
      <c r="S76">
        <v>170.90438842773438</v>
      </c>
      <c r="T76">
        <v>183.11183166503906</v>
      </c>
      <c r="U76">
        <v>195.31929016113281</v>
      </c>
      <c r="V76">
        <v>207.52674865722656</v>
      </c>
      <c r="W76">
        <v>219.73420715332031</v>
      </c>
      <c r="X76">
        <v>231.94166564941406</v>
      </c>
      <c r="Y76">
        <v>244.14912414550781</v>
      </c>
      <c r="Z76">
        <v>256.3565673828125</v>
      </c>
      <c r="AA76">
        <v>268.56402587890625</v>
      </c>
      <c r="AB76">
        <v>280.771484375</v>
      </c>
      <c r="AC76">
        <v>292.97894287109375</v>
      </c>
      <c r="AD76">
        <v>305.1864013671875</v>
      </c>
      <c r="AE76">
        <v>317.39385986328125</v>
      </c>
      <c r="AF76">
        <v>329.601318359375</v>
      </c>
      <c r="AG76">
        <v>341.80877685546875</v>
      </c>
      <c r="AH76">
        <v>354.0162353515625</v>
      </c>
      <c r="AI76">
        <v>366.22366333007813</v>
      </c>
      <c r="AJ76">
        <v>378.43112182617188</v>
      </c>
      <c r="AK76">
        <v>390.63858032226563</v>
      </c>
      <c r="AL76">
        <v>402.84603881835938</v>
      </c>
      <c r="AM76">
        <v>415.05349731445313</v>
      </c>
      <c r="AN76">
        <v>427.26095581054688</v>
      </c>
      <c r="AO76">
        <v>439.46841430664063</v>
      </c>
      <c r="AP76">
        <v>451.67587280273438</v>
      </c>
      <c r="AQ76">
        <v>463.88333129882813</v>
      </c>
      <c r="AR76">
        <v>476.09078979492188</v>
      </c>
      <c r="AS76">
        <v>488.29824829101563</v>
      </c>
      <c r="AT76">
        <v>500.50567626953125</v>
      </c>
      <c r="AU76">
        <v>512.713134765625</v>
      </c>
      <c r="AV76">
        <v>524.92059326171875</v>
      </c>
      <c r="AW76">
        <v>537.1280517578125</v>
      </c>
      <c r="AX76">
        <v>549.33551025390625</v>
      </c>
      <c r="AY76">
        <v>561.54296875</v>
      </c>
      <c r="AZ76">
        <v>573.75042724609375</v>
      </c>
      <c r="BA76">
        <v>585.9578857421875</v>
      </c>
      <c r="BB76">
        <v>598.16534423828125</v>
      </c>
      <c r="BC76">
        <v>610.372802734375</v>
      </c>
    </row>
    <row r="77" spans="4:55" x14ac:dyDescent="0.25">
      <c r="D77">
        <v>23000</v>
      </c>
      <c r="E77">
        <v>0</v>
      </c>
      <c r="F77">
        <v>12.158025741577148</v>
      </c>
      <c r="G77">
        <v>24.316051483154297</v>
      </c>
      <c r="H77">
        <v>36.474079132080078</v>
      </c>
      <c r="I77">
        <v>48.632102966308594</v>
      </c>
      <c r="J77">
        <v>60.790130615234375</v>
      </c>
      <c r="K77">
        <v>72.948158264160156</v>
      </c>
      <c r="L77">
        <v>85.106178283691406</v>
      </c>
      <c r="M77">
        <v>97.264205932617188</v>
      </c>
      <c r="N77">
        <v>109.42223358154297</v>
      </c>
      <c r="O77">
        <v>121.58026123046875</v>
      </c>
      <c r="P77">
        <v>133.73828125</v>
      </c>
      <c r="Q77">
        <v>145.89631652832031</v>
      </c>
      <c r="R77">
        <v>158.05433654785156</v>
      </c>
      <c r="S77">
        <v>170.21235656738281</v>
      </c>
      <c r="T77">
        <v>182.37039184570313</v>
      </c>
      <c r="U77">
        <v>194.52841186523438</v>
      </c>
      <c r="V77">
        <v>206.68644714355469</v>
      </c>
      <c r="W77">
        <v>218.84446716308594</v>
      </c>
      <c r="X77">
        <v>231.00248718261719</v>
      </c>
      <c r="Y77">
        <v>243.1605224609375</v>
      </c>
      <c r="Z77">
        <v>255.31854248046875</v>
      </c>
      <c r="AA77">
        <v>267.4765625</v>
      </c>
      <c r="AB77">
        <v>279.63458251953125</v>
      </c>
      <c r="AC77">
        <v>291.79263305664063</v>
      </c>
      <c r="AD77">
        <v>303.95065307617188</v>
      </c>
      <c r="AE77">
        <v>316.10867309570313</v>
      </c>
      <c r="AF77">
        <v>328.26669311523438</v>
      </c>
      <c r="AG77">
        <v>340.42471313476563</v>
      </c>
      <c r="AH77">
        <v>352.582763671875</v>
      </c>
      <c r="AI77">
        <v>364.74078369140625</v>
      </c>
      <c r="AJ77">
        <v>376.8988037109375</v>
      </c>
      <c r="AK77">
        <v>389.05682373046875</v>
      </c>
      <c r="AL77">
        <v>401.21484375</v>
      </c>
      <c r="AM77">
        <v>413.37289428710938</v>
      </c>
      <c r="AN77">
        <v>425.53091430664063</v>
      </c>
      <c r="AO77">
        <v>437.68893432617188</v>
      </c>
      <c r="AP77">
        <v>449.84695434570313</v>
      </c>
      <c r="AQ77">
        <v>462.00497436523438</v>
      </c>
      <c r="AR77">
        <v>474.16302490234375</v>
      </c>
      <c r="AS77">
        <v>486.321044921875</v>
      </c>
      <c r="AT77">
        <v>498.47906494140625</v>
      </c>
      <c r="AU77">
        <v>510.6370849609375</v>
      </c>
      <c r="AV77">
        <v>522.79510498046875</v>
      </c>
      <c r="AW77">
        <v>534.953125</v>
      </c>
      <c r="AX77">
        <v>547.11114501953125</v>
      </c>
      <c r="AY77">
        <v>559.2691650390625</v>
      </c>
      <c r="AZ77">
        <v>571.42724609375</v>
      </c>
      <c r="BA77">
        <v>583.58526611328125</v>
      </c>
      <c r="BB77">
        <v>595.7432861328125</v>
      </c>
      <c r="BC77">
        <v>607.90130615234375</v>
      </c>
    </row>
    <row r="78" spans="4:55" x14ac:dyDescent="0.25">
      <c r="D78">
        <v>24000</v>
      </c>
      <c r="E78">
        <v>0</v>
      </c>
      <c r="F78">
        <v>12.1083984375</v>
      </c>
      <c r="G78">
        <v>24.216796875</v>
      </c>
      <c r="H78">
        <v>36.3251953125</v>
      </c>
      <c r="I78">
        <v>48.43359375</v>
      </c>
      <c r="J78">
        <v>60.5419921875</v>
      </c>
      <c r="K78">
        <v>72.650390625</v>
      </c>
      <c r="L78">
        <v>84.7587890625</v>
      </c>
      <c r="M78">
        <v>96.8671875</v>
      </c>
      <c r="N78">
        <v>108.9755859375</v>
      </c>
      <c r="O78">
        <v>121.083984375</v>
      </c>
      <c r="P78">
        <v>133.1923828125</v>
      </c>
      <c r="Q78">
        <v>145.30078125</v>
      </c>
      <c r="R78">
        <v>157.4091796875</v>
      </c>
      <c r="S78">
        <v>169.517578125</v>
      </c>
      <c r="T78">
        <v>181.6259765625</v>
      </c>
      <c r="U78">
        <v>193.734375</v>
      </c>
      <c r="V78">
        <v>205.8427734375</v>
      </c>
      <c r="W78">
        <v>217.951171875</v>
      </c>
      <c r="X78">
        <v>230.0595703125</v>
      </c>
      <c r="Y78">
        <v>242.16796875</v>
      </c>
      <c r="Z78">
        <v>254.2763671875</v>
      </c>
      <c r="AA78">
        <v>266.384765625</v>
      </c>
      <c r="AB78">
        <v>278.4931640625</v>
      </c>
      <c r="AC78">
        <v>290.6015625</v>
      </c>
      <c r="AD78">
        <v>302.7099609375</v>
      </c>
      <c r="AE78">
        <v>314.818359375</v>
      </c>
      <c r="AF78">
        <v>326.9267578125</v>
      </c>
      <c r="AG78">
        <v>339.03515625</v>
      </c>
      <c r="AH78">
        <v>351.1435546875</v>
      </c>
      <c r="AI78">
        <v>363.251953125</v>
      </c>
      <c r="AJ78">
        <v>375.3603515625</v>
      </c>
      <c r="AK78">
        <v>387.46875</v>
      </c>
      <c r="AL78">
        <v>399.5771484375</v>
      </c>
      <c r="AM78">
        <v>411.685546875</v>
      </c>
      <c r="AN78">
        <v>423.7939453125</v>
      </c>
      <c r="AO78">
        <v>435.90234375</v>
      </c>
      <c r="AP78">
        <v>448.0107421875</v>
      </c>
      <c r="AQ78">
        <v>460.119140625</v>
      </c>
      <c r="AR78">
        <v>472.2275390625</v>
      </c>
      <c r="AS78">
        <v>484.3359375</v>
      </c>
      <c r="AT78">
        <v>496.4443359375</v>
      </c>
      <c r="AU78">
        <v>508.552734375</v>
      </c>
      <c r="AV78">
        <v>520.6611328125</v>
      </c>
      <c r="AW78">
        <v>532.76953125</v>
      </c>
      <c r="AX78">
        <v>544.8779296875</v>
      </c>
      <c r="AY78">
        <v>556.986328125</v>
      </c>
      <c r="AZ78">
        <v>569.0947265625</v>
      </c>
      <c r="BA78">
        <v>581.203125</v>
      </c>
      <c r="BB78">
        <v>593.3115234375</v>
      </c>
      <c r="BC78">
        <v>605.419921875</v>
      </c>
    </row>
    <row r="79" spans="4:55" x14ac:dyDescent="0.25">
      <c r="D79">
        <v>25000</v>
      </c>
      <c r="E79">
        <v>0</v>
      </c>
      <c r="F79">
        <v>12.058570861816406</v>
      </c>
      <c r="G79">
        <v>24.117141723632813</v>
      </c>
      <c r="H79">
        <v>36.175712585449219</v>
      </c>
      <c r="I79">
        <v>48.234283447265625</v>
      </c>
      <c r="J79">
        <v>60.292858123779297</v>
      </c>
      <c r="K79">
        <v>72.351425170898438</v>
      </c>
      <c r="L79">
        <v>84.409996032714844</v>
      </c>
      <c r="M79">
        <v>96.46856689453125</v>
      </c>
      <c r="N79">
        <v>108.52714538574219</v>
      </c>
      <c r="O79">
        <v>120.58571624755859</v>
      </c>
      <c r="P79">
        <v>132.644287109375</v>
      </c>
      <c r="Q79">
        <v>144.70285034179688</v>
      </c>
      <c r="R79">
        <v>156.76142883300781</v>
      </c>
      <c r="S79">
        <v>168.81999206542969</v>
      </c>
      <c r="T79">
        <v>180.87857055664063</v>
      </c>
      <c r="U79">
        <v>192.9371337890625</v>
      </c>
      <c r="V79">
        <v>204.99571228027344</v>
      </c>
      <c r="W79">
        <v>217.05429077148438</v>
      </c>
      <c r="X79">
        <v>229.11285400390625</v>
      </c>
      <c r="Y79">
        <v>241.17143249511719</v>
      </c>
      <c r="Z79">
        <v>253.22999572753906</v>
      </c>
      <c r="AA79">
        <v>265.28857421875</v>
      </c>
      <c r="AB79">
        <v>277.34713745117188</v>
      </c>
      <c r="AC79">
        <v>289.40570068359375</v>
      </c>
      <c r="AD79">
        <v>301.46429443359375</v>
      </c>
      <c r="AE79">
        <v>313.52285766601563</v>
      </c>
      <c r="AF79">
        <v>325.5814208984375</v>
      </c>
      <c r="AG79">
        <v>337.63998413085938</v>
      </c>
      <c r="AH79">
        <v>349.69857788085938</v>
      </c>
      <c r="AI79">
        <v>361.75714111328125</v>
      </c>
      <c r="AJ79">
        <v>373.81570434570313</v>
      </c>
      <c r="AK79">
        <v>385.874267578125</v>
      </c>
      <c r="AL79">
        <v>397.932861328125</v>
      </c>
      <c r="AM79">
        <v>409.99142456054688</v>
      </c>
      <c r="AN79">
        <v>422.04998779296875</v>
      </c>
      <c r="AO79">
        <v>434.10858154296875</v>
      </c>
      <c r="AP79">
        <v>446.16714477539063</v>
      </c>
      <c r="AQ79">
        <v>458.2257080078125</v>
      </c>
      <c r="AR79">
        <v>470.28427124023438</v>
      </c>
      <c r="AS79">
        <v>482.34286499023438</v>
      </c>
      <c r="AT79">
        <v>494.40142822265625</v>
      </c>
      <c r="AU79">
        <v>506.45999145507813</v>
      </c>
      <c r="AV79">
        <v>518.5185546875</v>
      </c>
      <c r="AW79">
        <v>530.5771484375</v>
      </c>
      <c r="AX79">
        <v>542.63568115234375</v>
      </c>
      <c r="AY79">
        <v>554.69427490234375</v>
      </c>
      <c r="AZ79">
        <v>566.75286865234375</v>
      </c>
      <c r="BA79">
        <v>578.8114013671875</v>
      </c>
      <c r="BB79">
        <v>590.8699951171875</v>
      </c>
      <c r="BC79">
        <v>602.9285888671875</v>
      </c>
    </row>
    <row r="80" spans="4:55" x14ac:dyDescent="0.25">
      <c r="D80">
        <v>26000</v>
      </c>
      <c r="E80">
        <v>0</v>
      </c>
      <c r="F80">
        <v>12.008542060852051</v>
      </c>
      <c r="G80">
        <v>24.017084121704102</v>
      </c>
      <c r="H80">
        <v>36.025627136230469</v>
      </c>
      <c r="I80">
        <v>48.034168243408203</v>
      </c>
      <c r="J80">
        <v>60.042713165283203</v>
      </c>
      <c r="K80">
        <v>72.051254272460938</v>
      </c>
      <c r="L80">
        <v>84.059799194335938</v>
      </c>
      <c r="M80">
        <v>96.068336486816406</v>
      </c>
      <c r="N80">
        <v>108.07688140869141</v>
      </c>
      <c r="O80">
        <v>120.08542633056641</v>
      </c>
      <c r="P80">
        <v>132.09396362304688</v>
      </c>
      <c r="Q80">
        <v>144.10250854492188</v>
      </c>
      <c r="R80">
        <v>156.11105346679688</v>
      </c>
      <c r="S80">
        <v>168.11959838867188</v>
      </c>
      <c r="T80">
        <v>180.12812805175781</v>
      </c>
      <c r="U80">
        <v>192.13667297363281</v>
      </c>
      <c r="V80">
        <v>204.14521789550781</v>
      </c>
      <c r="W80">
        <v>216.15376281738281</v>
      </c>
      <c r="X80">
        <v>228.16230773925781</v>
      </c>
      <c r="Y80">
        <v>240.17085266113281</v>
      </c>
      <c r="Z80">
        <v>252.17938232421875</v>
      </c>
      <c r="AA80">
        <v>264.18792724609375</v>
      </c>
      <c r="AB80">
        <v>276.19647216796875</v>
      </c>
      <c r="AC80">
        <v>288.20501708984375</v>
      </c>
      <c r="AD80">
        <v>300.21356201171875</v>
      </c>
      <c r="AE80">
        <v>312.22210693359375</v>
      </c>
      <c r="AF80">
        <v>324.23065185546875</v>
      </c>
      <c r="AG80">
        <v>336.23919677734375</v>
      </c>
      <c r="AH80">
        <v>348.24774169921875</v>
      </c>
      <c r="AI80">
        <v>360.25625610351563</v>
      </c>
      <c r="AJ80">
        <v>372.26480102539063</v>
      </c>
      <c r="AK80">
        <v>384.27334594726563</v>
      </c>
      <c r="AL80">
        <v>396.28189086914063</v>
      </c>
      <c r="AM80">
        <v>408.29043579101563</v>
      </c>
      <c r="AN80">
        <v>420.29898071289063</v>
      </c>
      <c r="AO80">
        <v>432.30752563476563</v>
      </c>
      <c r="AP80">
        <v>444.31607055664063</v>
      </c>
      <c r="AQ80">
        <v>456.32461547851563</v>
      </c>
      <c r="AR80">
        <v>468.33316040039063</v>
      </c>
      <c r="AS80">
        <v>480.34170532226563</v>
      </c>
      <c r="AT80">
        <v>492.3502197265625</v>
      </c>
      <c r="AU80">
        <v>504.3587646484375</v>
      </c>
      <c r="AV80">
        <v>516.3673095703125</v>
      </c>
      <c r="AW80">
        <v>528.3758544921875</v>
      </c>
      <c r="AX80">
        <v>540.3843994140625</v>
      </c>
      <c r="AY80">
        <v>552.3929443359375</v>
      </c>
      <c r="AZ80">
        <v>564.4014892578125</v>
      </c>
      <c r="BA80">
        <v>576.4100341796875</v>
      </c>
      <c r="BB80">
        <v>588.4185791015625</v>
      </c>
      <c r="BC80">
        <v>600.4271240234375</v>
      </c>
    </row>
    <row r="81" spans="4:55" x14ac:dyDescent="0.25">
      <c r="D81">
        <v>27000</v>
      </c>
      <c r="E81">
        <v>0</v>
      </c>
      <c r="F81">
        <v>11.958309173583984</v>
      </c>
      <c r="G81">
        <v>23.916618347167969</v>
      </c>
      <c r="H81">
        <v>35.874927520751953</v>
      </c>
      <c r="I81">
        <v>47.833236694335938</v>
      </c>
      <c r="J81">
        <v>59.791545867919922</v>
      </c>
      <c r="K81">
        <v>71.749855041503906</v>
      </c>
      <c r="L81">
        <v>83.708160400390625</v>
      </c>
      <c r="M81">
        <v>95.666473388671875</v>
      </c>
      <c r="N81">
        <v>107.62477874755859</v>
      </c>
      <c r="O81">
        <v>119.58309173583984</v>
      </c>
      <c r="P81">
        <v>131.54139709472656</v>
      </c>
      <c r="Q81">
        <v>143.49971008300781</v>
      </c>
      <c r="R81">
        <v>155.45802307128906</v>
      </c>
      <c r="S81">
        <v>167.41632080078125</v>
      </c>
      <c r="T81">
        <v>179.3746337890625</v>
      </c>
      <c r="U81">
        <v>191.33294677734375</v>
      </c>
      <c r="V81">
        <v>203.291259765625</v>
      </c>
      <c r="W81">
        <v>215.24955749511719</v>
      </c>
      <c r="X81">
        <v>227.20787048339844</v>
      </c>
      <c r="Y81">
        <v>239.16618347167969</v>
      </c>
      <c r="Z81">
        <v>251.12449645996094</v>
      </c>
      <c r="AA81">
        <v>263.08279418945313</v>
      </c>
      <c r="AB81">
        <v>275.04110717773438</v>
      </c>
      <c r="AC81">
        <v>286.99942016601563</v>
      </c>
      <c r="AD81">
        <v>298.95773315429688</v>
      </c>
      <c r="AE81">
        <v>310.91604614257813</v>
      </c>
      <c r="AF81">
        <v>322.87435913085938</v>
      </c>
      <c r="AG81">
        <v>334.8326416015625</v>
      </c>
      <c r="AH81">
        <v>346.79095458984375</v>
      </c>
      <c r="AI81">
        <v>358.749267578125</v>
      </c>
      <c r="AJ81">
        <v>370.70758056640625</v>
      </c>
      <c r="AK81">
        <v>382.6658935546875</v>
      </c>
      <c r="AL81">
        <v>394.62420654296875</v>
      </c>
      <c r="AM81">
        <v>406.58251953125</v>
      </c>
      <c r="AN81">
        <v>418.54080200195313</v>
      </c>
      <c r="AO81">
        <v>430.49911499023438</v>
      </c>
      <c r="AP81">
        <v>442.45742797851563</v>
      </c>
      <c r="AQ81">
        <v>454.41574096679688</v>
      </c>
      <c r="AR81">
        <v>466.37405395507813</v>
      </c>
      <c r="AS81">
        <v>478.33236694335938</v>
      </c>
      <c r="AT81">
        <v>490.29067993164063</v>
      </c>
      <c r="AU81">
        <v>502.24899291992188</v>
      </c>
      <c r="AV81">
        <v>514.207275390625</v>
      </c>
      <c r="AW81">
        <v>526.16558837890625</v>
      </c>
      <c r="AX81">
        <v>538.1239013671875</v>
      </c>
      <c r="AY81">
        <v>550.08221435546875</v>
      </c>
      <c r="AZ81">
        <v>562.04052734375</v>
      </c>
      <c r="BA81">
        <v>573.99884033203125</v>
      </c>
      <c r="BB81">
        <v>585.9571533203125</v>
      </c>
      <c r="BC81">
        <v>597.91546630859375</v>
      </c>
    </row>
    <row r="82" spans="4:55" x14ac:dyDescent="0.25">
      <c r="D82">
        <v>28000</v>
      </c>
      <c r="E82">
        <v>0</v>
      </c>
      <c r="F82">
        <v>11.907868385314941</v>
      </c>
      <c r="G82">
        <v>23.815736770629883</v>
      </c>
      <c r="H82">
        <v>35.723606109619141</v>
      </c>
      <c r="I82">
        <v>47.631473541259766</v>
      </c>
      <c r="J82">
        <v>59.539344787597656</v>
      </c>
      <c r="K82">
        <v>71.447212219238281</v>
      </c>
      <c r="L82">
        <v>83.355079650878906</v>
      </c>
      <c r="M82">
        <v>95.262947082519531</v>
      </c>
      <c r="N82">
        <v>107.17081451416016</v>
      </c>
      <c r="O82">
        <v>119.07868957519531</v>
      </c>
      <c r="P82">
        <v>130.98655700683594</v>
      </c>
      <c r="Q82">
        <v>142.89442443847656</v>
      </c>
      <c r="R82">
        <v>154.80229187011719</v>
      </c>
      <c r="S82">
        <v>166.71015930175781</v>
      </c>
      <c r="T82">
        <v>178.61802673339844</v>
      </c>
      <c r="U82">
        <v>190.52589416503906</v>
      </c>
      <c r="V82">
        <v>202.43376159667969</v>
      </c>
      <c r="W82">
        <v>214.34162902832031</v>
      </c>
      <c r="X82">
        <v>226.24951171875</v>
      </c>
      <c r="Y82">
        <v>238.15737915039063</v>
      </c>
      <c r="Z82">
        <v>250.06524658203125</v>
      </c>
      <c r="AA82">
        <v>261.97311401367188</v>
      </c>
      <c r="AB82">
        <v>273.8809814453125</v>
      </c>
      <c r="AC82">
        <v>285.78884887695313</v>
      </c>
      <c r="AD82">
        <v>297.69671630859375</v>
      </c>
      <c r="AE82">
        <v>309.60458374023438</v>
      </c>
      <c r="AF82">
        <v>321.512451171875</v>
      </c>
      <c r="AG82">
        <v>333.42031860351563</v>
      </c>
      <c r="AH82">
        <v>345.32818603515625</v>
      </c>
      <c r="AI82">
        <v>357.23605346679688</v>
      </c>
      <c r="AJ82">
        <v>369.1439208984375</v>
      </c>
      <c r="AK82">
        <v>381.05178833007813</v>
      </c>
      <c r="AL82">
        <v>392.95965576171875</v>
      </c>
      <c r="AM82">
        <v>404.86752319335938</v>
      </c>
      <c r="AN82">
        <v>416.775390625</v>
      </c>
      <c r="AO82">
        <v>428.68325805664063</v>
      </c>
      <c r="AP82">
        <v>440.59112548828125</v>
      </c>
      <c r="AQ82">
        <v>452.4990234375</v>
      </c>
      <c r="AR82">
        <v>464.40689086914063</v>
      </c>
      <c r="AS82">
        <v>476.31475830078125</v>
      </c>
      <c r="AT82">
        <v>488.22262573242188</v>
      </c>
      <c r="AU82">
        <v>500.1304931640625</v>
      </c>
      <c r="AV82">
        <v>512.038330078125</v>
      </c>
      <c r="AW82">
        <v>523.94622802734375</v>
      </c>
      <c r="AX82">
        <v>535.85406494140625</v>
      </c>
      <c r="AY82">
        <v>547.761962890625</v>
      </c>
      <c r="AZ82">
        <v>559.6697998046875</v>
      </c>
      <c r="BA82">
        <v>571.57769775390625</v>
      </c>
      <c r="BB82">
        <v>583.48553466796875</v>
      </c>
      <c r="BC82">
        <v>595.3934326171875</v>
      </c>
    </row>
    <row r="83" spans="4:55" x14ac:dyDescent="0.25">
      <c r="D83">
        <v>29000</v>
      </c>
      <c r="E83">
        <v>0</v>
      </c>
      <c r="F83">
        <v>11.857218742370605</v>
      </c>
      <c r="G83">
        <v>23.714437484741211</v>
      </c>
      <c r="H83">
        <v>35.5716552734375</v>
      </c>
      <c r="I83">
        <v>47.428874969482422</v>
      </c>
      <c r="J83">
        <v>59.286094665527344</v>
      </c>
      <c r="K83">
        <v>71.143310546875</v>
      </c>
      <c r="L83">
        <v>83.000534057617188</v>
      </c>
      <c r="M83">
        <v>94.857749938964844</v>
      </c>
      <c r="N83">
        <v>106.71497344970703</v>
      </c>
      <c r="O83">
        <v>118.57218933105469</v>
      </c>
      <c r="P83">
        <v>130.42941284179688</v>
      </c>
      <c r="Q83">
        <v>142.28662109375</v>
      </c>
      <c r="R83">
        <v>154.14384460449219</v>
      </c>
      <c r="S83">
        <v>166.00106811523438</v>
      </c>
      <c r="T83">
        <v>177.8582763671875</v>
      </c>
      <c r="U83">
        <v>189.71549987792969</v>
      </c>
      <c r="V83">
        <v>201.57272338867188</v>
      </c>
      <c r="W83">
        <v>213.42994689941406</v>
      </c>
      <c r="X83">
        <v>225.28715515136719</v>
      </c>
      <c r="Y83">
        <v>237.14437866210938</v>
      </c>
      <c r="Z83">
        <v>249.00160217285156</v>
      </c>
      <c r="AA83">
        <v>260.85882568359375</v>
      </c>
      <c r="AB83">
        <v>272.71603393554688</v>
      </c>
      <c r="AC83">
        <v>284.5732421875</v>
      </c>
      <c r="AD83">
        <v>296.43048095703125</v>
      </c>
      <c r="AE83">
        <v>308.28768920898438</v>
      </c>
      <c r="AF83">
        <v>320.1448974609375</v>
      </c>
      <c r="AG83">
        <v>332.00213623046875</v>
      </c>
      <c r="AH83">
        <v>343.85934448242188</v>
      </c>
      <c r="AI83">
        <v>355.716552734375</v>
      </c>
      <c r="AJ83">
        <v>367.57379150390625</v>
      </c>
      <c r="AK83">
        <v>379.43099975585938</v>
      </c>
      <c r="AL83">
        <v>391.28823852539063</v>
      </c>
      <c r="AM83">
        <v>403.14544677734375</v>
      </c>
      <c r="AN83">
        <v>415.00265502929688</v>
      </c>
      <c r="AO83">
        <v>426.85989379882813</v>
      </c>
      <c r="AP83">
        <v>438.71710205078125</v>
      </c>
      <c r="AQ83">
        <v>450.57431030273438</v>
      </c>
      <c r="AR83">
        <v>462.43154907226563</v>
      </c>
      <c r="AS83">
        <v>474.28875732421875</v>
      </c>
      <c r="AT83">
        <v>486.14596557617188</v>
      </c>
      <c r="AU83">
        <v>498.00320434570313</v>
      </c>
      <c r="AV83">
        <v>509.86041259765625</v>
      </c>
      <c r="AW83">
        <v>521.7176513671875</v>
      </c>
      <c r="AX83">
        <v>533.5748291015625</v>
      </c>
      <c r="AY83">
        <v>545.43206787109375</v>
      </c>
      <c r="AZ83">
        <v>557.289306640625</v>
      </c>
      <c r="BA83">
        <v>569.146484375</v>
      </c>
      <c r="BB83">
        <v>581.00372314453125</v>
      </c>
      <c r="BC83">
        <v>592.8609619140625</v>
      </c>
    </row>
    <row r="84" spans="4:55" x14ac:dyDescent="0.25">
      <c r="D84">
        <v>30000</v>
      </c>
      <c r="E84">
        <v>0</v>
      </c>
      <c r="F84">
        <v>11.806356430053711</v>
      </c>
      <c r="G84">
        <v>23.612712860107422</v>
      </c>
      <c r="H84">
        <v>35.4190673828125</v>
      </c>
      <c r="I84">
        <v>47.225425720214844</v>
      </c>
      <c r="J84">
        <v>59.031780242919922</v>
      </c>
      <c r="K84">
        <v>70.838134765625</v>
      </c>
      <c r="L84">
        <v>82.644493103027344</v>
      </c>
      <c r="M84">
        <v>94.450851440429688</v>
      </c>
      <c r="N84">
        <v>106.2572021484375</v>
      </c>
      <c r="O84">
        <v>118.06356048583984</v>
      </c>
      <c r="P84">
        <v>129.86991882324219</v>
      </c>
      <c r="Q84">
        <v>141.67626953125</v>
      </c>
      <c r="R84">
        <v>153.48263549804688</v>
      </c>
      <c r="S84">
        <v>165.28898620605469</v>
      </c>
      <c r="T84">
        <v>177.0953369140625</v>
      </c>
      <c r="U84">
        <v>188.90170288085938</v>
      </c>
      <c r="V84">
        <v>200.70805358886719</v>
      </c>
      <c r="W84">
        <v>212.514404296875</v>
      </c>
      <c r="X84">
        <v>224.32077026367188</v>
      </c>
      <c r="Y84">
        <v>236.12712097167969</v>
      </c>
      <c r="Z84">
        <v>247.93348693847656</v>
      </c>
      <c r="AA84">
        <v>259.73983764648438</v>
      </c>
      <c r="AB84">
        <v>271.54620361328125</v>
      </c>
      <c r="AC84">
        <v>283.3525390625</v>
      </c>
      <c r="AD84">
        <v>295.15890502929688</v>
      </c>
      <c r="AE84">
        <v>306.96527099609375</v>
      </c>
      <c r="AF84">
        <v>318.7716064453125</v>
      </c>
      <c r="AG84">
        <v>330.57797241210938</v>
      </c>
      <c r="AH84">
        <v>342.38433837890625</v>
      </c>
      <c r="AI84">
        <v>354.190673828125</v>
      </c>
      <c r="AJ84">
        <v>365.99703979492188</v>
      </c>
      <c r="AK84">
        <v>377.80340576171875</v>
      </c>
      <c r="AL84">
        <v>389.6097412109375</v>
      </c>
      <c r="AM84">
        <v>401.41610717773438</v>
      </c>
      <c r="AN84">
        <v>413.22247314453125</v>
      </c>
      <c r="AO84">
        <v>425.02880859375</v>
      </c>
      <c r="AP84">
        <v>436.83517456054688</v>
      </c>
      <c r="AQ84">
        <v>448.64154052734375</v>
      </c>
      <c r="AR84">
        <v>460.44790649414063</v>
      </c>
      <c r="AS84">
        <v>472.25424194335938</v>
      </c>
      <c r="AT84">
        <v>484.06060791015625</v>
      </c>
      <c r="AU84">
        <v>495.86697387695313</v>
      </c>
      <c r="AV84">
        <v>507.67330932617188</v>
      </c>
      <c r="AW84">
        <v>519.47967529296875</v>
      </c>
      <c r="AX84">
        <v>531.2860107421875</v>
      </c>
      <c r="AY84">
        <v>543.0924072265625</v>
      </c>
      <c r="AZ84">
        <v>554.89874267578125</v>
      </c>
      <c r="BA84">
        <v>566.705078125</v>
      </c>
      <c r="BB84">
        <v>578.511474609375</v>
      </c>
      <c r="BC84">
        <v>590.31781005859375</v>
      </c>
    </row>
    <row r="85" spans="4:55" x14ac:dyDescent="0.25">
      <c r="D85">
        <v>31000</v>
      </c>
      <c r="E85">
        <v>0</v>
      </c>
      <c r="F85">
        <v>11.755278587341309</v>
      </c>
      <c r="G85">
        <v>23.510557174682617</v>
      </c>
      <c r="H85">
        <v>35.265834808349609</v>
      </c>
      <c r="I85">
        <v>47.021114349365234</v>
      </c>
      <c r="J85">
        <v>58.776390075683594</v>
      </c>
      <c r="K85">
        <v>70.531669616699219</v>
      </c>
      <c r="L85">
        <v>82.286949157714844</v>
      </c>
      <c r="M85">
        <v>94.042228698730469</v>
      </c>
      <c r="N85">
        <v>105.79750823974609</v>
      </c>
      <c r="O85">
        <v>117.55278015136719</v>
      </c>
      <c r="P85">
        <v>129.30805969238281</v>
      </c>
      <c r="Q85">
        <v>141.06333923339844</v>
      </c>
      <c r="R85">
        <v>152.81861877441406</v>
      </c>
      <c r="S85">
        <v>164.57389831542969</v>
      </c>
      <c r="T85">
        <v>176.32917785644531</v>
      </c>
      <c r="U85">
        <v>188.08445739746094</v>
      </c>
      <c r="V85">
        <v>199.83973693847656</v>
      </c>
      <c r="W85">
        <v>211.59501647949219</v>
      </c>
      <c r="X85">
        <v>223.35029602050781</v>
      </c>
      <c r="Y85">
        <v>235.10556030273438</v>
      </c>
      <c r="Z85">
        <v>246.86083984375</v>
      </c>
      <c r="AA85">
        <v>258.61611938476563</v>
      </c>
      <c r="AB85">
        <v>270.37139892578125</v>
      </c>
      <c r="AC85">
        <v>282.12667846679688</v>
      </c>
      <c r="AD85">
        <v>293.8819580078125</v>
      </c>
      <c r="AE85">
        <v>305.63723754882813</v>
      </c>
      <c r="AF85">
        <v>317.39251708984375</v>
      </c>
      <c r="AG85">
        <v>329.14779663085938</v>
      </c>
      <c r="AH85">
        <v>340.903076171875</v>
      </c>
      <c r="AI85">
        <v>352.65835571289063</v>
      </c>
      <c r="AJ85">
        <v>364.41363525390625</v>
      </c>
      <c r="AK85">
        <v>376.16891479492188</v>
      </c>
      <c r="AL85">
        <v>387.9241943359375</v>
      </c>
      <c r="AM85">
        <v>399.67947387695313</v>
      </c>
      <c r="AN85">
        <v>411.43475341796875</v>
      </c>
      <c r="AO85">
        <v>423.19003295898438</v>
      </c>
      <c r="AP85">
        <v>434.9453125</v>
      </c>
      <c r="AQ85">
        <v>446.70059204101563</v>
      </c>
      <c r="AR85">
        <v>458.45587158203125</v>
      </c>
      <c r="AS85">
        <v>470.21112060546875</v>
      </c>
      <c r="AT85">
        <v>481.96640014648438</v>
      </c>
      <c r="AU85">
        <v>493.7216796875</v>
      </c>
      <c r="AV85">
        <v>505.47695922851563</v>
      </c>
      <c r="AW85">
        <v>517.23223876953125</v>
      </c>
      <c r="AX85">
        <v>528.987548828125</v>
      </c>
      <c r="AY85">
        <v>540.7427978515625</v>
      </c>
      <c r="AZ85">
        <v>552.49810791015625</v>
      </c>
      <c r="BA85">
        <v>564.25335693359375</v>
      </c>
      <c r="BB85">
        <v>576.0086669921875</v>
      </c>
      <c r="BC85">
        <v>587.763916015625</v>
      </c>
    </row>
    <row r="86" spans="4:55" x14ac:dyDescent="0.25">
      <c r="D86">
        <v>32000</v>
      </c>
      <c r="E86">
        <v>0</v>
      </c>
      <c r="F86">
        <v>11.703983306884766</v>
      </c>
      <c r="G86">
        <v>23.407966613769531</v>
      </c>
      <c r="H86">
        <v>35.111949920654297</v>
      </c>
      <c r="I86">
        <v>46.815933227539063</v>
      </c>
      <c r="J86">
        <v>58.519916534423828</v>
      </c>
      <c r="K86">
        <v>70.223899841308594</v>
      </c>
      <c r="L86">
        <v>81.927879333496094</v>
      </c>
      <c r="M86">
        <v>93.631866455078125</v>
      </c>
      <c r="N86">
        <v>105.33584594726563</v>
      </c>
      <c r="O86">
        <v>117.03983306884766</v>
      </c>
      <c r="P86">
        <v>128.74382019042969</v>
      </c>
      <c r="Q86">
        <v>140.44779968261719</v>
      </c>
      <c r="R86">
        <v>152.15177917480469</v>
      </c>
      <c r="S86">
        <v>163.85575866699219</v>
      </c>
      <c r="T86">
        <v>175.55975341796875</v>
      </c>
      <c r="U86">
        <v>187.26373291015625</v>
      </c>
      <c r="V86">
        <v>198.96771240234375</v>
      </c>
      <c r="W86">
        <v>210.67169189453125</v>
      </c>
      <c r="X86">
        <v>222.37568664550781</v>
      </c>
      <c r="Y86">
        <v>234.07966613769531</v>
      </c>
      <c r="Z86">
        <v>245.78364562988281</v>
      </c>
      <c r="AA86">
        <v>257.48764038085938</v>
      </c>
      <c r="AB86">
        <v>269.19161987304688</v>
      </c>
      <c r="AC86">
        <v>280.89559936523438</v>
      </c>
      <c r="AD86">
        <v>292.59957885742188</v>
      </c>
      <c r="AE86">
        <v>304.30355834960938</v>
      </c>
      <c r="AF86">
        <v>316.00753784179688</v>
      </c>
      <c r="AG86">
        <v>327.71151733398438</v>
      </c>
      <c r="AH86">
        <v>339.41552734375</v>
      </c>
      <c r="AI86">
        <v>351.1195068359375</v>
      </c>
      <c r="AJ86">
        <v>362.823486328125</v>
      </c>
      <c r="AK86">
        <v>374.5274658203125</v>
      </c>
      <c r="AL86">
        <v>386.2314453125</v>
      </c>
      <c r="AM86">
        <v>397.9354248046875</v>
      </c>
      <c r="AN86">
        <v>409.639404296875</v>
      </c>
      <c r="AO86">
        <v>421.3433837890625</v>
      </c>
      <c r="AP86">
        <v>433.04739379882813</v>
      </c>
      <c r="AQ86">
        <v>444.75137329101563</v>
      </c>
      <c r="AR86">
        <v>456.45535278320313</v>
      </c>
      <c r="AS86">
        <v>468.15933227539063</v>
      </c>
      <c r="AT86">
        <v>479.86331176757813</v>
      </c>
      <c r="AU86">
        <v>491.56729125976563</v>
      </c>
      <c r="AV86">
        <v>503.27127075195313</v>
      </c>
      <c r="AW86">
        <v>514.97528076171875</v>
      </c>
      <c r="AX86">
        <v>526.67926025390625</v>
      </c>
      <c r="AY86">
        <v>538.38323974609375</v>
      </c>
      <c r="AZ86">
        <v>550.08721923828125</v>
      </c>
      <c r="BA86">
        <v>561.79119873046875</v>
      </c>
      <c r="BB86">
        <v>573.49517822265625</v>
      </c>
      <c r="BC86">
        <v>585.19915771484375</v>
      </c>
    </row>
    <row r="87" spans="4:55" x14ac:dyDescent="0.25">
      <c r="D87">
        <v>33000</v>
      </c>
      <c r="E87">
        <v>0</v>
      </c>
      <c r="F87">
        <v>11.652466773986816</v>
      </c>
      <c r="G87">
        <v>23.304933547973633</v>
      </c>
      <c r="H87">
        <v>34.957401275634766</v>
      </c>
      <c r="I87">
        <v>46.609867095947266</v>
      </c>
      <c r="J87">
        <v>58.262332916259766</v>
      </c>
      <c r="K87">
        <v>69.914802551269531</v>
      </c>
      <c r="L87">
        <v>81.567268371582031</v>
      </c>
      <c r="M87">
        <v>93.219734191894531</v>
      </c>
      <c r="N87">
        <v>104.87220001220703</v>
      </c>
      <c r="O87">
        <v>116.52466583251953</v>
      </c>
      <c r="P87">
        <v>128.1771240234375</v>
      </c>
      <c r="Q87">
        <v>139.82960510253906</v>
      </c>
      <c r="R87">
        <v>151.48207092285156</v>
      </c>
      <c r="S87">
        <v>163.13453674316406</v>
      </c>
      <c r="T87">
        <v>174.78700256347656</v>
      </c>
      <c r="U87">
        <v>186.43946838378906</v>
      </c>
      <c r="V87">
        <v>198.09193420410156</v>
      </c>
      <c r="W87">
        <v>209.74440002441406</v>
      </c>
      <c r="X87">
        <v>221.39686584472656</v>
      </c>
      <c r="Y87">
        <v>233.04933166503906</v>
      </c>
      <c r="Z87">
        <v>244.70179748535156</v>
      </c>
      <c r="AA87">
        <v>256.354248046875</v>
      </c>
      <c r="AB87">
        <v>268.00674438476563</v>
      </c>
      <c r="AC87">
        <v>279.65921020507813</v>
      </c>
      <c r="AD87">
        <v>291.31167602539063</v>
      </c>
      <c r="AE87">
        <v>302.96414184570313</v>
      </c>
      <c r="AF87">
        <v>314.61660766601563</v>
      </c>
      <c r="AG87">
        <v>326.26907348632813</v>
      </c>
      <c r="AH87">
        <v>337.92153930664063</v>
      </c>
      <c r="AI87">
        <v>349.57400512695313</v>
      </c>
      <c r="AJ87">
        <v>361.22647094726563</v>
      </c>
      <c r="AK87">
        <v>372.87893676757813</v>
      </c>
      <c r="AL87">
        <v>384.53140258789063</v>
      </c>
      <c r="AM87">
        <v>396.18386840820313</v>
      </c>
      <c r="AN87">
        <v>407.83633422851563</v>
      </c>
      <c r="AO87">
        <v>419.48880004882813</v>
      </c>
      <c r="AP87">
        <v>431.14126586914063</v>
      </c>
      <c r="AQ87">
        <v>442.79373168945313</v>
      </c>
      <c r="AR87">
        <v>454.44619750976563</v>
      </c>
      <c r="AS87">
        <v>466.09866333007813</v>
      </c>
      <c r="AT87">
        <v>477.75112915039063</v>
      </c>
      <c r="AU87">
        <v>489.40359497070313</v>
      </c>
      <c r="AV87">
        <v>501.05606079101563</v>
      </c>
      <c r="AW87">
        <v>512.70849609375</v>
      </c>
      <c r="AX87">
        <v>524.3609619140625</v>
      </c>
      <c r="AY87">
        <v>536.01348876953125</v>
      </c>
      <c r="AZ87">
        <v>547.66595458984375</v>
      </c>
      <c r="BA87">
        <v>559.31842041015625</v>
      </c>
      <c r="BB87">
        <v>570.97088623046875</v>
      </c>
      <c r="BC87">
        <v>582.62335205078125</v>
      </c>
    </row>
    <row r="88" spans="4:55" x14ac:dyDescent="0.25">
      <c r="D88">
        <v>34000</v>
      </c>
      <c r="E88">
        <v>0</v>
      </c>
      <c r="F88">
        <v>11.600727081298828</v>
      </c>
      <c r="G88">
        <v>23.201454162597656</v>
      </c>
      <c r="H88">
        <v>34.802181243896484</v>
      </c>
      <c r="I88">
        <v>46.402908325195313</v>
      </c>
      <c r="J88">
        <v>58.003631591796875</v>
      </c>
      <c r="K88">
        <v>69.604362487792969</v>
      </c>
      <c r="L88">
        <v>81.205085754394531</v>
      </c>
      <c r="M88">
        <v>92.805816650390625</v>
      </c>
      <c r="N88">
        <v>104.40653991699219</v>
      </c>
      <c r="O88">
        <v>116.00726318359375</v>
      </c>
      <c r="P88">
        <v>127.60799407958984</v>
      </c>
      <c r="Q88">
        <v>139.20872497558594</v>
      </c>
      <c r="R88">
        <v>150.8094482421875</v>
      </c>
      <c r="S88">
        <v>162.41017150878906</v>
      </c>
      <c r="T88">
        <v>174.01089477539063</v>
      </c>
      <c r="U88">
        <v>185.61163330078125</v>
      </c>
      <c r="V88">
        <v>197.21235656738281</v>
      </c>
      <c r="W88">
        <v>208.81307983398438</v>
      </c>
      <c r="X88">
        <v>220.41380310058594</v>
      </c>
      <c r="Y88">
        <v>232.0145263671875</v>
      </c>
      <c r="Z88">
        <v>243.61526489257813</v>
      </c>
      <c r="AA88">
        <v>255.21598815917969</v>
      </c>
      <c r="AB88">
        <v>266.81671142578125</v>
      </c>
      <c r="AC88">
        <v>278.41744995117188</v>
      </c>
      <c r="AD88">
        <v>290.01815795898438</v>
      </c>
      <c r="AE88">
        <v>301.618896484375</v>
      </c>
      <c r="AF88">
        <v>313.2196044921875</v>
      </c>
      <c r="AG88">
        <v>324.82034301757813</v>
      </c>
      <c r="AH88">
        <v>336.42108154296875</v>
      </c>
      <c r="AI88">
        <v>348.02178955078125</v>
      </c>
      <c r="AJ88">
        <v>359.62252807617188</v>
      </c>
      <c r="AK88">
        <v>371.2232666015625</v>
      </c>
      <c r="AL88">
        <v>382.823974609375</v>
      </c>
      <c r="AM88">
        <v>394.42471313476563</v>
      </c>
      <c r="AN88">
        <v>406.02542114257813</v>
      </c>
      <c r="AO88">
        <v>417.62615966796875</v>
      </c>
      <c r="AP88">
        <v>429.22689819335938</v>
      </c>
      <c r="AQ88">
        <v>440.82760620117188</v>
      </c>
      <c r="AR88">
        <v>452.4283447265625</v>
      </c>
      <c r="AS88">
        <v>464.029052734375</v>
      </c>
      <c r="AT88">
        <v>475.62979125976563</v>
      </c>
      <c r="AU88">
        <v>487.23052978515625</v>
      </c>
      <c r="AV88">
        <v>498.83123779296875</v>
      </c>
      <c r="AW88">
        <v>510.43197631835938</v>
      </c>
      <c r="AX88">
        <v>522.03271484375</v>
      </c>
      <c r="AY88">
        <v>533.6334228515625</v>
      </c>
      <c r="AZ88">
        <v>545.234130859375</v>
      </c>
      <c r="BA88">
        <v>556.83489990234375</v>
      </c>
      <c r="BB88">
        <v>568.43560791015625</v>
      </c>
      <c r="BC88">
        <v>580.03631591796875</v>
      </c>
    </row>
    <row r="89" spans="4:55" x14ac:dyDescent="0.25">
      <c r="D89">
        <v>35000</v>
      </c>
      <c r="E89">
        <v>0</v>
      </c>
      <c r="F89">
        <v>11.548759460449219</v>
      </c>
      <c r="G89">
        <v>23.097518920898438</v>
      </c>
      <c r="H89">
        <v>34.646278381347656</v>
      </c>
      <c r="I89">
        <v>46.195037841796875</v>
      </c>
      <c r="J89">
        <v>57.743797302246094</v>
      </c>
      <c r="K89">
        <v>69.292556762695313</v>
      </c>
      <c r="L89">
        <v>80.841316223144531</v>
      </c>
      <c r="M89">
        <v>92.39007568359375</v>
      </c>
      <c r="N89">
        <v>103.93883514404297</v>
      </c>
      <c r="O89">
        <v>115.48759460449219</v>
      </c>
      <c r="P89">
        <v>127.03635406494141</v>
      </c>
      <c r="Q89">
        <v>138.58511352539063</v>
      </c>
      <c r="R89">
        <v>150.13386535644531</v>
      </c>
      <c r="S89">
        <v>161.68263244628906</v>
      </c>
      <c r="T89">
        <v>173.23138427734375</v>
      </c>
      <c r="U89">
        <v>184.7801513671875</v>
      </c>
      <c r="V89">
        <v>196.32890319824219</v>
      </c>
      <c r="W89">
        <v>207.87767028808594</v>
      </c>
      <c r="X89">
        <v>219.42642211914063</v>
      </c>
      <c r="Y89">
        <v>230.97518920898438</v>
      </c>
      <c r="Z89">
        <v>242.52394104003906</v>
      </c>
      <c r="AA89">
        <v>254.07270812988281</v>
      </c>
      <c r="AB89">
        <v>265.6214599609375</v>
      </c>
      <c r="AC89">
        <v>277.17022705078125</v>
      </c>
      <c r="AD89">
        <v>288.718994140625</v>
      </c>
      <c r="AE89">
        <v>300.26773071289063</v>
      </c>
      <c r="AF89">
        <v>311.81649780273438</v>
      </c>
      <c r="AG89">
        <v>323.36526489257813</v>
      </c>
      <c r="AH89">
        <v>334.91403198242188</v>
      </c>
      <c r="AI89">
        <v>346.4627685546875</v>
      </c>
      <c r="AJ89">
        <v>358.01153564453125</v>
      </c>
      <c r="AK89">
        <v>369.560302734375</v>
      </c>
      <c r="AL89">
        <v>381.10906982421875</v>
      </c>
      <c r="AM89">
        <v>392.65780639648438</v>
      </c>
      <c r="AN89">
        <v>404.20657348632813</v>
      </c>
      <c r="AO89">
        <v>415.75534057617188</v>
      </c>
      <c r="AP89">
        <v>427.30410766601563</v>
      </c>
      <c r="AQ89">
        <v>438.85284423828125</v>
      </c>
      <c r="AR89">
        <v>450.401611328125</v>
      </c>
      <c r="AS89">
        <v>461.95037841796875</v>
      </c>
      <c r="AT89">
        <v>473.4991455078125</v>
      </c>
      <c r="AU89">
        <v>485.04788208007813</v>
      </c>
      <c r="AV89">
        <v>496.59664916992188</v>
      </c>
      <c r="AW89">
        <v>508.14541625976563</v>
      </c>
      <c r="AX89">
        <v>519.69415283203125</v>
      </c>
      <c r="AY89">
        <v>531.242919921875</v>
      </c>
      <c r="AZ89">
        <v>542.79168701171875</v>
      </c>
      <c r="BA89">
        <v>554.3404541015625</v>
      </c>
      <c r="BB89">
        <v>565.88922119140625</v>
      </c>
      <c r="BC89">
        <v>577.43798828125</v>
      </c>
    </row>
    <row r="90" spans="4:55" x14ac:dyDescent="0.25">
      <c r="D90">
        <v>36000</v>
      </c>
      <c r="E90">
        <v>0</v>
      </c>
      <c r="F90">
        <v>11.496562004089355</v>
      </c>
      <c r="G90">
        <v>22.993124008178711</v>
      </c>
      <c r="H90">
        <v>34.489688873291016</v>
      </c>
      <c r="I90">
        <v>45.986248016357422</v>
      </c>
      <c r="J90">
        <v>57.482810974121094</v>
      </c>
      <c r="K90">
        <v>68.979377746582031</v>
      </c>
      <c r="L90">
        <v>80.475936889648438</v>
      </c>
      <c r="M90">
        <v>91.972496032714844</v>
      </c>
      <c r="N90">
        <v>103.46906280517578</v>
      </c>
      <c r="O90">
        <v>114.96562194824219</v>
      </c>
      <c r="P90">
        <v>126.46218872070313</v>
      </c>
      <c r="Q90">
        <v>137.95875549316406</v>
      </c>
      <c r="R90">
        <v>149.45530700683594</v>
      </c>
      <c r="S90">
        <v>160.95187377929688</v>
      </c>
      <c r="T90">
        <v>172.44844055175781</v>
      </c>
      <c r="U90">
        <v>183.94499206542969</v>
      </c>
      <c r="V90">
        <v>195.44155883789063</v>
      </c>
      <c r="W90">
        <v>206.93812561035156</v>
      </c>
      <c r="X90">
        <v>218.4346923828125</v>
      </c>
      <c r="Y90">
        <v>229.93124389648438</v>
      </c>
      <c r="Z90">
        <v>241.42781066894531</v>
      </c>
      <c r="AA90">
        <v>252.92437744140625</v>
      </c>
      <c r="AB90">
        <v>264.42092895507813</v>
      </c>
      <c r="AC90">
        <v>275.91751098632813</v>
      </c>
      <c r="AD90">
        <v>287.4140625</v>
      </c>
      <c r="AE90">
        <v>298.91061401367188</v>
      </c>
      <c r="AF90">
        <v>310.40719604492188</v>
      </c>
      <c r="AG90">
        <v>321.90374755859375</v>
      </c>
      <c r="AH90">
        <v>333.40029907226563</v>
      </c>
      <c r="AI90">
        <v>344.89688110351563</v>
      </c>
      <c r="AJ90">
        <v>356.3934326171875</v>
      </c>
      <c r="AK90">
        <v>367.88998413085938</v>
      </c>
      <c r="AL90">
        <v>379.38656616210938</v>
      </c>
      <c r="AM90">
        <v>390.88311767578125</v>
      </c>
      <c r="AN90">
        <v>402.37966918945313</v>
      </c>
      <c r="AO90">
        <v>413.87625122070313</v>
      </c>
      <c r="AP90">
        <v>425.372802734375</v>
      </c>
      <c r="AQ90">
        <v>436.869384765625</v>
      </c>
      <c r="AR90">
        <v>448.36593627929688</v>
      </c>
      <c r="AS90">
        <v>459.86248779296875</v>
      </c>
      <c r="AT90">
        <v>471.35906982421875</v>
      </c>
      <c r="AU90">
        <v>482.85562133789063</v>
      </c>
      <c r="AV90">
        <v>494.3521728515625</v>
      </c>
      <c r="AW90">
        <v>505.8487548828125</v>
      </c>
      <c r="AX90">
        <v>517.3453369140625</v>
      </c>
      <c r="AY90">
        <v>528.84185791015625</v>
      </c>
      <c r="AZ90">
        <v>540.33843994140625</v>
      </c>
      <c r="BA90">
        <v>551.83502197265625</v>
      </c>
      <c r="BB90">
        <v>563.33154296875</v>
      </c>
      <c r="BC90">
        <v>574.828125</v>
      </c>
    </row>
    <row r="91" spans="4:55" x14ac:dyDescent="0.25">
      <c r="D91">
        <v>37000</v>
      </c>
      <c r="E91">
        <v>0</v>
      </c>
      <c r="F91">
        <v>11.488618850708008</v>
      </c>
      <c r="G91">
        <v>22.977237701416016</v>
      </c>
      <c r="H91">
        <v>34.465854644775391</v>
      </c>
      <c r="I91">
        <v>45.954475402832031</v>
      </c>
      <c r="J91">
        <v>57.443092346191406</v>
      </c>
      <c r="K91">
        <v>68.931709289550781</v>
      </c>
      <c r="L91">
        <v>80.420333862304688</v>
      </c>
      <c r="M91">
        <v>91.908950805664063</v>
      </c>
      <c r="N91">
        <v>103.39756774902344</v>
      </c>
      <c r="O91">
        <v>114.88618469238281</v>
      </c>
      <c r="P91">
        <v>126.37480163574219</v>
      </c>
      <c r="Q91">
        <v>137.86341857910156</v>
      </c>
      <c r="R91">
        <v>149.35203552246094</v>
      </c>
      <c r="S91">
        <v>160.84066772460938</v>
      </c>
      <c r="T91">
        <v>172.32928466796875</v>
      </c>
      <c r="U91">
        <v>183.81790161132813</v>
      </c>
      <c r="V91">
        <v>195.3065185546875</v>
      </c>
      <c r="W91">
        <v>206.79513549804688</v>
      </c>
      <c r="X91">
        <v>218.28375244140625</v>
      </c>
      <c r="Y91">
        <v>229.77236938476563</v>
      </c>
      <c r="Z91">
        <v>241.260986328125</v>
      </c>
      <c r="AA91">
        <v>252.74960327148438</v>
      </c>
      <c r="AB91">
        <v>264.23822021484375</v>
      </c>
      <c r="AC91">
        <v>275.72683715820313</v>
      </c>
      <c r="AD91">
        <v>287.2154541015625</v>
      </c>
      <c r="AE91">
        <v>298.70407104492188</v>
      </c>
      <c r="AF91">
        <v>310.19268798828125</v>
      </c>
      <c r="AG91">
        <v>321.68133544921875</v>
      </c>
      <c r="AH91">
        <v>333.16995239257813</v>
      </c>
      <c r="AI91">
        <v>344.6585693359375</v>
      </c>
      <c r="AJ91">
        <v>356.14718627929688</v>
      </c>
      <c r="AK91">
        <v>367.63580322265625</v>
      </c>
      <c r="AL91">
        <v>379.12442016601563</v>
      </c>
      <c r="AM91">
        <v>390.613037109375</v>
      </c>
      <c r="AN91">
        <v>402.10165405273438</v>
      </c>
      <c r="AO91">
        <v>413.59027099609375</v>
      </c>
      <c r="AP91">
        <v>425.07888793945313</v>
      </c>
      <c r="AQ91">
        <v>436.5675048828125</v>
      </c>
      <c r="AR91">
        <v>448.05612182617188</v>
      </c>
      <c r="AS91">
        <v>459.54473876953125</v>
      </c>
      <c r="AT91">
        <v>471.03335571289063</v>
      </c>
      <c r="AU91">
        <v>482.52197265625</v>
      </c>
      <c r="AV91">
        <v>494.01058959960938</v>
      </c>
      <c r="AW91">
        <v>505.49920654296875</v>
      </c>
      <c r="AX91">
        <v>516.98785400390625</v>
      </c>
      <c r="AY91">
        <v>528.4764404296875</v>
      </c>
      <c r="AZ91">
        <v>539.965087890625</v>
      </c>
      <c r="BA91">
        <v>551.45367431640625</v>
      </c>
      <c r="BB91">
        <v>562.94232177734375</v>
      </c>
      <c r="BC91">
        <v>574.430908203125</v>
      </c>
    </row>
    <row r="92" spans="4:55" x14ac:dyDescent="0.25">
      <c r="D92">
        <v>38000</v>
      </c>
      <c r="E92">
        <v>0</v>
      </c>
      <c r="F92">
        <v>11.488618850708008</v>
      </c>
      <c r="G92">
        <v>22.977237701416016</v>
      </c>
      <c r="H92">
        <v>34.465854644775391</v>
      </c>
      <c r="I92">
        <v>45.954475402832031</v>
      </c>
      <c r="J92">
        <v>57.443092346191406</v>
      </c>
      <c r="K92">
        <v>68.931709289550781</v>
      </c>
      <c r="L92">
        <v>80.420333862304688</v>
      </c>
      <c r="M92">
        <v>91.908950805664063</v>
      </c>
      <c r="N92">
        <v>103.39756774902344</v>
      </c>
      <c r="O92">
        <v>114.88618469238281</v>
      </c>
      <c r="P92">
        <v>126.37480163574219</v>
      </c>
      <c r="Q92">
        <v>137.86341857910156</v>
      </c>
      <c r="R92">
        <v>149.35203552246094</v>
      </c>
      <c r="S92">
        <v>160.84066772460938</v>
      </c>
      <c r="T92">
        <v>172.32928466796875</v>
      </c>
      <c r="U92">
        <v>183.81790161132813</v>
      </c>
      <c r="V92">
        <v>195.3065185546875</v>
      </c>
      <c r="W92">
        <v>206.79513549804688</v>
      </c>
      <c r="X92">
        <v>218.28375244140625</v>
      </c>
      <c r="Y92">
        <v>229.77236938476563</v>
      </c>
      <c r="Z92">
        <v>241.260986328125</v>
      </c>
      <c r="AA92">
        <v>252.74960327148438</v>
      </c>
      <c r="AB92">
        <v>264.23822021484375</v>
      </c>
      <c r="AC92">
        <v>275.72683715820313</v>
      </c>
      <c r="AD92">
        <v>287.2154541015625</v>
      </c>
      <c r="AE92">
        <v>298.70407104492188</v>
      </c>
      <c r="AF92">
        <v>310.19268798828125</v>
      </c>
      <c r="AG92">
        <v>321.68133544921875</v>
      </c>
      <c r="AH92">
        <v>333.16995239257813</v>
      </c>
      <c r="AI92">
        <v>344.6585693359375</v>
      </c>
      <c r="AJ92">
        <v>356.14718627929688</v>
      </c>
      <c r="AK92">
        <v>367.63580322265625</v>
      </c>
      <c r="AL92">
        <v>379.12442016601563</v>
      </c>
      <c r="AM92">
        <v>390.613037109375</v>
      </c>
      <c r="AN92">
        <v>402.10165405273438</v>
      </c>
      <c r="AO92">
        <v>413.59027099609375</v>
      </c>
      <c r="AP92">
        <v>425.07888793945313</v>
      </c>
      <c r="AQ92">
        <v>436.5675048828125</v>
      </c>
      <c r="AR92">
        <v>448.05612182617188</v>
      </c>
      <c r="AS92">
        <v>459.54473876953125</v>
      </c>
      <c r="AT92">
        <v>471.03335571289063</v>
      </c>
      <c r="AU92">
        <v>482.52197265625</v>
      </c>
      <c r="AV92">
        <v>494.01058959960938</v>
      </c>
      <c r="AW92">
        <v>505.49920654296875</v>
      </c>
      <c r="AX92">
        <v>516.98785400390625</v>
      </c>
      <c r="AY92">
        <v>528.4764404296875</v>
      </c>
      <c r="AZ92">
        <v>539.965087890625</v>
      </c>
      <c r="BA92">
        <v>551.45367431640625</v>
      </c>
      <c r="BB92">
        <v>562.94232177734375</v>
      </c>
      <c r="BC92">
        <v>574.430908203125</v>
      </c>
    </row>
    <row r="93" spans="4:55" x14ac:dyDescent="0.25">
      <c r="D93">
        <v>39000</v>
      </c>
      <c r="E93">
        <v>0</v>
      </c>
      <c r="F93">
        <v>11.488618850708008</v>
      </c>
      <c r="G93">
        <v>22.977237701416016</v>
      </c>
      <c r="H93">
        <v>34.465854644775391</v>
      </c>
      <c r="I93">
        <v>45.954475402832031</v>
      </c>
      <c r="J93">
        <v>57.443092346191406</v>
      </c>
      <c r="K93">
        <v>68.931709289550781</v>
      </c>
      <c r="L93">
        <v>80.420333862304688</v>
      </c>
      <c r="M93">
        <v>91.908950805664063</v>
      </c>
      <c r="N93">
        <v>103.39756774902344</v>
      </c>
      <c r="O93">
        <v>114.88618469238281</v>
      </c>
      <c r="P93">
        <v>126.37480163574219</v>
      </c>
      <c r="Q93">
        <v>137.86341857910156</v>
      </c>
      <c r="R93">
        <v>149.35203552246094</v>
      </c>
      <c r="S93">
        <v>160.84066772460938</v>
      </c>
      <c r="T93">
        <v>172.32928466796875</v>
      </c>
      <c r="U93">
        <v>183.81790161132813</v>
      </c>
      <c r="V93">
        <v>195.3065185546875</v>
      </c>
      <c r="W93">
        <v>206.79513549804688</v>
      </c>
      <c r="X93">
        <v>218.28375244140625</v>
      </c>
      <c r="Y93">
        <v>229.77236938476563</v>
      </c>
      <c r="Z93">
        <v>241.260986328125</v>
      </c>
      <c r="AA93">
        <v>252.74960327148438</v>
      </c>
      <c r="AB93">
        <v>264.23822021484375</v>
      </c>
      <c r="AC93">
        <v>275.72683715820313</v>
      </c>
      <c r="AD93">
        <v>287.2154541015625</v>
      </c>
      <c r="AE93">
        <v>298.70407104492188</v>
      </c>
      <c r="AF93">
        <v>310.19268798828125</v>
      </c>
      <c r="AG93">
        <v>321.68133544921875</v>
      </c>
      <c r="AH93">
        <v>333.16995239257813</v>
      </c>
      <c r="AI93">
        <v>344.6585693359375</v>
      </c>
      <c r="AJ93">
        <v>356.14718627929688</v>
      </c>
      <c r="AK93">
        <v>367.63580322265625</v>
      </c>
      <c r="AL93">
        <v>379.12442016601563</v>
      </c>
      <c r="AM93">
        <v>390.613037109375</v>
      </c>
      <c r="AN93">
        <v>402.10165405273438</v>
      </c>
      <c r="AO93">
        <v>413.59027099609375</v>
      </c>
      <c r="AP93">
        <v>425.07888793945313</v>
      </c>
      <c r="AQ93">
        <v>436.5675048828125</v>
      </c>
      <c r="AR93">
        <v>448.05612182617188</v>
      </c>
      <c r="AS93">
        <v>459.54473876953125</v>
      </c>
      <c r="AT93">
        <v>471.03335571289063</v>
      </c>
      <c r="AU93">
        <v>482.52197265625</v>
      </c>
      <c r="AV93">
        <v>494.01058959960938</v>
      </c>
      <c r="AW93">
        <v>505.49920654296875</v>
      </c>
      <c r="AX93">
        <v>516.98785400390625</v>
      </c>
      <c r="AY93">
        <v>528.4764404296875</v>
      </c>
      <c r="AZ93">
        <v>539.965087890625</v>
      </c>
      <c r="BA93">
        <v>551.45367431640625</v>
      </c>
      <c r="BB93">
        <v>562.94232177734375</v>
      </c>
      <c r="BC93">
        <v>574.430908203125</v>
      </c>
    </row>
    <row r="94" spans="4:55" x14ac:dyDescent="0.25">
      <c r="D94">
        <v>40000</v>
      </c>
      <c r="E94">
        <v>0</v>
      </c>
      <c r="F94">
        <v>11.488618850708008</v>
      </c>
      <c r="G94">
        <v>22.977237701416016</v>
      </c>
      <c r="H94">
        <v>34.465854644775391</v>
      </c>
      <c r="I94">
        <v>45.954475402832031</v>
      </c>
      <c r="J94">
        <v>57.443092346191406</v>
      </c>
      <c r="K94">
        <v>68.931709289550781</v>
      </c>
      <c r="L94">
        <v>80.420333862304688</v>
      </c>
      <c r="M94">
        <v>91.908950805664063</v>
      </c>
      <c r="N94">
        <v>103.39756774902344</v>
      </c>
      <c r="O94">
        <v>114.88618469238281</v>
      </c>
      <c r="P94">
        <v>126.37480163574219</v>
      </c>
      <c r="Q94">
        <v>137.86341857910156</v>
      </c>
      <c r="R94">
        <v>149.35203552246094</v>
      </c>
      <c r="S94">
        <v>160.84066772460938</v>
      </c>
      <c r="T94">
        <v>172.32928466796875</v>
      </c>
      <c r="U94">
        <v>183.81790161132813</v>
      </c>
      <c r="V94">
        <v>195.3065185546875</v>
      </c>
      <c r="W94">
        <v>206.79513549804688</v>
      </c>
      <c r="X94">
        <v>218.28375244140625</v>
      </c>
      <c r="Y94">
        <v>229.77236938476563</v>
      </c>
      <c r="Z94">
        <v>241.260986328125</v>
      </c>
      <c r="AA94">
        <v>252.74960327148438</v>
      </c>
      <c r="AB94">
        <v>264.23822021484375</v>
      </c>
      <c r="AC94">
        <v>275.72683715820313</v>
      </c>
      <c r="AD94">
        <v>287.2154541015625</v>
      </c>
      <c r="AE94">
        <v>298.70407104492188</v>
      </c>
      <c r="AF94">
        <v>310.19268798828125</v>
      </c>
      <c r="AG94">
        <v>321.68133544921875</v>
      </c>
      <c r="AH94">
        <v>333.16995239257813</v>
      </c>
      <c r="AI94">
        <v>344.6585693359375</v>
      </c>
      <c r="AJ94">
        <v>356.14718627929688</v>
      </c>
      <c r="AK94">
        <v>367.63580322265625</v>
      </c>
      <c r="AL94">
        <v>379.12442016601563</v>
      </c>
      <c r="AM94">
        <v>390.613037109375</v>
      </c>
      <c r="AN94">
        <v>402.10165405273438</v>
      </c>
      <c r="AO94">
        <v>413.59027099609375</v>
      </c>
      <c r="AP94">
        <v>425.07888793945313</v>
      </c>
      <c r="AQ94">
        <v>436.5675048828125</v>
      </c>
      <c r="AR94">
        <v>448.05612182617188</v>
      </c>
      <c r="AS94">
        <v>459.54473876953125</v>
      </c>
      <c r="AT94">
        <v>471.03335571289063</v>
      </c>
      <c r="AU94">
        <v>482.52197265625</v>
      </c>
      <c r="AV94">
        <v>494.01058959960938</v>
      </c>
      <c r="AW94">
        <v>505.49920654296875</v>
      </c>
      <c r="AX94">
        <v>516.98785400390625</v>
      </c>
      <c r="AY94">
        <v>528.4764404296875</v>
      </c>
      <c r="AZ94">
        <v>539.965087890625</v>
      </c>
      <c r="BA94">
        <v>551.45367431640625</v>
      </c>
      <c r="BB94">
        <v>562.94232177734375</v>
      </c>
      <c r="BC94">
        <v>574.430908203125</v>
      </c>
    </row>
    <row r="95" spans="4:55" x14ac:dyDescent="0.25">
      <c r="D95">
        <v>41000</v>
      </c>
      <c r="E95">
        <v>0</v>
      </c>
      <c r="F95">
        <v>11.488618850708008</v>
      </c>
      <c r="G95">
        <v>22.977237701416016</v>
      </c>
      <c r="H95">
        <v>34.465854644775391</v>
      </c>
      <c r="I95">
        <v>45.954475402832031</v>
      </c>
      <c r="J95">
        <v>57.443092346191406</v>
      </c>
      <c r="K95">
        <v>68.931709289550781</v>
      </c>
      <c r="L95">
        <v>80.420333862304688</v>
      </c>
      <c r="M95">
        <v>91.908950805664063</v>
      </c>
      <c r="N95">
        <v>103.39756774902344</v>
      </c>
      <c r="O95">
        <v>114.88618469238281</v>
      </c>
      <c r="P95">
        <v>126.37480163574219</v>
      </c>
      <c r="Q95">
        <v>137.86341857910156</v>
      </c>
      <c r="R95">
        <v>149.35203552246094</v>
      </c>
      <c r="S95">
        <v>160.84066772460938</v>
      </c>
      <c r="T95">
        <v>172.32928466796875</v>
      </c>
      <c r="U95">
        <v>183.81790161132813</v>
      </c>
      <c r="V95">
        <v>195.3065185546875</v>
      </c>
      <c r="W95">
        <v>206.79513549804688</v>
      </c>
      <c r="X95">
        <v>218.28375244140625</v>
      </c>
      <c r="Y95">
        <v>229.77236938476563</v>
      </c>
      <c r="Z95">
        <v>241.260986328125</v>
      </c>
      <c r="AA95">
        <v>252.74960327148438</v>
      </c>
      <c r="AB95">
        <v>264.23822021484375</v>
      </c>
      <c r="AC95">
        <v>275.72683715820313</v>
      </c>
      <c r="AD95">
        <v>287.2154541015625</v>
      </c>
      <c r="AE95">
        <v>298.70407104492188</v>
      </c>
      <c r="AF95">
        <v>310.19268798828125</v>
      </c>
      <c r="AG95">
        <v>321.68133544921875</v>
      </c>
      <c r="AH95">
        <v>333.16995239257813</v>
      </c>
      <c r="AI95">
        <v>344.6585693359375</v>
      </c>
      <c r="AJ95">
        <v>356.14718627929688</v>
      </c>
      <c r="AK95">
        <v>367.63580322265625</v>
      </c>
      <c r="AL95">
        <v>379.12442016601563</v>
      </c>
      <c r="AM95">
        <v>390.613037109375</v>
      </c>
      <c r="AN95">
        <v>402.10165405273438</v>
      </c>
      <c r="AO95">
        <v>413.59027099609375</v>
      </c>
      <c r="AP95">
        <v>425.07888793945313</v>
      </c>
      <c r="AQ95">
        <v>436.5675048828125</v>
      </c>
      <c r="AR95">
        <v>448.05612182617188</v>
      </c>
      <c r="AS95">
        <v>459.54473876953125</v>
      </c>
      <c r="AT95">
        <v>471.03335571289063</v>
      </c>
      <c r="AU95">
        <v>482.52197265625</v>
      </c>
      <c r="AV95">
        <v>494.01058959960938</v>
      </c>
      <c r="AW95">
        <v>505.49920654296875</v>
      </c>
      <c r="AX95">
        <v>516.98785400390625</v>
      </c>
      <c r="AY95">
        <v>528.4764404296875</v>
      </c>
      <c r="AZ95">
        <v>539.965087890625</v>
      </c>
      <c r="BA95">
        <v>551.45367431640625</v>
      </c>
      <c r="BB95">
        <v>562.94232177734375</v>
      </c>
      <c r="BC95">
        <v>574.430908203125</v>
      </c>
    </row>
    <row r="96" spans="4:55" x14ac:dyDescent="0.25">
      <c r="D96">
        <v>42000</v>
      </c>
      <c r="E96">
        <v>0</v>
      </c>
      <c r="F96">
        <v>11.488618850708008</v>
      </c>
      <c r="G96">
        <v>22.977237701416016</v>
      </c>
      <c r="H96">
        <v>34.465854644775391</v>
      </c>
      <c r="I96">
        <v>45.954475402832031</v>
      </c>
      <c r="J96">
        <v>57.443092346191406</v>
      </c>
      <c r="K96">
        <v>68.931709289550781</v>
      </c>
      <c r="L96">
        <v>80.420333862304688</v>
      </c>
      <c r="M96">
        <v>91.908950805664063</v>
      </c>
      <c r="N96">
        <v>103.39756774902344</v>
      </c>
      <c r="O96">
        <v>114.88618469238281</v>
      </c>
      <c r="P96">
        <v>126.37480163574219</v>
      </c>
      <c r="Q96">
        <v>137.86341857910156</v>
      </c>
      <c r="R96">
        <v>149.35203552246094</v>
      </c>
      <c r="S96">
        <v>160.84066772460938</v>
      </c>
      <c r="T96">
        <v>172.32928466796875</v>
      </c>
      <c r="U96">
        <v>183.81790161132813</v>
      </c>
      <c r="V96">
        <v>195.3065185546875</v>
      </c>
      <c r="W96">
        <v>206.79513549804688</v>
      </c>
      <c r="X96">
        <v>218.28375244140625</v>
      </c>
      <c r="Y96">
        <v>229.77236938476563</v>
      </c>
      <c r="Z96">
        <v>241.260986328125</v>
      </c>
      <c r="AA96">
        <v>252.74960327148438</v>
      </c>
      <c r="AB96">
        <v>264.23822021484375</v>
      </c>
      <c r="AC96">
        <v>275.72683715820313</v>
      </c>
      <c r="AD96">
        <v>287.2154541015625</v>
      </c>
      <c r="AE96">
        <v>298.70407104492188</v>
      </c>
      <c r="AF96">
        <v>310.19268798828125</v>
      </c>
      <c r="AG96">
        <v>321.68133544921875</v>
      </c>
      <c r="AH96">
        <v>333.16995239257813</v>
      </c>
      <c r="AI96">
        <v>344.6585693359375</v>
      </c>
      <c r="AJ96">
        <v>356.14718627929688</v>
      </c>
      <c r="AK96">
        <v>367.63580322265625</v>
      </c>
      <c r="AL96">
        <v>379.12442016601563</v>
      </c>
      <c r="AM96">
        <v>390.613037109375</v>
      </c>
      <c r="AN96">
        <v>402.10165405273438</v>
      </c>
      <c r="AO96">
        <v>413.59027099609375</v>
      </c>
      <c r="AP96">
        <v>425.07888793945313</v>
      </c>
      <c r="AQ96">
        <v>436.5675048828125</v>
      </c>
      <c r="AR96">
        <v>448.05612182617188</v>
      </c>
      <c r="AS96">
        <v>459.54473876953125</v>
      </c>
      <c r="AT96">
        <v>471.03335571289063</v>
      </c>
      <c r="AU96">
        <v>482.52197265625</v>
      </c>
      <c r="AV96">
        <v>494.01058959960938</v>
      </c>
      <c r="AW96">
        <v>505.49920654296875</v>
      </c>
      <c r="AX96">
        <v>516.98785400390625</v>
      </c>
      <c r="AY96">
        <v>528.4764404296875</v>
      </c>
      <c r="AZ96">
        <v>539.965087890625</v>
      </c>
      <c r="BA96">
        <v>551.45367431640625</v>
      </c>
      <c r="BB96">
        <v>562.94232177734375</v>
      </c>
      <c r="BC96">
        <v>574.430908203125</v>
      </c>
    </row>
    <row r="97" spans="3:55" x14ac:dyDescent="0.25">
      <c r="D97">
        <v>43000</v>
      </c>
      <c r="E97">
        <v>0</v>
      </c>
      <c r="F97">
        <v>11.488618850708008</v>
      </c>
      <c r="G97">
        <v>22.977237701416016</v>
      </c>
      <c r="H97">
        <v>34.465854644775391</v>
      </c>
      <c r="I97">
        <v>45.954475402832031</v>
      </c>
      <c r="J97">
        <v>57.443092346191406</v>
      </c>
      <c r="K97">
        <v>68.931709289550781</v>
      </c>
      <c r="L97">
        <v>80.420333862304688</v>
      </c>
      <c r="M97">
        <v>91.908950805664063</v>
      </c>
      <c r="N97">
        <v>103.39756774902344</v>
      </c>
      <c r="O97">
        <v>114.88618469238281</v>
      </c>
      <c r="P97">
        <v>126.37480163574219</v>
      </c>
      <c r="Q97">
        <v>137.86341857910156</v>
      </c>
      <c r="R97">
        <v>149.35203552246094</v>
      </c>
      <c r="S97">
        <v>160.84066772460938</v>
      </c>
      <c r="T97">
        <v>172.32928466796875</v>
      </c>
      <c r="U97">
        <v>183.81790161132813</v>
      </c>
      <c r="V97">
        <v>195.3065185546875</v>
      </c>
      <c r="W97">
        <v>206.79513549804688</v>
      </c>
      <c r="X97">
        <v>218.28375244140625</v>
      </c>
      <c r="Y97">
        <v>229.77236938476563</v>
      </c>
      <c r="Z97">
        <v>241.260986328125</v>
      </c>
      <c r="AA97">
        <v>252.74960327148438</v>
      </c>
      <c r="AB97">
        <v>264.23822021484375</v>
      </c>
      <c r="AC97">
        <v>275.72683715820313</v>
      </c>
      <c r="AD97">
        <v>287.2154541015625</v>
      </c>
      <c r="AE97">
        <v>298.70407104492188</v>
      </c>
      <c r="AF97">
        <v>310.19268798828125</v>
      </c>
      <c r="AG97">
        <v>321.68133544921875</v>
      </c>
      <c r="AH97">
        <v>333.16995239257813</v>
      </c>
      <c r="AI97">
        <v>344.6585693359375</v>
      </c>
      <c r="AJ97">
        <v>356.14718627929688</v>
      </c>
      <c r="AK97">
        <v>367.63580322265625</v>
      </c>
      <c r="AL97">
        <v>379.12442016601563</v>
      </c>
      <c r="AM97">
        <v>390.613037109375</v>
      </c>
      <c r="AN97">
        <v>402.10165405273438</v>
      </c>
      <c r="AO97">
        <v>413.59027099609375</v>
      </c>
      <c r="AP97">
        <v>425.07888793945313</v>
      </c>
      <c r="AQ97">
        <v>436.5675048828125</v>
      </c>
      <c r="AR97">
        <v>448.05612182617188</v>
      </c>
      <c r="AS97">
        <v>459.54473876953125</v>
      </c>
      <c r="AT97">
        <v>471.03335571289063</v>
      </c>
      <c r="AU97">
        <v>482.52197265625</v>
      </c>
      <c r="AV97">
        <v>494.01058959960938</v>
      </c>
      <c r="AW97">
        <v>505.49920654296875</v>
      </c>
      <c r="AX97">
        <v>516.98785400390625</v>
      </c>
      <c r="AY97">
        <v>528.4764404296875</v>
      </c>
      <c r="AZ97">
        <v>539.965087890625</v>
      </c>
      <c r="BA97">
        <v>551.45367431640625</v>
      </c>
      <c r="BB97">
        <v>562.94232177734375</v>
      </c>
      <c r="BC97">
        <v>574.430908203125</v>
      </c>
    </row>
    <row r="98" spans="3:55" x14ac:dyDescent="0.25">
      <c r="D98">
        <v>44000</v>
      </c>
      <c r="E98">
        <v>0</v>
      </c>
      <c r="F98">
        <v>11.488618850708008</v>
      </c>
      <c r="G98">
        <v>22.977237701416016</v>
      </c>
      <c r="H98">
        <v>34.465854644775391</v>
      </c>
      <c r="I98">
        <v>45.954475402832031</v>
      </c>
      <c r="J98">
        <v>57.443092346191406</v>
      </c>
      <c r="K98">
        <v>68.931709289550781</v>
      </c>
      <c r="L98">
        <v>80.420333862304688</v>
      </c>
      <c r="M98">
        <v>91.908950805664063</v>
      </c>
      <c r="N98">
        <v>103.39756774902344</v>
      </c>
      <c r="O98">
        <v>114.88618469238281</v>
      </c>
      <c r="P98">
        <v>126.37480163574219</v>
      </c>
      <c r="Q98">
        <v>137.86341857910156</v>
      </c>
      <c r="R98">
        <v>149.35203552246094</v>
      </c>
      <c r="S98">
        <v>160.84066772460938</v>
      </c>
      <c r="T98">
        <v>172.32928466796875</v>
      </c>
      <c r="U98">
        <v>183.81790161132813</v>
      </c>
      <c r="V98">
        <v>195.3065185546875</v>
      </c>
      <c r="W98">
        <v>206.79513549804688</v>
      </c>
      <c r="X98">
        <v>218.28375244140625</v>
      </c>
      <c r="Y98">
        <v>229.77236938476563</v>
      </c>
      <c r="Z98">
        <v>241.260986328125</v>
      </c>
      <c r="AA98">
        <v>252.74960327148438</v>
      </c>
      <c r="AB98">
        <v>264.23822021484375</v>
      </c>
      <c r="AC98">
        <v>275.72683715820313</v>
      </c>
      <c r="AD98">
        <v>287.2154541015625</v>
      </c>
      <c r="AE98">
        <v>298.70407104492188</v>
      </c>
      <c r="AF98">
        <v>310.19268798828125</v>
      </c>
      <c r="AG98">
        <v>321.68133544921875</v>
      </c>
      <c r="AH98">
        <v>333.16995239257813</v>
      </c>
      <c r="AI98">
        <v>344.6585693359375</v>
      </c>
      <c r="AJ98">
        <v>356.14718627929688</v>
      </c>
      <c r="AK98">
        <v>367.63580322265625</v>
      </c>
      <c r="AL98">
        <v>379.12442016601563</v>
      </c>
      <c r="AM98">
        <v>390.613037109375</v>
      </c>
      <c r="AN98">
        <v>402.10165405273438</v>
      </c>
      <c r="AO98">
        <v>413.59027099609375</v>
      </c>
      <c r="AP98">
        <v>425.07888793945313</v>
      </c>
      <c r="AQ98">
        <v>436.5675048828125</v>
      </c>
      <c r="AR98">
        <v>448.05612182617188</v>
      </c>
      <c r="AS98">
        <v>459.54473876953125</v>
      </c>
      <c r="AT98">
        <v>471.03335571289063</v>
      </c>
      <c r="AU98">
        <v>482.52197265625</v>
      </c>
      <c r="AV98">
        <v>494.01058959960938</v>
      </c>
      <c r="AW98">
        <v>505.49920654296875</v>
      </c>
      <c r="AX98">
        <v>516.98785400390625</v>
      </c>
      <c r="AY98">
        <v>528.4764404296875</v>
      </c>
      <c r="AZ98">
        <v>539.965087890625</v>
      </c>
      <c r="BA98">
        <v>551.45367431640625</v>
      </c>
      <c r="BB98">
        <v>562.94232177734375</v>
      </c>
      <c r="BC98">
        <v>574.430908203125</v>
      </c>
    </row>
    <row r="99" spans="3:55" x14ac:dyDescent="0.25">
      <c r="D99">
        <v>45000</v>
      </c>
      <c r="E99">
        <v>0</v>
      </c>
      <c r="F99">
        <v>11.488618850708008</v>
      </c>
      <c r="G99">
        <v>22.977237701416016</v>
      </c>
      <c r="H99">
        <v>34.465854644775391</v>
      </c>
      <c r="I99">
        <v>45.954475402832031</v>
      </c>
      <c r="J99">
        <v>57.443092346191406</v>
      </c>
      <c r="K99">
        <v>68.931709289550781</v>
      </c>
      <c r="L99">
        <v>80.420333862304688</v>
      </c>
      <c r="M99">
        <v>91.908950805664063</v>
      </c>
      <c r="N99">
        <v>103.39756774902344</v>
      </c>
      <c r="O99">
        <v>114.88618469238281</v>
      </c>
      <c r="P99">
        <v>126.37480163574219</v>
      </c>
      <c r="Q99">
        <v>137.86341857910156</v>
      </c>
      <c r="R99">
        <v>149.35203552246094</v>
      </c>
      <c r="S99">
        <v>160.84066772460938</v>
      </c>
      <c r="T99">
        <v>172.32928466796875</v>
      </c>
      <c r="U99">
        <v>183.81790161132813</v>
      </c>
      <c r="V99">
        <v>195.3065185546875</v>
      </c>
      <c r="W99">
        <v>206.79513549804688</v>
      </c>
      <c r="X99">
        <v>218.28375244140625</v>
      </c>
      <c r="Y99">
        <v>229.77236938476563</v>
      </c>
      <c r="Z99">
        <v>241.260986328125</v>
      </c>
      <c r="AA99">
        <v>252.74960327148438</v>
      </c>
      <c r="AB99">
        <v>264.23822021484375</v>
      </c>
      <c r="AC99">
        <v>275.72683715820313</v>
      </c>
      <c r="AD99">
        <v>287.2154541015625</v>
      </c>
      <c r="AE99">
        <v>298.70407104492188</v>
      </c>
      <c r="AF99">
        <v>310.19268798828125</v>
      </c>
      <c r="AG99">
        <v>321.68133544921875</v>
      </c>
      <c r="AH99">
        <v>333.16995239257813</v>
      </c>
      <c r="AI99">
        <v>344.6585693359375</v>
      </c>
      <c r="AJ99">
        <v>356.14718627929688</v>
      </c>
      <c r="AK99">
        <v>367.63580322265625</v>
      </c>
      <c r="AL99">
        <v>379.12442016601563</v>
      </c>
      <c r="AM99">
        <v>390.613037109375</v>
      </c>
      <c r="AN99">
        <v>402.10165405273438</v>
      </c>
      <c r="AO99">
        <v>413.59027099609375</v>
      </c>
      <c r="AP99">
        <v>425.07888793945313</v>
      </c>
      <c r="AQ99">
        <v>436.5675048828125</v>
      </c>
      <c r="AR99">
        <v>448.05612182617188</v>
      </c>
      <c r="AS99">
        <v>459.54473876953125</v>
      </c>
      <c r="AT99">
        <v>471.03335571289063</v>
      </c>
      <c r="AU99">
        <v>482.52197265625</v>
      </c>
      <c r="AV99">
        <v>494.01058959960938</v>
      </c>
      <c r="AW99">
        <v>505.49920654296875</v>
      </c>
      <c r="AX99">
        <v>516.98785400390625</v>
      </c>
      <c r="AY99">
        <v>528.4764404296875</v>
      </c>
      <c r="AZ99">
        <v>539.965087890625</v>
      </c>
      <c r="BA99">
        <v>551.45367431640625</v>
      </c>
      <c r="BB99">
        <v>562.94232177734375</v>
      </c>
      <c r="BC99">
        <v>574.430908203125</v>
      </c>
    </row>
    <row r="100" spans="3:55" x14ac:dyDescent="0.25">
      <c r="D100">
        <v>46000</v>
      </c>
      <c r="E100">
        <v>0</v>
      </c>
      <c r="F100">
        <v>11.488618850708008</v>
      </c>
      <c r="G100">
        <v>22.977237701416016</v>
      </c>
      <c r="H100">
        <v>34.465854644775391</v>
      </c>
      <c r="I100">
        <v>45.954475402832031</v>
      </c>
      <c r="J100">
        <v>57.443092346191406</v>
      </c>
      <c r="K100">
        <v>68.931709289550781</v>
      </c>
      <c r="L100">
        <v>80.420333862304688</v>
      </c>
      <c r="M100">
        <v>91.908950805664063</v>
      </c>
      <c r="N100">
        <v>103.39756774902344</v>
      </c>
      <c r="O100">
        <v>114.88618469238281</v>
      </c>
      <c r="P100">
        <v>126.37480163574219</v>
      </c>
      <c r="Q100">
        <v>137.86341857910156</v>
      </c>
      <c r="R100">
        <v>149.35203552246094</v>
      </c>
      <c r="S100">
        <v>160.84066772460938</v>
      </c>
      <c r="T100">
        <v>172.32928466796875</v>
      </c>
      <c r="U100">
        <v>183.81790161132813</v>
      </c>
      <c r="V100">
        <v>195.3065185546875</v>
      </c>
      <c r="W100">
        <v>206.79513549804688</v>
      </c>
      <c r="X100">
        <v>218.28375244140625</v>
      </c>
      <c r="Y100">
        <v>229.77236938476563</v>
      </c>
      <c r="Z100">
        <v>241.260986328125</v>
      </c>
      <c r="AA100">
        <v>252.74960327148438</v>
      </c>
      <c r="AB100">
        <v>264.23822021484375</v>
      </c>
      <c r="AC100">
        <v>275.72683715820313</v>
      </c>
      <c r="AD100">
        <v>287.2154541015625</v>
      </c>
      <c r="AE100">
        <v>298.70407104492188</v>
      </c>
      <c r="AF100">
        <v>310.19268798828125</v>
      </c>
      <c r="AG100">
        <v>321.68133544921875</v>
      </c>
      <c r="AH100">
        <v>333.16995239257813</v>
      </c>
      <c r="AI100">
        <v>344.6585693359375</v>
      </c>
      <c r="AJ100">
        <v>356.14718627929688</v>
      </c>
      <c r="AK100">
        <v>367.63580322265625</v>
      </c>
      <c r="AL100">
        <v>379.12442016601563</v>
      </c>
      <c r="AM100">
        <v>390.613037109375</v>
      </c>
      <c r="AN100">
        <v>402.10165405273438</v>
      </c>
      <c r="AO100">
        <v>413.59027099609375</v>
      </c>
      <c r="AP100">
        <v>425.07888793945313</v>
      </c>
      <c r="AQ100">
        <v>436.5675048828125</v>
      </c>
      <c r="AR100">
        <v>448.05612182617188</v>
      </c>
      <c r="AS100">
        <v>459.54473876953125</v>
      </c>
      <c r="AT100">
        <v>471.03335571289063</v>
      </c>
      <c r="AU100">
        <v>482.52197265625</v>
      </c>
      <c r="AV100">
        <v>494.01058959960938</v>
      </c>
      <c r="AW100">
        <v>505.49920654296875</v>
      </c>
      <c r="AX100">
        <v>516.98785400390625</v>
      </c>
      <c r="AY100">
        <v>528.4764404296875</v>
      </c>
      <c r="AZ100">
        <v>539.965087890625</v>
      </c>
      <c r="BA100">
        <v>551.45367431640625</v>
      </c>
      <c r="BB100">
        <v>562.94232177734375</v>
      </c>
      <c r="BC100">
        <v>574.430908203125</v>
      </c>
    </row>
    <row r="101" spans="3:55" x14ac:dyDescent="0.25">
      <c r="D101">
        <v>47000</v>
      </c>
      <c r="E101">
        <v>0</v>
      </c>
      <c r="F101">
        <v>11.488618850708008</v>
      </c>
      <c r="G101">
        <v>22.977237701416016</v>
      </c>
      <c r="H101">
        <v>34.465854644775391</v>
      </c>
      <c r="I101">
        <v>45.954475402832031</v>
      </c>
      <c r="J101">
        <v>57.443092346191406</v>
      </c>
      <c r="K101">
        <v>68.931709289550781</v>
      </c>
      <c r="L101">
        <v>80.420333862304688</v>
      </c>
      <c r="M101">
        <v>91.908950805664063</v>
      </c>
      <c r="N101">
        <v>103.39756774902344</v>
      </c>
      <c r="O101">
        <v>114.88618469238281</v>
      </c>
      <c r="P101">
        <v>126.37480163574219</v>
      </c>
      <c r="Q101">
        <v>137.86341857910156</v>
      </c>
      <c r="R101">
        <v>149.35203552246094</v>
      </c>
      <c r="S101">
        <v>160.84066772460938</v>
      </c>
      <c r="T101">
        <v>172.32928466796875</v>
      </c>
      <c r="U101">
        <v>183.81790161132813</v>
      </c>
      <c r="V101">
        <v>195.3065185546875</v>
      </c>
      <c r="W101">
        <v>206.79513549804688</v>
      </c>
      <c r="X101">
        <v>218.28375244140625</v>
      </c>
      <c r="Y101">
        <v>229.77236938476563</v>
      </c>
      <c r="Z101">
        <v>241.260986328125</v>
      </c>
      <c r="AA101">
        <v>252.74960327148438</v>
      </c>
      <c r="AB101">
        <v>264.23822021484375</v>
      </c>
      <c r="AC101">
        <v>275.72683715820313</v>
      </c>
      <c r="AD101">
        <v>287.2154541015625</v>
      </c>
      <c r="AE101">
        <v>298.70407104492188</v>
      </c>
      <c r="AF101">
        <v>310.19268798828125</v>
      </c>
      <c r="AG101">
        <v>321.68133544921875</v>
      </c>
      <c r="AH101">
        <v>333.16995239257813</v>
      </c>
      <c r="AI101">
        <v>344.6585693359375</v>
      </c>
      <c r="AJ101">
        <v>356.14718627929688</v>
      </c>
      <c r="AK101">
        <v>367.63580322265625</v>
      </c>
      <c r="AL101">
        <v>379.12442016601563</v>
      </c>
      <c r="AM101">
        <v>390.613037109375</v>
      </c>
      <c r="AN101">
        <v>402.10165405273438</v>
      </c>
      <c r="AO101">
        <v>413.59027099609375</v>
      </c>
      <c r="AP101">
        <v>425.07888793945313</v>
      </c>
      <c r="AQ101">
        <v>436.5675048828125</v>
      </c>
      <c r="AR101">
        <v>448.05612182617188</v>
      </c>
      <c r="AS101">
        <v>459.54473876953125</v>
      </c>
      <c r="AT101">
        <v>471.03335571289063</v>
      </c>
      <c r="AU101">
        <v>482.52197265625</v>
      </c>
      <c r="AV101">
        <v>494.01058959960938</v>
      </c>
      <c r="AW101">
        <v>505.49920654296875</v>
      </c>
      <c r="AX101">
        <v>516.98785400390625</v>
      </c>
      <c r="AY101">
        <v>528.4764404296875</v>
      </c>
      <c r="AZ101">
        <v>539.965087890625</v>
      </c>
      <c r="BA101">
        <v>551.45367431640625</v>
      </c>
      <c r="BB101">
        <v>562.94232177734375</v>
      </c>
      <c r="BC101">
        <v>574.430908203125</v>
      </c>
    </row>
    <row r="102" spans="3:55" x14ac:dyDescent="0.25">
      <c r="D102">
        <v>48000</v>
      </c>
      <c r="E102">
        <v>0</v>
      </c>
      <c r="F102">
        <v>11.488618850708008</v>
      </c>
      <c r="G102">
        <v>22.977237701416016</v>
      </c>
      <c r="H102">
        <v>34.465854644775391</v>
      </c>
      <c r="I102">
        <v>45.954475402832031</v>
      </c>
      <c r="J102">
        <v>57.443092346191406</v>
      </c>
      <c r="K102">
        <v>68.931709289550781</v>
      </c>
      <c r="L102">
        <v>80.420333862304688</v>
      </c>
      <c r="M102">
        <v>91.908950805664063</v>
      </c>
      <c r="N102">
        <v>103.39756774902344</v>
      </c>
      <c r="O102">
        <v>114.88618469238281</v>
      </c>
      <c r="P102">
        <v>126.37480163574219</v>
      </c>
      <c r="Q102">
        <v>137.86341857910156</v>
      </c>
      <c r="R102">
        <v>149.35203552246094</v>
      </c>
      <c r="S102">
        <v>160.84066772460938</v>
      </c>
      <c r="T102">
        <v>172.32928466796875</v>
      </c>
      <c r="U102">
        <v>183.81790161132813</v>
      </c>
      <c r="V102">
        <v>195.3065185546875</v>
      </c>
      <c r="W102">
        <v>206.79513549804688</v>
      </c>
      <c r="X102">
        <v>218.28375244140625</v>
      </c>
      <c r="Y102">
        <v>229.77236938476563</v>
      </c>
      <c r="Z102">
        <v>241.260986328125</v>
      </c>
      <c r="AA102">
        <v>252.74960327148438</v>
      </c>
      <c r="AB102">
        <v>264.23822021484375</v>
      </c>
      <c r="AC102">
        <v>275.72683715820313</v>
      </c>
      <c r="AD102">
        <v>287.2154541015625</v>
      </c>
      <c r="AE102">
        <v>298.70407104492188</v>
      </c>
      <c r="AF102">
        <v>310.19268798828125</v>
      </c>
      <c r="AG102">
        <v>321.68133544921875</v>
      </c>
      <c r="AH102">
        <v>333.16995239257813</v>
      </c>
      <c r="AI102">
        <v>344.6585693359375</v>
      </c>
      <c r="AJ102">
        <v>356.14718627929688</v>
      </c>
      <c r="AK102">
        <v>367.63580322265625</v>
      </c>
      <c r="AL102">
        <v>379.12442016601563</v>
      </c>
      <c r="AM102">
        <v>390.613037109375</v>
      </c>
      <c r="AN102">
        <v>402.10165405273438</v>
      </c>
      <c r="AO102">
        <v>413.59027099609375</v>
      </c>
      <c r="AP102">
        <v>425.07888793945313</v>
      </c>
      <c r="AQ102">
        <v>436.5675048828125</v>
      </c>
      <c r="AR102">
        <v>448.05612182617188</v>
      </c>
      <c r="AS102">
        <v>459.54473876953125</v>
      </c>
      <c r="AT102">
        <v>471.03335571289063</v>
      </c>
      <c r="AU102">
        <v>482.52197265625</v>
      </c>
      <c r="AV102">
        <v>494.01058959960938</v>
      </c>
      <c r="AW102">
        <v>505.49920654296875</v>
      </c>
      <c r="AX102">
        <v>516.98785400390625</v>
      </c>
      <c r="AY102">
        <v>528.4764404296875</v>
      </c>
      <c r="AZ102">
        <v>539.965087890625</v>
      </c>
      <c r="BA102">
        <v>551.45367431640625</v>
      </c>
      <c r="BB102">
        <v>562.94232177734375</v>
      </c>
      <c r="BC102">
        <v>574.430908203125</v>
      </c>
    </row>
    <row r="103" spans="3:55" x14ac:dyDescent="0.25">
      <c r="D103">
        <v>49000</v>
      </c>
      <c r="E103">
        <v>0</v>
      </c>
      <c r="F103">
        <v>11.488618850708008</v>
      </c>
      <c r="G103">
        <v>22.977237701416016</v>
      </c>
      <c r="H103">
        <v>34.465854644775391</v>
      </c>
      <c r="I103">
        <v>45.954475402832031</v>
      </c>
      <c r="J103">
        <v>57.443092346191406</v>
      </c>
      <c r="K103">
        <v>68.931709289550781</v>
      </c>
      <c r="L103">
        <v>80.420333862304688</v>
      </c>
      <c r="M103">
        <v>91.908950805664063</v>
      </c>
      <c r="N103">
        <v>103.39756774902344</v>
      </c>
      <c r="O103">
        <v>114.88618469238281</v>
      </c>
      <c r="P103">
        <v>126.37480163574219</v>
      </c>
      <c r="Q103">
        <v>137.86341857910156</v>
      </c>
      <c r="R103">
        <v>149.35203552246094</v>
      </c>
      <c r="S103">
        <v>160.84066772460938</v>
      </c>
      <c r="T103">
        <v>172.32928466796875</v>
      </c>
      <c r="U103">
        <v>183.81790161132813</v>
      </c>
      <c r="V103">
        <v>195.3065185546875</v>
      </c>
      <c r="W103">
        <v>206.79513549804688</v>
      </c>
      <c r="X103">
        <v>218.28375244140625</v>
      </c>
      <c r="Y103">
        <v>229.77236938476563</v>
      </c>
      <c r="Z103">
        <v>241.260986328125</v>
      </c>
      <c r="AA103">
        <v>252.74960327148438</v>
      </c>
      <c r="AB103">
        <v>264.23822021484375</v>
      </c>
      <c r="AC103">
        <v>275.72683715820313</v>
      </c>
      <c r="AD103">
        <v>287.2154541015625</v>
      </c>
      <c r="AE103">
        <v>298.70407104492188</v>
      </c>
      <c r="AF103">
        <v>310.19268798828125</v>
      </c>
      <c r="AG103">
        <v>321.68133544921875</v>
      </c>
      <c r="AH103">
        <v>333.16995239257813</v>
      </c>
      <c r="AI103">
        <v>344.6585693359375</v>
      </c>
      <c r="AJ103">
        <v>356.14718627929688</v>
      </c>
      <c r="AK103">
        <v>367.63580322265625</v>
      </c>
      <c r="AL103">
        <v>379.12442016601563</v>
      </c>
      <c r="AM103">
        <v>390.613037109375</v>
      </c>
      <c r="AN103">
        <v>402.10165405273438</v>
      </c>
      <c r="AO103">
        <v>413.59027099609375</v>
      </c>
      <c r="AP103">
        <v>425.07888793945313</v>
      </c>
      <c r="AQ103">
        <v>436.5675048828125</v>
      </c>
      <c r="AR103">
        <v>448.05612182617188</v>
      </c>
      <c r="AS103">
        <v>459.54473876953125</v>
      </c>
      <c r="AT103">
        <v>471.03335571289063</v>
      </c>
      <c r="AU103">
        <v>482.52197265625</v>
      </c>
      <c r="AV103">
        <v>494.01058959960938</v>
      </c>
      <c r="AW103">
        <v>505.49920654296875</v>
      </c>
      <c r="AX103">
        <v>516.98785400390625</v>
      </c>
      <c r="AY103">
        <v>528.4764404296875</v>
      </c>
      <c r="AZ103">
        <v>539.965087890625</v>
      </c>
      <c r="BA103">
        <v>551.45367431640625</v>
      </c>
      <c r="BB103">
        <v>562.94232177734375</v>
      </c>
      <c r="BC103">
        <v>574.430908203125</v>
      </c>
    </row>
    <row r="104" spans="3:55" x14ac:dyDescent="0.25">
      <c r="D104">
        <v>50000</v>
      </c>
      <c r="E104">
        <v>0</v>
      </c>
      <c r="F104">
        <v>11.488618850708008</v>
      </c>
      <c r="G104">
        <v>22.977237701416016</v>
      </c>
      <c r="H104">
        <v>34.465854644775391</v>
      </c>
      <c r="I104">
        <v>45.954475402832031</v>
      </c>
      <c r="J104">
        <v>57.443092346191406</v>
      </c>
      <c r="K104">
        <v>68.931709289550781</v>
      </c>
      <c r="L104">
        <v>80.420333862304688</v>
      </c>
      <c r="M104">
        <v>91.908950805664063</v>
      </c>
      <c r="N104">
        <v>103.39756774902344</v>
      </c>
      <c r="O104">
        <v>114.88618469238281</v>
      </c>
      <c r="P104">
        <v>126.37480163574219</v>
      </c>
      <c r="Q104">
        <v>137.86341857910156</v>
      </c>
      <c r="R104">
        <v>149.35203552246094</v>
      </c>
      <c r="S104">
        <v>160.84066772460938</v>
      </c>
      <c r="T104">
        <v>172.32928466796875</v>
      </c>
      <c r="U104">
        <v>183.81790161132813</v>
      </c>
      <c r="V104">
        <v>195.3065185546875</v>
      </c>
      <c r="W104">
        <v>206.79513549804688</v>
      </c>
      <c r="X104">
        <v>218.28375244140625</v>
      </c>
      <c r="Y104">
        <v>229.77236938476563</v>
      </c>
      <c r="Z104">
        <v>241.260986328125</v>
      </c>
      <c r="AA104">
        <v>252.74960327148438</v>
      </c>
      <c r="AB104">
        <v>264.23822021484375</v>
      </c>
      <c r="AC104">
        <v>275.72683715820313</v>
      </c>
      <c r="AD104">
        <v>287.2154541015625</v>
      </c>
      <c r="AE104">
        <v>298.70407104492188</v>
      </c>
      <c r="AF104">
        <v>310.19268798828125</v>
      </c>
      <c r="AG104">
        <v>321.68133544921875</v>
      </c>
      <c r="AH104">
        <v>333.16995239257813</v>
      </c>
      <c r="AI104">
        <v>344.6585693359375</v>
      </c>
      <c r="AJ104">
        <v>356.14718627929688</v>
      </c>
      <c r="AK104">
        <v>367.63580322265625</v>
      </c>
      <c r="AL104">
        <v>379.12442016601563</v>
      </c>
      <c r="AM104">
        <v>390.613037109375</v>
      </c>
      <c r="AN104">
        <v>402.10165405273438</v>
      </c>
      <c r="AO104">
        <v>413.59027099609375</v>
      </c>
      <c r="AP104">
        <v>425.07888793945313</v>
      </c>
      <c r="AQ104">
        <v>436.5675048828125</v>
      </c>
      <c r="AR104">
        <v>448.05612182617188</v>
      </c>
      <c r="AS104">
        <v>459.54473876953125</v>
      </c>
      <c r="AT104">
        <v>471.03335571289063</v>
      </c>
      <c r="AU104">
        <v>482.52197265625</v>
      </c>
      <c r="AV104">
        <v>494.01058959960938</v>
      </c>
      <c r="AW104">
        <v>505.49920654296875</v>
      </c>
      <c r="AX104">
        <v>516.98785400390625</v>
      </c>
      <c r="AY104">
        <v>528.4764404296875</v>
      </c>
      <c r="AZ104">
        <v>539.965087890625</v>
      </c>
      <c r="BA104">
        <v>551.45367431640625</v>
      </c>
      <c r="BB104">
        <v>562.94232177734375</v>
      </c>
      <c r="BC104">
        <v>574.430908203125</v>
      </c>
    </row>
    <row r="105" spans="3:55" x14ac:dyDescent="0.25">
      <c r="C105" t="s">
        <v>135</v>
      </c>
      <c r="D105" t="s">
        <v>133</v>
      </c>
      <c r="E105">
        <v>0</v>
      </c>
      <c r="F105">
        <v>0.02</v>
      </c>
      <c r="G105">
        <v>0.04</v>
      </c>
      <c r="H105">
        <v>0.06</v>
      </c>
      <c r="I105">
        <v>0.08</v>
      </c>
      <c r="J105">
        <v>0.1</v>
      </c>
      <c r="K105">
        <v>0.12</v>
      </c>
      <c r="L105">
        <v>0.14000000000000001</v>
      </c>
      <c r="M105">
        <v>0.16</v>
      </c>
      <c r="N105">
        <v>0.18</v>
      </c>
      <c r="O105">
        <v>0.2</v>
      </c>
      <c r="P105">
        <v>0.22</v>
      </c>
      <c r="Q105">
        <v>0.24</v>
      </c>
      <c r="R105">
        <v>0.26</v>
      </c>
      <c r="S105">
        <v>0.28000000000000003</v>
      </c>
      <c r="T105">
        <v>0.3</v>
      </c>
      <c r="U105">
        <v>0.32</v>
      </c>
      <c r="V105">
        <v>0.34</v>
      </c>
      <c r="W105">
        <v>0.36</v>
      </c>
      <c r="X105">
        <v>0.38</v>
      </c>
      <c r="Y105">
        <v>0.4</v>
      </c>
      <c r="Z105">
        <v>0.42</v>
      </c>
      <c r="AA105">
        <v>0.44</v>
      </c>
      <c r="AB105">
        <v>0.46</v>
      </c>
      <c r="AC105">
        <v>0.48</v>
      </c>
      <c r="AD105">
        <v>0.5</v>
      </c>
      <c r="AE105">
        <v>0.52</v>
      </c>
      <c r="AF105">
        <v>0.54</v>
      </c>
      <c r="AG105">
        <v>0.56000000000000005</v>
      </c>
      <c r="AH105">
        <v>0.57999999999999996</v>
      </c>
      <c r="AI105">
        <v>0.6</v>
      </c>
      <c r="AJ105">
        <v>0.62</v>
      </c>
      <c r="AK105">
        <v>0.64</v>
      </c>
      <c r="AL105">
        <v>0.66</v>
      </c>
      <c r="AM105">
        <v>0.68</v>
      </c>
      <c r="AN105">
        <v>0.7</v>
      </c>
      <c r="AO105">
        <v>0.72</v>
      </c>
      <c r="AP105">
        <v>0.74</v>
      </c>
      <c r="AQ105">
        <v>0.76</v>
      </c>
      <c r="AR105">
        <v>0.78</v>
      </c>
      <c r="AS105">
        <v>0.8</v>
      </c>
      <c r="AT105">
        <v>0.82</v>
      </c>
      <c r="AU105">
        <v>0.84</v>
      </c>
      <c r="AV105">
        <v>0.86</v>
      </c>
      <c r="AW105">
        <v>0.88</v>
      </c>
      <c r="AX105">
        <v>0.9</v>
      </c>
      <c r="AY105">
        <v>0.92</v>
      </c>
      <c r="AZ105">
        <v>0.94</v>
      </c>
      <c r="BA105">
        <v>0.96</v>
      </c>
      <c r="BB105">
        <v>0.98</v>
      </c>
      <c r="BC105">
        <v>1</v>
      </c>
    </row>
    <row r="106" spans="3:55" x14ac:dyDescent="0.25">
      <c r="D106">
        <v>0</v>
      </c>
      <c r="E106">
        <v>0</v>
      </c>
      <c r="F106">
        <v>13.217578887939453</v>
      </c>
      <c r="G106">
        <v>26.435157775878906</v>
      </c>
      <c r="H106">
        <v>39.652736663818359</v>
      </c>
      <c r="I106">
        <v>52.870315551757813</v>
      </c>
      <c r="J106">
        <v>66.087898254394531</v>
      </c>
      <c r="K106">
        <v>79.305473327636719</v>
      </c>
      <c r="L106">
        <v>92.523056030273438</v>
      </c>
      <c r="M106">
        <v>105.74063110351563</v>
      </c>
      <c r="N106">
        <v>118.95821380615234</v>
      </c>
      <c r="O106">
        <v>132.17579650878906</v>
      </c>
      <c r="P106">
        <v>145.39337158203125</v>
      </c>
      <c r="Q106">
        <v>158.61094665527344</v>
      </c>
      <c r="R106">
        <v>171.82853698730469</v>
      </c>
      <c r="S106">
        <v>185.04611206054688</v>
      </c>
      <c r="T106">
        <v>198.26368713378906</v>
      </c>
      <c r="U106">
        <v>211.48126220703125</v>
      </c>
      <c r="V106">
        <v>224.6988525390625</v>
      </c>
      <c r="W106">
        <v>237.91642761230469</v>
      </c>
      <c r="X106">
        <v>251.13400268554688</v>
      </c>
      <c r="Y106">
        <v>264.35159301757813</v>
      </c>
      <c r="Z106">
        <v>277.56918334960938</v>
      </c>
      <c r="AA106">
        <v>290.7867431640625</v>
      </c>
      <c r="AB106">
        <v>304.00433349609375</v>
      </c>
      <c r="AC106">
        <v>317.22189331054688</v>
      </c>
      <c r="AD106">
        <v>330.43948364257813</v>
      </c>
      <c r="AE106">
        <v>343.65707397460938</v>
      </c>
      <c r="AF106">
        <v>356.8746337890625</v>
      </c>
      <c r="AG106">
        <v>370.09222412109375</v>
      </c>
      <c r="AH106">
        <v>383.309814453125</v>
      </c>
      <c r="AI106">
        <v>396.52737426757813</v>
      </c>
      <c r="AJ106">
        <v>409.74496459960938</v>
      </c>
      <c r="AK106">
        <v>422.9625244140625</v>
      </c>
      <c r="AL106">
        <v>436.18014526367188</v>
      </c>
      <c r="AM106">
        <v>449.397705078125</v>
      </c>
      <c r="AN106">
        <v>462.61529541015625</v>
      </c>
      <c r="AO106">
        <v>475.83285522460938</v>
      </c>
      <c r="AP106">
        <v>489.05044555664063</v>
      </c>
      <c r="AQ106">
        <v>502.26800537109375</v>
      </c>
      <c r="AR106">
        <v>515.485595703125</v>
      </c>
      <c r="AS106">
        <v>528.70318603515625</v>
      </c>
      <c r="AT106">
        <v>541.9207763671875</v>
      </c>
      <c r="AU106">
        <v>555.13836669921875</v>
      </c>
      <c r="AV106">
        <v>568.35589599609375</v>
      </c>
      <c r="AW106">
        <v>581.573486328125</v>
      </c>
      <c r="AX106">
        <v>594.79107666015625</v>
      </c>
      <c r="AY106">
        <v>608.0086669921875</v>
      </c>
      <c r="AZ106">
        <v>621.22625732421875</v>
      </c>
      <c r="BA106">
        <v>634.44378662109375</v>
      </c>
      <c r="BB106">
        <v>647.661376953125</v>
      </c>
      <c r="BC106">
        <v>660.87896728515625</v>
      </c>
    </row>
    <row r="107" spans="3:55" x14ac:dyDescent="0.25">
      <c r="D107">
        <v>1000</v>
      </c>
      <c r="E107">
        <v>0</v>
      </c>
      <c r="F107">
        <v>12.980101585388184</v>
      </c>
      <c r="G107">
        <v>25.960203170776367</v>
      </c>
      <c r="H107">
        <v>38.940303802490234</v>
      </c>
      <c r="I107">
        <v>51.920406341552734</v>
      </c>
      <c r="J107">
        <v>64.9005126953125</v>
      </c>
      <c r="K107">
        <v>77.880607604980469</v>
      </c>
      <c r="L107">
        <v>90.860710144042969</v>
      </c>
      <c r="M107">
        <v>103.84081268310547</v>
      </c>
      <c r="N107">
        <v>116.82091522216797</v>
      </c>
      <c r="O107">
        <v>129.801025390625</v>
      </c>
      <c r="P107">
        <v>142.78111267089844</v>
      </c>
      <c r="Q107">
        <v>155.76121520996094</v>
      </c>
      <c r="R107">
        <v>168.74131774902344</v>
      </c>
      <c r="S107">
        <v>181.72142028808594</v>
      </c>
      <c r="T107">
        <v>194.70152282714844</v>
      </c>
      <c r="U107">
        <v>207.68162536621094</v>
      </c>
      <c r="V107">
        <v>220.66172790527344</v>
      </c>
      <c r="W107">
        <v>233.64183044433594</v>
      </c>
      <c r="X107">
        <v>246.62193298339844</v>
      </c>
      <c r="Y107">
        <v>259.60205078125</v>
      </c>
      <c r="Z107">
        <v>272.58212280273438</v>
      </c>
      <c r="AA107">
        <v>285.56222534179688</v>
      </c>
      <c r="AB107">
        <v>298.54232788085938</v>
      </c>
      <c r="AC107">
        <v>311.52243041992188</v>
      </c>
      <c r="AD107">
        <v>324.50253295898438</v>
      </c>
      <c r="AE107">
        <v>337.48263549804688</v>
      </c>
      <c r="AF107">
        <v>350.46273803710938</v>
      </c>
      <c r="AG107">
        <v>363.44284057617188</v>
      </c>
      <c r="AH107">
        <v>376.42294311523438</v>
      </c>
      <c r="AI107">
        <v>389.40304565429688</v>
      </c>
      <c r="AJ107">
        <v>402.38314819335938</v>
      </c>
      <c r="AK107">
        <v>415.36325073242188</v>
      </c>
      <c r="AL107">
        <v>428.34335327148438</v>
      </c>
      <c r="AM107">
        <v>441.32345581054688</v>
      </c>
      <c r="AN107">
        <v>454.30355834960938</v>
      </c>
      <c r="AO107">
        <v>467.28366088867188</v>
      </c>
      <c r="AP107">
        <v>480.26376342773438</v>
      </c>
      <c r="AQ107">
        <v>493.24386596679688</v>
      </c>
      <c r="AR107">
        <v>506.22396850585938</v>
      </c>
      <c r="AS107">
        <v>519.2041015625</v>
      </c>
      <c r="AT107">
        <v>532.1842041015625</v>
      </c>
      <c r="AU107">
        <v>545.16424560546875</v>
      </c>
      <c r="AV107">
        <v>558.14434814453125</v>
      </c>
      <c r="AW107">
        <v>571.12445068359375</v>
      </c>
      <c r="AX107">
        <v>584.1046142578125</v>
      </c>
      <c r="AY107">
        <v>597.08465576171875</v>
      </c>
      <c r="AZ107">
        <v>610.06475830078125</v>
      </c>
      <c r="BA107">
        <v>623.04486083984375</v>
      </c>
      <c r="BB107">
        <v>636.02496337890625</v>
      </c>
      <c r="BC107">
        <v>649.00506591796875</v>
      </c>
    </row>
    <row r="108" spans="3:55" x14ac:dyDescent="0.25">
      <c r="D108">
        <v>2000</v>
      </c>
      <c r="E108">
        <v>0</v>
      </c>
      <c r="F108">
        <v>12.745308876037598</v>
      </c>
      <c r="G108">
        <v>25.490617752075195</v>
      </c>
      <c r="H108">
        <v>38.235923767089844</v>
      </c>
      <c r="I108">
        <v>50.981235504150391</v>
      </c>
      <c r="J108">
        <v>63.726543426513672</v>
      </c>
      <c r="K108">
        <v>76.471847534179688</v>
      </c>
      <c r="L108">
        <v>89.217155456542969</v>
      </c>
      <c r="M108">
        <v>101.96247100830078</v>
      </c>
      <c r="N108">
        <v>114.70777893066406</v>
      </c>
      <c r="O108">
        <v>127.45308685302734</v>
      </c>
      <c r="P108">
        <v>140.19839477539063</v>
      </c>
      <c r="Q108">
        <v>152.94369506835938</v>
      </c>
      <c r="R108">
        <v>165.68901062011719</v>
      </c>
      <c r="S108">
        <v>178.43431091308594</v>
      </c>
      <c r="T108">
        <v>191.17962646484375</v>
      </c>
      <c r="U108">
        <v>203.92494201660156</v>
      </c>
      <c r="V108">
        <v>216.67024230957031</v>
      </c>
      <c r="W108">
        <v>229.41555786132813</v>
      </c>
      <c r="X108">
        <v>242.16085815429688</v>
      </c>
      <c r="Y108">
        <v>254.90617370605469</v>
      </c>
      <c r="Z108">
        <v>267.6514892578125</v>
      </c>
      <c r="AA108">
        <v>280.39678955078125</v>
      </c>
      <c r="AB108">
        <v>293.14208984375</v>
      </c>
      <c r="AC108">
        <v>305.88739013671875</v>
      </c>
      <c r="AD108">
        <v>318.63272094726563</v>
      </c>
      <c r="AE108">
        <v>331.37802124023438</v>
      </c>
      <c r="AF108">
        <v>344.12332153320313</v>
      </c>
      <c r="AG108">
        <v>356.86862182617188</v>
      </c>
      <c r="AH108">
        <v>369.61395263671875</v>
      </c>
      <c r="AI108">
        <v>382.3592529296875</v>
      </c>
      <c r="AJ108">
        <v>395.10455322265625</v>
      </c>
      <c r="AK108">
        <v>407.84988403320313</v>
      </c>
      <c r="AL108">
        <v>420.59518432617188</v>
      </c>
      <c r="AM108">
        <v>433.34048461914063</v>
      </c>
      <c r="AN108">
        <v>446.08578491210938</v>
      </c>
      <c r="AO108">
        <v>458.83111572265625</v>
      </c>
      <c r="AP108">
        <v>471.576416015625</v>
      </c>
      <c r="AQ108">
        <v>484.32171630859375</v>
      </c>
      <c r="AR108">
        <v>497.0670166015625</v>
      </c>
      <c r="AS108">
        <v>509.81234741210938</v>
      </c>
      <c r="AT108">
        <v>522.5576171875</v>
      </c>
      <c r="AU108">
        <v>535.302978515625</v>
      </c>
      <c r="AV108">
        <v>548.04827880859375</v>
      </c>
      <c r="AW108">
        <v>560.7935791015625</v>
      </c>
      <c r="AX108">
        <v>573.53887939453125</v>
      </c>
      <c r="AY108">
        <v>586.2841796875</v>
      </c>
      <c r="AZ108">
        <v>599.02947998046875</v>
      </c>
      <c r="BA108">
        <v>611.7747802734375</v>
      </c>
      <c r="BB108">
        <v>624.5201416015625</v>
      </c>
      <c r="BC108">
        <v>637.26544189453125</v>
      </c>
    </row>
    <row r="109" spans="3:55" x14ac:dyDescent="0.25">
      <c r="D109">
        <v>3000</v>
      </c>
      <c r="E109">
        <v>0</v>
      </c>
      <c r="F109">
        <v>12.513186454772949</v>
      </c>
      <c r="G109">
        <v>25.026372909545898</v>
      </c>
      <c r="H109">
        <v>37.539558410644531</v>
      </c>
      <c r="I109">
        <v>50.052745819091797</v>
      </c>
      <c r="J109">
        <v>62.565929412841797</v>
      </c>
      <c r="K109">
        <v>75.079116821289063</v>
      </c>
      <c r="L109">
        <v>87.592300415039063</v>
      </c>
      <c r="M109">
        <v>100.10549163818359</v>
      </c>
      <c r="N109">
        <v>112.61866760253906</v>
      </c>
      <c r="O109">
        <v>125.13185882568359</v>
      </c>
      <c r="P109">
        <v>137.64505004882813</v>
      </c>
      <c r="Q109">
        <v>150.15823364257813</v>
      </c>
      <c r="R109">
        <v>162.67141723632813</v>
      </c>
      <c r="S109">
        <v>175.18460083007813</v>
      </c>
      <c r="T109">
        <v>187.69778442382813</v>
      </c>
      <c r="U109">
        <v>200.21098327636719</v>
      </c>
      <c r="V109">
        <v>212.72416687011719</v>
      </c>
      <c r="W109">
        <v>225.23733520507813</v>
      </c>
      <c r="X109">
        <v>237.75053405761719</v>
      </c>
      <c r="Y109">
        <v>250.26371765136719</v>
      </c>
      <c r="Z109">
        <v>262.77691650390625</v>
      </c>
      <c r="AA109">
        <v>275.29010009765625</v>
      </c>
      <c r="AB109">
        <v>287.80328369140625</v>
      </c>
      <c r="AC109">
        <v>300.31646728515625</v>
      </c>
      <c r="AD109">
        <v>312.82965087890625</v>
      </c>
      <c r="AE109">
        <v>325.34283447265625</v>
      </c>
      <c r="AF109">
        <v>337.85601806640625</v>
      </c>
      <c r="AG109">
        <v>350.36920166015625</v>
      </c>
      <c r="AH109">
        <v>362.88238525390625</v>
      </c>
      <c r="AI109">
        <v>375.39556884765625</v>
      </c>
      <c r="AJ109">
        <v>387.90875244140625</v>
      </c>
      <c r="AK109">
        <v>400.42196655273438</v>
      </c>
      <c r="AL109">
        <v>412.93515014648438</v>
      </c>
      <c r="AM109">
        <v>425.44833374023438</v>
      </c>
      <c r="AN109">
        <v>437.96151733398438</v>
      </c>
      <c r="AO109">
        <v>450.47467041015625</v>
      </c>
      <c r="AP109">
        <v>462.98788452148438</v>
      </c>
      <c r="AQ109">
        <v>475.50106811523438</v>
      </c>
      <c r="AR109">
        <v>488.01425170898438</v>
      </c>
      <c r="AS109">
        <v>500.52743530273438</v>
      </c>
      <c r="AT109">
        <v>513.04058837890625</v>
      </c>
      <c r="AU109">
        <v>525.5538330078125</v>
      </c>
      <c r="AV109">
        <v>538.0670166015625</v>
      </c>
      <c r="AW109">
        <v>550.5802001953125</v>
      </c>
      <c r="AX109">
        <v>563.0933837890625</v>
      </c>
      <c r="AY109">
        <v>575.6065673828125</v>
      </c>
      <c r="AZ109">
        <v>588.1197509765625</v>
      </c>
      <c r="BA109">
        <v>600.6329345703125</v>
      </c>
      <c r="BB109">
        <v>613.1461181640625</v>
      </c>
      <c r="BC109">
        <v>625.6593017578125</v>
      </c>
    </row>
    <row r="110" spans="3:55" x14ac:dyDescent="0.25">
      <c r="D110">
        <v>4000</v>
      </c>
      <c r="E110">
        <v>0</v>
      </c>
      <c r="F110">
        <v>12.283722877502441</v>
      </c>
      <c r="G110">
        <v>24.567445755004883</v>
      </c>
      <c r="H110">
        <v>36.851169586181641</v>
      </c>
      <c r="I110">
        <v>49.134891510009766</v>
      </c>
      <c r="J110">
        <v>61.418613433837891</v>
      </c>
      <c r="K110">
        <v>73.702339172363281</v>
      </c>
      <c r="L110">
        <v>85.986061096191406</v>
      </c>
      <c r="M110">
        <v>98.269783020019531</v>
      </c>
      <c r="N110">
        <v>110.55350494384766</v>
      </c>
      <c r="O110">
        <v>122.83722686767578</v>
      </c>
      <c r="P110">
        <v>135.12095642089844</v>
      </c>
      <c r="Q110">
        <v>147.40467834472656</v>
      </c>
      <c r="R110">
        <v>159.68840026855469</v>
      </c>
      <c r="S110">
        <v>171.97212219238281</v>
      </c>
      <c r="T110">
        <v>184.25584411621094</v>
      </c>
      <c r="U110">
        <v>196.53956604003906</v>
      </c>
      <c r="V110">
        <v>208.82328796386719</v>
      </c>
      <c r="W110">
        <v>221.10700988769531</v>
      </c>
      <c r="X110">
        <v>233.39073181152344</v>
      </c>
      <c r="Y110">
        <v>245.67445373535156</v>
      </c>
      <c r="Z110">
        <v>257.95819091796875</v>
      </c>
      <c r="AA110">
        <v>270.24191284179688</v>
      </c>
      <c r="AB110">
        <v>282.525634765625</v>
      </c>
      <c r="AC110">
        <v>294.80935668945313</v>
      </c>
      <c r="AD110">
        <v>307.09307861328125</v>
      </c>
      <c r="AE110">
        <v>319.37680053710938</v>
      </c>
      <c r="AF110">
        <v>331.6605224609375</v>
      </c>
      <c r="AG110">
        <v>343.94424438476563</v>
      </c>
      <c r="AH110">
        <v>356.22796630859375</v>
      </c>
      <c r="AI110">
        <v>368.51168823242188</v>
      </c>
      <c r="AJ110">
        <v>380.79541015625</v>
      </c>
      <c r="AK110">
        <v>393.07913208007813</v>
      </c>
      <c r="AL110">
        <v>405.36285400390625</v>
      </c>
      <c r="AM110">
        <v>417.64657592773438</v>
      </c>
      <c r="AN110">
        <v>429.9302978515625</v>
      </c>
      <c r="AO110">
        <v>442.21401977539063</v>
      </c>
      <c r="AP110">
        <v>454.49774169921875</v>
      </c>
      <c r="AQ110">
        <v>466.78146362304688</v>
      </c>
      <c r="AR110">
        <v>479.065185546875</v>
      </c>
      <c r="AS110">
        <v>491.34890747070313</v>
      </c>
      <c r="AT110">
        <v>503.63262939453125</v>
      </c>
      <c r="AU110">
        <v>515.9163818359375</v>
      </c>
      <c r="AV110">
        <v>528.2000732421875</v>
      </c>
      <c r="AW110">
        <v>540.48382568359375</v>
      </c>
      <c r="AX110">
        <v>552.76751708984375</v>
      </c>
      <c r="AY110">
        <v>565.05126953125</v>
      </c>
      <c r="AZ110">
        <v>577.3349609375</v>
      </c>
      <c r="BA110">
        <v>589.61871337890625</v>
      </c>
      <c r="BB110">
        <v>601.90240478515625</v>
      </c>
      <c r="BC110">
        <v>614.1861572265625</v>
      </c>
    </row>
    <row r="111" spans="3:55" x14ac:dyDescent="0.25">
      <c r="D111">
        <v>5000</v>
      </c>
      <c r="E111">
        <v>0</v>
      </c>
      <c r="F111">
        <v>12.056905746459961</v>
      </c>
      <c r="G111">
        <v>24.113811492919922</v>
      </c>
      <c r="H111">
        <v>36.170719146728516</v>
      </c>
      <c r="I111">
        <v>48.227622985839844</v>
      </c>
      <c r="J111">
        <v>60.284530639648438</v>
      </c>
      <c r="K111">
        <v>72.341438293457031</v>
      </c>
      <c r="L111">
        <v>84.398345947265625</v>
      </c>
      <c r="M111">
        <v>96.455245971679688</v>
      </c>
      <c r="N111">
        <v>108.51215362548828</v>
      </c>
      <c r="O111">
        <v>120.56906127929688</v>
      </c>
      <c r="P111">
        <v>132.62596130371094</v>
      </c>
      <c r="Q111">
        <v>144.68287658691406</v>
      </c>
      <c r="R111">
        <v>156.73977661132813</v>
      </c>
      <c r="S111">
        <v>168.79669189453125</v>
      </c>
      <c r="T111">
        <v>180.85359191894531</v>
      </c>
      <c r="U111">
        <v>192.91049194335938</v>
      </c>
      <c r="V111">
        <v>204.9674072265625</v>
      </c>
      <c r="W111">
        <v>217.02430725097656</v>
      </c>
      <c r="X111">
        <v>229.08120727539063</v>
      </c>
      <c r="Y111">
        <v>241.13812255859375</v>
      </c>
      <c r="Z111">
        <v>253.19502258300781</v>
      </c>
      <c r="AA111">
        <v>265.25192260742188</v>
      </c>
      <c r="AB111">
        <v>277.308837890625</v>
      </c>
      <c r="AC111">
        <v>289.36575317382813</v>
      </c>
      <c r="AD111">
        <v>301.42263793945313</v>
      </c>
      <c r="AE111">
        <v>313.47955322265625</v>
      </c>
      <c r="AF111">
        <v>325.53646850585938</v>
      </c>
      <c r="AG111">
        <v>337.5933837890625</v>
      </c>
      <c r="AH111">
        <v>349.6502685546875</v>
      </c>
      <c r="AI111">
        <v>361.70718383789063</v>
      </c>
      <c r="AJ111">
        <v>373.76406860351563</v>
      </c>
      <c r="AK111">
        <v>385.82098388671875</v>
      </c>
      <c r="AL111">
        <v>397.87789916992188</v>
      </c>
      <c r="AM111">
        <v>409.934814453125</v>
      </c>
      <c r="AN111">
        <v>421.99172973632813</v>
      </c>
      <c r="AO111">
        <v>434.04861450195313</v>
      </c>
      <c r="AP111">
        <v>446.10552978515625</v>
      </c>
      <c r="AQ111">
        <v>458.16241455078125</v>
      </c>
      <c r="AR111">
        <v>470.21932983398438</v>
      </c>
      <c r="AS111">
        <v>482.2762451171875</v>
      </c>
      <c r="AT111">
        <v>494.33316040039063</v>
      </c>
      <c r="AU111">
        <v>506.39004516601563</v>
      </c>
      <c r="AV111">
        <v>518.44696044921875</v>
      </c>
      <c r="AW111">
        <v>530.50384521484375</v>
      </c>
      <c r="AX111">
        <v>542.560791015625</v>
      </c>
      <c r="AY111">
        <v>554.61767578125</v>
      </c>
      <c r="AZ111">
        <v>566.674560546875</v>
      </c>
      <c r="BA111">
        <v>578.73150634765625</v>
      </c>
      <c r="BB111">
        <v>590.78839111328125</v>
      </c>
      <c r="BC111">
        <v>602.84527587890625</v>
      </c>
    </row>
    <row r="112" spans="3:55" x14ac:dyDescent="0.25">
      <c r="D112">
        <v>6000</v>
      </c>
      <c r="E112">
        <v>0</v>
      </c>
      <c r="F112">
        <v>11.832723617553711</v>
      </c>
      <c r="G112">
        <v>23.665447235107422</v>
      </c>
      <c r="H112">
        <v>35.4981689453125</v>
      </c>
      <c r="I112">
        <v>47.330894470214844</v>
      </c>
      <c r="J112">
        <v>59.163616180419922</v>
      </c>
      <c r="K112">
        <v>70.996337890625</v>
      </c>
      <c r="L112">
        <v>82.829063415527344</v>
      </c>
      <c r="M112">
        <v>94.661788940429688</v>
      </c>
      <c r="N112">
        <v>106.49451446533203</v>
      </c>
      <c r="O112">
        <v>118.32723236083984</v>
      </c>
      <c r="P112">
        <v>130.15995788574219</v>
      </c>
      <c r="Q112">
        <v>141.99267578125</v>
      </c>
      <c r="R112">
        <v>153.82540893554688</v>
      </c>
      <c r="S112">
        <v>165.65812683105469</v>
      </c>
      <c r="T112">
        <v>177.49085998535156</v>
      </c>
      <c r="U112">
        <v>189.32357788085938</v>
      </c>
      <c r="V112">
        <v>201.15629577636719</v>
      </c>
      <c r="W112">
        <v>212.98902893066406</v>
      </c>
      <c r="X112">
        <v>224.82174682617188</v>
      </c>
      <c r="Y112">
        <v>236.65446472167969</v>
      </c>
      <c r="Z112">
        <v>248.48719787597656</v>
      </c>
      <c r="AA112">
        <v>260.31991577148438</v>
      </c>
      <c r="AB112">
        <v>272.15264892578125</v>
      </c>
      <c r="AC112">
        <v>283.9853515625</v>
      </c>
      <c r="AD112">
        <v>295.81808471679688</v>
      </c>
      <c r="AE112">
        <v>307.65081787109375</v>
      </c>
      <c r="AF112">
        <v>319.48355102539063</v>
      </c>
      <c r="AG112">
        <v>331.31625366210938</v>
      </c>
      <c r="AH112">
        <v>343.14898681640625</v>
      </c>
      <c r="AI112">
        <v>354.98171997070313</v>
      </c>
      <c r="AJ112">
        <v>366.81442260742188</v>
      </c>
      <c r="AK112">
        <v>378.64715576171875</v>
      </c>
      <c r="AL112">
        <v>390.47988891601563</v>
      </c>
      <c r="AM112">
        <v>402.31259155273438</v>
      </c>
      <c r="AN112">
        <v>414.14532470703125</v>
      </c>
      <c r="AO112">
        <v>425.97805786132813</v>
      </c>
      <c r="AP112">
        <v>437.810791015625</v>
      </c>
      <c r="AQ112">
        <v>449.64349365234375</v>
      </c>
      <c r="AR112">
        <v>461.47622680664063</v>
      </c>
      <c r="AS112">
        <v>473.30892944335938</v>
      </c>
      <c r="AT112">
        <v>485.14166259765625</v>
      </c>
      <c r="AU112">
        <v>496.97439575195313</v>
      </c>
      <c r="AV112">
        <v>508.80712890625</v>
      </c>
      <c r="AW112">
        <v>520.63983154296875</v>
      </c>
      <c r="AX112">
        <v>532.47259521484375</v>
      </c>
      <c r="AY112">
        <v>544.3052978515625</v>
      </c>
      <c r="AZ112">
        <v>556.13800048828125</v>
      </c>
      <c r="BA112">
        <v>567.970703125</v>
      </c>
      <c r="BB112">
        <v>579.803466796875</v>
      </c>
      <c r="BC112">
        <v>591.63616943359375</v>
      </c>
    </row>
    <row r="113" spans="4:55" x14ac:dyDescent="0.25">
      <c r="D113">
        <v>7000</v>
      </c>
      <c r="E113">
        <v>0</v>
      </c>
      <c r="F113">
        <v>11.611163139343262</v>
      </c>
      <c r="G113">
        <v>23.222326278686523</v>
      </c>
      <c r="H113">
        <v>34.833488464355469</v>
      </c>
      <c r="I113">
        <v>46.444652557373047</v>
      </c>
      <c r="J113">
        <v>58.055816650390625</v>
      </c>
      <c r="K113">
        <v>69.666976928710938</v>
      </c>
      <c r="L113">
        <v>81.278144836425781</v>
      </c>
      <c r="M113">
        <v>92.889305114746094</v>
      </c>
      <c r="N113">
        <v>104.50047302246094</v>
      </c>
      <c r="O113">
        <v>116.11163330078125</v>
      </c>
      <c r="P113">
        <v>127.72280120849609</v>
      </c>
      <c r="Q113">
        <v>139.33395385742188</v>
      </c>
      <c r="R113">
        <v>150.94512939453125</v>
      </c>
      <c r="S113">
        <v>162.55628967285156</v>
      </c>
      <c r="T113">
        <v>174.16744995117188</v>
      </c>
      <c r="U113">
        <v>185.77861022949219</v>
      </c>
      <c r="V113">
        <v>197.3897705078125</v>
      </c>
      <c r="W113">
        <v>209.00094604492188</v>
      </c>
      <c r="X113">
        <v>220.61210632324219</v>
      </c>
      <c r="Y113">
        <v>232.2232666015625</v>
      </c>
      <c r="Z113">
        <v>243.83442687988281</v>
      </c>
      <c r="AA113">
        <v>255.44560241699219</v>
      </c>
      <c r="AB113">
        <v>267.0567626953125</v>
      </c>
      <c r="AC113">
        <v>278.66790771484375</v>
      </c>
      <c r="AD113">
        <v>290.27908325195313</v>
      </c>
      <c r="AE113">
        <v>301.8902587890625</v>
      </c>
      <c r="AF113">
        <v>313.50140380859375</v>
      </c>
      <c r="AG113">
        <v>325.11257934570313</v>
      </c>
      <c r="AH113">
        <v>336.72372436523438</v>
      </c>
      <c r="AI113">
        <v>348.33489990234375</v>
      </c>
      <c r="AJ113">
        <v>359.94607543945313</v>
      </c>
      <c r="AK113">
        <v>371.55722045898438</v>
      </c>
      <c r="AL113">
        <v>383.16839599609375</v>
      </c>
      <c r="AM113">
        <v>394.779541015625</v>
      </c>
      <c r="AN113">
        <v>406.39071655273438</v>
      </c>
      <c r="AO113">
        <v>418.00189208984375</v>
      </c>
      <c r="AP113">
        <v>429.61306762695313</v>
      </c>
      <c r="AQ113">
        <v>441.22421264648438</v>
      </c>
      <c r="AR113">
        <v>452.83538818359375</v>
      </c>
      <c r="AS113">
        <v>464.446533203125</v>
      </c>
      <c r="AT113">
        <v>476.05770874023438</v>
      </c>
      <c r="AU113">
        <v>487.66885375976563</v>
      </c>
      <c r="AV113">
        <v>499.280029296875</v>
      </c>
      <c r="AW113">
        <v>510.89120483398438</v>
      </c>
      <c r="AX113">
        <v>522.50238037109375</v>
      </c>
      <c r="AY113">
        <v>534.113525390625</v>
      </c>
      <c r="AZ113">
        <v>545.72467041015625</v>
      </c>
      <c r="BA113">
        <v>557.3358154296875</v>
      </c>
      <c r="BB113">
        <v>568.947021484375</v>
      </c>
      <c r="BC113">
        <v>580.55816650390625</v>
      </c>
    </row>
    <row r="114" spans="4:55" x14ac:dyDescent="0.25">
      <c r="D114">
        <v>8000</v>
      </c>
      <c r="E114">
        <v>0</v>
      </c>
      <c r="F114">
        <v>11.3922119140625</v>
      </c>
      <c r="G114">
        <v>22.784423828125</v>
      </c>
      <c r="H114">
        <v>34.1766357421875</v>
      </c>
      <c r="I114">
        <v>45.56884765625</v>
      </c>
      <c r="J114">
        <v>56.9610595703125</v>
      </c>
      <c r="K114">
        <v>68.353271484375</v>
      </c>
      <c r="L114">
        <v>79.7454833984375</v>
      </c>
      <c r="M114">
        <v>91.1376953125</v>
      </c>
      <c r="N114">
        <v>102.5299072265625</v>
      </c>
      <c r="O114">
        <v>113.922119140625</v>
      </c>
      <c r="P114">
        <v>125.3143310546875</v>
      </c>
      <c r="Q114">
        <v>136.70654296875</v>
      </c>
      <c r="R114">
        <v>148.0987548828125</v>
      </c>
      <c r="S114">
        <v>159.490966796875</v>
      </c>
      <c r="T114">
        <v>170.8831787109375</v>
      </c>
      <c r="U114">
        <v>182.275390625</v>
      </c>
      <c r="V114">
        <v>193.6676025390625</v>
      </c>
      <c r="W114">
        <v>205.059814453125</v>
      </c>
      <c r="X114">
        <v>216.4520263671875</v>
      </c>
      <c r="Y114">
        <v>227.84423828125</v>
      </c>
      <c r="Z114">
        <v>239.2364501953125</v>
      </c>
      <c r="AA114">
        <v>250.628662109375</v>
      </c>
      <c r="AB114">
        <v>262.0208740234375</v>
      </c>
      <c r="AC114">
        <v>273.4130859375</v>
      </c>
      <c r="AD114">
        <v>284.8052978515625</v>
      </c>
      <c r="AE114">
        <v>296.197509765625</v>
      </c>
      <c r="AF114">
        <v>307.5897216796875</v>
      </c>
      <c r="AG114">
        <v>318.98193359375</v>
      </c>
      <c r="AH114">
        <v>330.3741455078125</v>
      </c>
      <c r="AI114">
        <v>341.766357421875</v>
      </c>
      <c r="AJ114">
        <v>353.1585693359375</v>
      </c>
      <c r="AK114">
        <v>364.55078125</v>
      </c>
      <c r="AL114">
        <v>375.9429931640625</v>
      </c>
      <c r="AM114">
        <v>387.335205078125</v>
      </c>
      <c r="AN114">
        <v>398.7274169921875</v>
      </c>
      <c r="AO114">
        <v>410.11962890625</v>
      </c>
      <c r="AP114">
        <v>421.5118408203125</v>
      </c>
      <c r="AQ114">
        <v>432.904052734375</v>
      </c>
      <c r="AR114">
        <v>444.2962646484375</v>
      </c>
      <c r="AS114">
        <v>455.6884765625</v>
      </c>
      <c r="AT114">
        <v>467.0806884765625</v>
      </c>
      <c r="AU114">
        <v>478.472900390625</v>
      </c>
      <c r="AV114">
        <v>489.8651123046875</v>
      </c>
      <c r="AW114">
        <v>501.25732421875</v>
      </c>
      <c r="AX114">
        <v>512.6495361328125</v>
      </c>
      <c r="AY114">
        <v>524.041748046875</v>
      </c>
      <c r="AZ114">
        <v>535.4339599609375</v>
      </c>
      <c r="BA114">
        <v>546.826171875</v>
      </c>
      <c r="BB114">
        <v>558.2183837890625</v>
      </c>
      <c r="BC114">
        <v>569.610595703125</v>
      </c>
    </row>
    <row r="115" spans="4:55" x14ac:dyDescent="0.25">
      <c r="D115">
        <v>9000</v>
      </c>
      <c r="E115">
        <v>0</v>
      </c>
      <c r="F115">
        <v>11.175857543945313</v>
      </c>
      <c r="G115">
        <v>22.351715087890625</v>
      </c>
      <c r="H115">
        <v>33.527572631835938</v>
      </c>
      <c r="I115">
        <v>44.70343017578125</v>
      </c>
      <c r="J115">
        <v>55.879287719726563</v>
      </c>
      <c r="K115">
        <v>67.055145263671875</v>
      </c>
      <c r="L115">
        <v>78.231002807617188</v>
      </c>
      <c r="M115">
        <v>89.4068603515625</v>
      </c>
      <c r="N115">
        <v>100.58271026611328</v>
      </c>
      <c r="O115">
        <v>111.75857543945313</v>
      </c>
      <c r="P115">
        <v>122.93442535400391</v>
      </c>
      <c r="Q115">
        <v>134.11029052734375</v>
      </c>
      <c r="R115">
        <v>145.28614807128906</v>
      </c>
      <c r="S115">
        <v>156.46200561523438</v>
      </c>
      <c r="T115">
        <v>167.63784790039063</v>
      </c>
      <c r="U115">
        <v>178.813720703125</v>
      </c>
      <c r="V115">
        <v>189.98956298828125</v>
      </c>
      <c r="W115">
        <v>201.16542053222656</v>
      </c>
      <c r="X115">
        <v>212.34127807617188</v>
      </c>
      <c r="Y115">
        <v>223.51715087890625</v>
      </c>
      <c r="Z115">
        <v>234.6929931640625</v>
      </c>
      <c r="AA115">
        <v>245.86885070800781</v>
      </c>
      <c r="AB115">
        <v>257.04470825195313</v>
      </c>
      <c r="AC115">
        <v>268.2205810546875</v>
      </c>
      <c r="AD115">
        <v>279.39642333984375</v>
      </c>
      <c r="AE115">
        <v>290.57229614257813</v>
      </c>
      <c r="AF115">
        <v>301.74813842773438</v>
      </c>
      <c r="AG115">
        <v>312.92401123046875</v>
      </c>
      <c r="AH115">
        <v>324.099853515625</v>
      </c>
      <c r="AI115">
        <v>335.27569580078125</v>
      </c>
      <c r="AJ115">
        <v>346.45156860351563</v>
      </c>
      <c r="AK115">
        <v>357.62744140625</v>
      </c>
      <c r="AL115">
        <v>368.80328369140625</v>
      </c>
      <c r="AM115">
        <v>379.9791259765625</v>
      </c>
      <c r="AN115">
        <v>391.15499877929688</v>
      </c>
      <c r="AO115">
        <v>402.33084106445313</v>
      </c>
      <c r="AP115">
        <v>413.5067138671875</v>
      </c>
      <c r="AQ115">
        <v>424.68255615234375</v>
      </c>
      <c r="AR115">
        <v>435.85842895507813</v>
      </c>
      <c r="AS115">
        <v>447.0343017578125</v>
      </c>
      <c r="AT115">
        <v>458.21014404296875</v>
      </c>
      <c r="AU115">
        <v>469.385986328125</v>
      </c>
      <c r="AV115">
        <v>480.56185913085938</v>
      </c>
      <c r="AW115">
        <v>491.73770141601563</v>
      </c>
      <c r="AX115">
        <v>502.91357421875</v>
      </c>
      <c r="AY115">
        <v>514.08941650390625</v>
      </c>
      <c r="AZ115">
        <v>525.2652587890625</v>
      </c>
      <c r="BA115">
        <v>536.441162109375</v>
      </c>
      <c r="BB115">
        <v>547.61700439453125</v>
      </c>
      <c r="BC115">
        <v>558.7928466796875</v>
      </c>
    </row>
    <row r="116" spans="4:55" x14ac:dyDescent="0.25">
      <c r="D116">
        <v>10000</v>
      </c>
      <c r="E116">
        <v>0</v>
      </c>
      <c r="F116">
        <v>10.96208667755127</v>
      </c>
      <c r="G116">
        <v>21.924173355102539</v>
      </c>
      <c r="H116">
        <v>32.886260986328125</v>
      </c>
      <c r="I116">
        <v>43.848346710205078</v>
      </c>
      <c r="J116">
        <v>54.810436248779297</v>
      </c>
      <c r="K116">
        <v>65.77252197265625</v>
      </c>
      <c r="L116">
        <v>76.734611511230469</v>
      </c>
      <c r="M116">
        <v>87.696693420410156</v>
      </c>
      <c r="N116">
        <v>98.658782958984375</v>
      </c>
      <c r="O116">
        <v>109.62087249755859</v>
      </c>
      <c r="P116">
        <v>120.58295440673828</v>
      </c>
      <c r="Q116">
        <v>131.5450439453125</v>
      </c>
      <c r="R116">
        <v>142.50712585449219</v>
      </c>
      <c r="S116">
        <v>153.46922302246094</v>
      </c>
      <c r="T116">
        <v>164.43130493164063</v>
      </c>
      <c r="U116">
        <v>175.39338684082031</v>
      </c>
      <c r="V116">
        <v>186.35548400878906</v>
      </c>
      <c r="W116">
        <v>197.31756591796875</v>
      </c>
      <c r="X116">
        <v>208.27964782714844</v>
      </c>
      <c r="Y116">
        <v>219.24174499511719</v>
      </c>
      <c r="Z116">
        <v>230.20382690429688</v>
      </c>
      <c r="AA116">
        <v>241.16590881347656</v>
      </c>
      <c r="AB116">
        <v>252.12800598144531</v>
      </c>
      <c r="AC116">
        <v>263.090087890625</v>
      </c>
      <c r="AD116">
        <v>274.05218505859375</v>
      </c>
      <c r="AE116">
        <v>285.01425170898438</v>
      </c>
      <c r="AF116">
        <v>295.97634887695313</v>
      </c>
      <c r="AG116">
        <v>306.93844604492188</v>
      </c>
      <c r="AH116">
        <v>317.9005126953125</v>
      </c>
      <c r="AI116">
        <v>328.86260986328125</v>
      </c>
      <c r="AJ116">
        <v>339.82470703125</v>
      </c>
      <c r="AK116">
        <v>350.78677368164063</v>
      </c>
      <c r="AL116">
        <v>361.74887084960938</v>
      </c>
      <c r="AM116">
        <v>372.71096801757813</v>
      </c>
      <c r="AN116">
        <v>383.67303466796875</v>
      </c>
      <c r="AO116">
        <v>394.6351318359375</v>
      </c>
      <c r="AP116">
        <v>405.59722900390625</v>
      </c>
      <c r="AQ116">
        <v>416.55929565429688</v>
      </c>
      <c r="AR116">
        <v>427.52139282226563</v>
      </c>
      <c r="AS116">
        <v>438.48348999023438</v>
      </c>
      <c r="AT116">
        <v>449.445556640625</v>
      </c>
      <c r="AU116">
        <v>460.40765380859375</v>
      </c>
      <c r="AV116">
        <v>471.36972045898438</v>
      </c>
      <c r="AW116">
        <v>482.33181762695313</v>
      </c>
      <c r="AX116">
        <v>493.29391479492188</v>
      </c>
      <c r="AY116">
        <v>504.25601196289063</v>
      </c>
      <c r="AZ116">
        <v>515.21807861328125</v>
      </c>
      <c r="BA116">
        <v>526.18017578125</v>
      </c>
      <c r="BB116">
        <v>537.14227294921875</v>
      </c>
      <c r="BC116">
        <v>548.1043701171875</v>
      </c>
    </row>
    <row r="117" spans="4:55" x14ac:dyDescent="0.25">
      <c r="D117">
        <v>11000</v>
      </c>
      <c r="E117">
        <v>0</v>
      </c>
      <c r="F117">
        <v>10.750887870788574</v>
      </c>
      <c r="G117">
        <v>21.501775741577148</v>
      </c>
      <c r="H117">
        <v>32.252666473388672</v>
      </c>
      <c r="I117">
        <v>43.003551483154297</v>
      </c>
      <c r="J117">
        <v>53.754440307617188</v>
      </c>
      <c r="K117">
        <v>64.505332946777344</v>
      </c>
      <c r="L117">
        <v>75.256217956542969</v>
      </c>
      <c r="M117">
        <v>86.007102966308594</v>
      </c>
      <c r="N117">
        <v>96.75799560546875</v>
      </c>
      <c r="O117">
        <v>107.50888061523438</v>
      </c>
      <c r="P117">
        <v>118.25977325439453</v>
      </c>
      <c r="Q117">
        <v>129.01066589355469</v>
      </c>
      <c r="R117">
        <v>139.76155090332031</v>
      </c>
      <c r="S117">
        <v>150.51243591308594</v>
      </c>
      <c r="T117">
        <v>161.26332092285156</v>
      </c>
      <c r="U117">
        <v>172.01420593261719</v>
      </c>
      <c r="V117">
        <v>182.76510620117188</v>
      </c>
      <c r="W117">
        <v>193.5159912109375</v>
      </c>
      <c r="X117">
        <v>204.26687622070313</v>
      </c>
      <c r="Y117">
        <v>215.01776123046875</v>
      </c>
      <c r="Z117">
        <v>225.76864624023438</v>
      </c>
      <c r="AA117">
        <v>236.51954650878906</v>
      </c>
      <c r="AB117">
        <v>247.27043151855469</v>
      </c>
      <c r="AC117">
        <v>258.02133178710938</v>
      </c>
      <c r="AD117">
        <v>268.772216796875</v>
      </c>
      <c r="AE117">
        <v>279.52310180664063</v>
      </c>
      <c r="AF117">
        <v>290.27398681640625</v>
      </c>
      <c r="AG117">
        <v>301.02487182617188</v>
      </c>
      <c r="AH117">
        <v>311.7757568359375</v>
      </c>
      <c r="AI117">
        <v>322.52664184570313</v>
      </c>
      <c r="AJ117">
        <v>333.27752685546875</v>
      </c>
      <c r="AK117">
        <v>344.02841186523438</v>
      </c>
      <c r="AL117">
        <v>354.77932739257813</v>
      </c>
      <c r="AM117">
        <v>365.53021240234375</v>
      </c>
      <c r="AN117">
        <v>376.28109741210938</v>
      </c>
      <c r="AO117">
        <v>387.031982421875</v>
      </c>
      <c r="AP117">
        <v>397.78286743164063</v>
      </c>
      <c r="AQ117">
        <v>408.53375244140625</v>
      </c>
      <c r="AR117">
        <v>419.28466796875</v>
      </c>
      <c r="AS117">
        <v>430.0355224609375</v>
      </c>
      <c r="AT117">
        <v>440.78643798828125</v>
      </c>
      <c r="AU117">
        <v>451.53729248046875</v>
      </c>
      <c r="AV117">
        <v>462.2882080078125</v>
      </c>
      <c r="AW117">
        <v>473.03909301757813</v>
      </c>
      <c r="AX117">
        <v>483.78997802734375</v>
      </c>
      <c r="AY117">
        <v>494.54086303710938</v>
      </c>
      <c r="AZ117">
        <v>505.291748046875</v>
      </c>
      <c r="BA117">
        <v>516.04266357421875</v>
      </c>
      <c r="BB117">
        <v>526.79351806640625</v>
      </c>
      <c r="BC117">
        <v>537.54443359375</v>
      </c>
    </row>
    <row r="118" spans="4:55" x14ac:dyDescent="0.25">
      <c r="D118">
        <v>12000</v>
      </c>
      <c r="E118">
        <v>0</v>
      </c>
      <c r="F118">
        <v>10.542248725891113</v>
      </c>
      <c r="G118">
        <v>21.084497451782227</v>
      </c>
      <c r="H118">
        <v>31.626747131347656</v>
      </c>
      <c r="I118">
        <v>42.168994903564453</v>
      </c>
      <c r="J118">
        <v>52.711246490478516</v>
      </c>
      <c r="K118">
        <v>63.253494262695313</v>
      </c>
      <c r="L118">
        <v>73.795745849609375</v>
      </c>
      <c r="M118">
        <v>84.337989807128906</v>
      </c>
      <c r="N118">
        <v>94.880241394042969</v>
      </c>
      <c r="O118">
        <v>105.42249298095703</v>
      </c>
      <c r="P118">
        <v>115.96473693847656</v>
      </c>
      <c r="Q118">
        <v>126.50698852539063</v>
      </c>
      <c r="R118">
        <v>137.04924011230469</v>
      </c>
      <c r="S118">
        <v>147.59149169921875</v>
      </c>
      <c r="T118">
        <v>158.13374328613281</v>
      </c>
      <c r="U118">
        <v>168.67597961425781</v>
      </c>
      <c r="V118">
        <v>179.21823120117188</v>
      </c>
      <c r="W118">
        <v>189.76048278808594</v>
      </c>
      <c r="X118">
        <v>200.302734375</v>
      </c>
      <c r="Y118">
        <v>210.84498596191406</v>
      </c>
      <c r="Z118">
        <v>221.38723754882813</v>
      </c>
      <c r="AA118">
        <v>231.92947387695313</v>
      </c>
      <c r="AB118">
        <v>242.47174072265625</v>
      </c>
      <c r="AC118">
        <v>253.01397705078125</v>
      </c>
      <c r="AD118">
        <v>263.55624389648438</v>
      </c>
      <c r="AE118">
        <v>274.09848022460938</v>
      </c>
      <c r="AF118">
        <v>284.6407470703125</v>
      </c>
      <c r="AG118">
        <v>295.1829833984375</v>
      </c>
      <c r="AH118">
        <v>305.7252197265625</v>
      </c>
      <c r="AI118">
        <v>316.26748657226563</v>
      </c>
      <c r="AJ118">
        <v>326.80972290039063</v>
      </c>
      <c r="AK118">
        <v>337.35195922851563</v>
      </c>
      <c r="AL118">
        <v>347.89422607421875</v>
      </c>
      <c r="AM118">
        <v>358.43646240234375</v>
      </c>
      <c r="AN118">
        <v>368.97872924804688</v>
      </c>
      <c r="AO118">
        <v>379.52096557617188</v>
      </c>
      <c r="AP118">
        <v>390.063232421875</v>
      </c>
      <c r="AQ118">
        <v>400.60546875</v>
      </c>
      <c r="AR118">
        <v>411.14773559570313</v>
      </c>
      <c r="AS118">
        <v>421.68997192382813</v>
      </c>
      <c r="AT118">
        <v>432.23220825195313</v>
      </c>
      <c r="AU118">
        <v>442.77447509765625</v>
      </c>
      <c r="AV118">
        <v>453.31674194335938</v>
      </c>
      <c r="AW118">
        <v>463.85894775390625</v>
      </c>
      <c r="AX118">
        <v>474.40121459960938</v>
      </c>
      <c r="AY118">
        <v>484.9434814453125</v>
      </c>
      <c r="AZ118">
        <v>495.4857177734375</v>
      </c>
      <c r="BA118">
        <v>506.0279541015625</v>
      </c>
      <c r="BB118">
        <v>516.5701904296875</v>
      </c>
      <c r="BC118">
        <v>527.11248779296875</v>
      </c>
    </row>
    <row r="119" spans="4:55" x14ac:dyDescent="0.25">
      <c r="D119">
        <v>13000</v>
      </c>
      <c r="E119">
        <v>0</v>
      </c>
      <c r="F119">
        <v>10.336156845092773</v>
      </c>
      <c r="G119">
        <v>20.672313690185547</v>
      </c>
      <c r="H119">
        <v>31.008468627929688</v>
      </c>
      <c r="I119">
        <v>41.344627380371094</v>
      </c>
      <c r="J119">
        <v>51.680782318115234</v>
      </c>
      <c r="K119">
        <v>62.016937255859375</v>
      </c>
      <c r="L119">
        <v>72.353096008300781</v>
      </c>
      <c r="M119">
        <v>82.689254760742188</v>
      </c>
      <c r="N119">
        <v>93.025405883789063</v>
      </c>
      <c r="O119">
        <v>103.36156463623047</v>
      </c>
      <c r="P119">
        <v>113.69772338867188</v>
      </c>
      <c r="Q119">
        <v>124.03387451171875</v>
      </c>
      <c r="R119">
        <v>134.37004089355469</v>
      </c>
      <c r="S119">
        <v>144.70619201660156</v>
      </c>
      <c r="T119">
        <v>155.0423583984375</v>
      </c>
      <c r="U119">
        <v>165.37850952148438</v>
      </c>
      <c r="V119">
        <v>175.71466064453125</v>
      </c>
      <c r="W119">
        <v>186.05081176757813</v>
      </c>
      <c r="X119">
        <v>196.386962890625</v>
      </c>
      <c r="Y119">
        <v>206.72312927246094</v>
      </c>
      <c r="Z119">
        <v>217.05928039550781</v>
      </c>
      <c r="AA119">
        <v>227.39544677734375</v>
      </c>
      <c r="AB119">
        <v>237.73159790039063</v>
      </c>
      <c r="AC119">
        <v>248.0677490234375</v>
      </c>
      <c r="AD119">
        <v>258.40390014648438</v>
      </c>
      <c r="AE119">
        <v>268.74008178710938</v>
      </c>
      <c r="AF119">
        <v>279.07623291015625</v>
      </c>
      <c r="AG119">
        <v>289.41238403320313</v>
      </c>
      <c r="AH119">
        <v>299.74853515625</v>
      </c>
      <c r="AI119">
        <v>310.084716796875</v>
      </c>
      <c r="AJ119">
        <v>320.42083740234375</v>
      </c>
      <c r="AK119">
        <v>330.75701904296875</v>
      </c>
      <c r="AL119">
        <v>341.09317016601563</v>
      </c>
      <c r="AM119">
        <v>351.4293212890625</v>
      </c>
      <c r="AN119">
        <v>361.76547241210938</v>
      </c>
      <c r="AO119">
        <v>372.10162353515625</v>
      </c>
      <c r="AP119">
        <v>382.43780517578125</v>
      </c>
      <c r="AQ119">
        <v>392.77392578125</v>
      </c>
      <c r="AR119">
        <v>403.110107421875</v>
      </c>
      <c r="AS119">
        <v>413.44625854492188</v>
      </c>
      <c r="AT119">
        <v>423.78240966796875</v>
      </c>
      <c r="AU119">
        <v>434.11856079101563</v>
      </c>
      <c r="AV119">
        <v>444.45474243164063</v>
      </c>
      <c r="AW119">
        <v>454.7908935546875</v>
      </c>
      <c r="AX119">
        <v>465.12704467773438</v>
      </c>
      <c r="AY119">
        <v>475.46319580078125</v>
      </c>
      <c r="AZ119">
        <v>485.79937744140625</v>
      </c>
      <c r="BA119">
        <v>496.135498046875</v>
      </c>
      <c r="BB119">
        <v>506.4716796875</v>
      </c>
      <c r="BC119">
        <v>516.80780029296875</v>
      </c>
    </row>
    <row r="120" spans="4:55" x14ac:dyDescent="0.25">
      <c r="D120">
        <v>14000</v>
      </c>
      <c r="E120">
        <v>0</v>
      </c>
      <c r="F120">
        <v>10.132597923278809</v>
      </c>
      <c r="G120">
        <v>20.265195846557617</v>
      </c>
      <c r="H120">
        <v>30.397792816162109</v>
      </c>
      <c r="I120">
        <v>40.530391693115234</v>
      </c>
      <c r="J120">
        <v>50.662990570068359</v>
      </c>
      <c r="K120">
        <v>60.795585632324219</v>
      </c>
      <c r="L120">
        <v>70.928184509277344</v>
      </c>
      <c r="M120">
        <v>81.060783386230469</v>
      </c>
      <c r="N120">
        <v>91.193382263183594</v>
      </c>
      <c r="O120">
        <v>101.32598114013672</v>
      </c>
      <c r="P120">
        <v>111.45857238769531</v>
      </c>
      <c r="Q120">
        <v>121.59117126464844</v>
      </c>
      <c r="R120">
        <v>131.72377014160156</v>
      </c>
      <c r="S120">
        <v>141.85636901855469</v>
      </c>
      <c r="T120">
        <v>151.98896789550781</v>
      </c>
      <c r="U120">
        <v>162.12156677246094</v>
      </c>
      <c r="V120">
        <v>172.25416564941406</v>
      </c>
      <c r="W120">
        <v>182.38676452636719</v>
      </c>
      <c r="X120">
        <v>192.51934814453125</v>
      </c>
      <c r="Y120">
        <v>202.65196228027344</v>
      </c>
      <c r="Z120">
        <v>212.7845458984375</v>
      </c>
      <c r="AA120">
        <v>222.91714477539063</v>
      </c>
      <c r="AB120">
        <v>233.04975891113281</v>
      </c>
      <c r="AC120">
        <v>243.18234252929688</v>
      </c>
      <c r="AD120">
        <v>253.31494140625</v>
      </c>
      <c r="AE120">
        <v>263.44754028320313</v>
      </c>
      <c r="AF120">
        <v>273.58013916015625</v>
      </c>
      <c r="AG120">
        <v>283.71273803710938</v>
      </c>
      <c r="AH120">
        <v>293.8453369140625</v>
      </c>
      <c r="AI120">
        <v>303.97793579101563</v>
      </c>
      <c r="AJ120">
        <v>314.11053466796875</v>
      </c>
      <c r="AK120">
        <v>324.24313354492188</v>
      </c>
      <c r="AL120">
        <v>334.375732421875</v>
      </c>
      <c r="AM120">
        <v>344.50833129882813</v>
      </c>
      <c r="AN120">
        <v>354.64093017578125</v>
      </c>
      <c r="AO120">
        <v>364.77352905273438</v>
      </c>
      <c r="AP120">
        <v>374.9061279296875</v>
      </c>
      <c r="AQ120">
        <v>385.0386962890625</v>
      </c>
      <c r="AR120">
        <v>395.17129516601563</v>
      </c>
      <c r="AS120">
        <v>405.30392456054688</v>
      </c>
      <c r="AT120">
        <v>415.43649291992188</v>
      </c>
      <c r="AU120">
        <v>425.569091796875</v>
      </c>
      <c r="AV120">
        <v>435.70169067382813</v>
      </c>
      <c r="AW120">
        <v>445.83428955078125</v>
      </c>
      <c r="AX120">
        <v>455.9669189453125</v>
      </c>
      <c r="AY120">
        <v>466.09951782226563</v>
      </c>
      <c r="AZ120">
        <v>476.23208618164063</v>
      </c>
      <c r="BA120">
        <v>486.36468505859375</v>
      </c>
      <c r="BB120">
        <v>496.49728393554688</v>
      </c>
      <c r="BC120">
        <v>506.6298828125</v>
      </c>
    </row>
    <row r="121" spans="4:55" x14ac:dyDescent="0.25">
      <c r="D121">
        <v>15000</v>
      </c>
      <c r="E121">
        <v>0</v>
      </c>
      <c r="F121">
        <v>9.9315605163574219</v>
      </c>
      <c r="G121">
        <v>19.863121032714844</v>
      </c>
      <c r="H121">
        <v>29.794679641723633</v>
      </c>
      <c r="I121">
        <v>39.726242065429688</v>
      </c>
      <c r="J121">
        <v>49.657802581787109</v>
      </c>
      <c r="K121">
        <v>59.589359283447266</v>
      </c>
      <c r="L121">
        <v>69.520919799804688</v>
      </c>
      <c r="M121">
        <v>79.452484130859375</v>
      </c>
      <c r="N121">
        <v>89.384040832519531</v>
      </c>
      <c r="O121">
        <v>99.315605163574219</v>
      </c>
      <c r="P121">
        <v>109.24716186523438</v>
      </c>
      <c r="Q121">
        <v>119.17871856689453</v>
      </c>
      <c r="R121">
        <v>129.11027526855469</v>
      </c>
      <c r="S121">
        <v>139.04183959960938</v>
      </c>
      <c r="T121">
        <v>148.97340393066406</v>
      </c>
      <c r="U121">
        <v>158.90496826171875</v>
      </c>
      <c r="V121">
        <v>168.83651733398438</v>
      </c>
      <c r="W121">
        <v>178.76808166503906</v>
      </c>
      <c r="X121">
        <v>188.69964599609375</v>
      </c>
      <c r="Y121">
        <v>198.63121032714844</v>
      </c>
      <c r="Z121">
        <v>208.56275939941406</v>
      </c>
      <c r="AA121">
        <v>218.49432373046875</v>
      </c>
      <c r="AB121">
        <v>228.42588806152344</v>
      </c>
      <c r="AC121">
        <v>238.35743713378906</v>
      </c>
      <c r="AD121">
        <v>248.28900146484375</v>
      </c>
      <c r="AE121">
        <v>258.22055053710938</v>
      </c>
      <c r="AF121">
        <v>268.15213012695313</v>
      </c>
      <c r="AG121">
        <v>278.08367919921875</v>
      </c>
      <c r="AH121">
        <v>288.0152587890625</v>
      </c>
      <c r="AI121">
        <v>297.94680786132813</v>
      </c>
      <c r="AJ121">
        <v>307.87835693359375</v>
      </c>
      <c r="AK121">
        <v>317.8099365234375</v>
      </c>
      <c r="AL121">
        <v>327.74148559570313</v>
      </c>
      <c r="AM121">
        <v>337.67303466796875</v>
      </c>
      <c r="AN121">
        <v>347.6046142578125</v>
      </c>
      <c r="AO121">
        <v>357.53616333007813</v>
      </c>
      <c r="AP121">
        <v>367.46771240234375</v>
      </c>
      <c r="AQ121">
        <v>377.3992919921875</v>
      </c>
      <c r="AR121">
        <v>387.33084106445313</v>
      </c>
      <c r="AS121">
        <v>397.26242065429688</v>
      </c>
      <c r="AT121">
        <v>407.1939697265625</v>
      </c>
      <c r="AU121">
        <v>417.12551879882813</v>
      </c>
      <c r="AV121">
        <v>427.05706787109375</v>
      </c>
      <c r="AW121">
        <v>436.9886474609375</v>
      </c>
      <c r="AX121">
        <v>446.92022705078125</v>
      </c>
      <c r="AY121">
        <v>456.85177612304688</v>
      </c>
      <c r="AZ121">
        <v>466.7833251953125</v>
      </c>
      <c r="BA121">
        <v>476.71487426757813</v>
      </c>
      <c r="BB121">
        <v>486.64642333984375</v>
      </c>
      <c r="BC121">
        <v>496.5780029296875</v>
      </c>
    </row>
    <row r="122" spans="4:55" x14ac:dyDescent="0.25">
      <c r="D122">
        <v>16000</v>
      </c>
      <c r="E122">
        <v>0</v>
      </c>
      <c r="F122">
        <v>9.7330312728881836</v>
      </c>
      <c r="G122">
        <v>19.466062545776367</v>
      </c>
      <c r="H122">
        <v>29.199094772338867</v>
      </c>
      <c r="I122">
        <v>38.932125091552734</v>
      </c>
      <c r="J122">
        <v>48.665157318115234</v>
      </c>
      <c r="K122">
        <v>58.398189544677734</v>
      </c>
      <c r="L122">
        <v>68.131217956542969</v>
      </c>
      <c r="M122">
        <v>77.864250183105469</v>
      </c>
      <c r="N122">
        <v>87.597282409667969</v>
      </c>
      <c r="O122">
        <v>97.330314636230469</v>
      </c>
      <c r="P122">
        <v>107.06334686279297</v>
      </c>
      <c r="Q122">
        <v>116.79637908935547</v>
      </c>
      <c r="R122">
        <v>126.52941131591797</v>
      </c>
      <c r="S122">
        <v>136.26243591308594</v>
      </c>
      <c r="T122">
        <v>145.99546813964844</v>
      </c>
      <c r="U122">
        <v>155.72850036621094</v>
      </c>
      <c r="V122">
        <v>165.46153259277344</v>
      </c>
      <c r="W122">
        <v>175.19456481933594</v>
      </c>
      <c r="X122">
        <v>184.92759704589844</v>
      </c>
      <c r="Y122">
        <v>194.66062927246094</v>
      </c>
      <c r="Z122">
        <v>204.39366149902344</v>
      </c>
      <c r="AA122">
        <v>214.12669372558594</v>
      </c>
      <c r="AB122">
        <v>223.85972595214844</v>
      </c>
      <c r="AC122">
        <v>233.59275817871094</v>
      </c>
      <c r="AD122">
        <v>243.32579040527344</v>
      </c>
      <c r="AE122">
        <v>253.05882263183594</v>
      </c>
      <c r="AF122">
        <v>262.79183959960938</v>
      </c>
      <c r="AG122">
        <v>272.52487182617188</v>
      </c>
      <c r="AH122">
        <v>282.25790405273438</v>
      </c>
      <c r="AI122">
        <v>291.99093627929688</v>
      </c>
      <c r="AJ122">
        <v>301.72396850585938</v>
      </c>
      <c r="AK122">
        <v>311.45700073242188</v>
      </c>
      <c r="AL122">
        <v>321.19003295898438</v>
      </c>
      <c r="AM122">
        <v>330.92306518554688</v>
      </c>
      <c r="AN122">
        <v>340.65609741210938</v>
      </c>
      <c r="AO122">
        <v>350.38912963867188</v>
      </c>
      <c r="AP122">
        <v>360.12216186523438</v>
      </c>
      <c r="AQ122">
        <v>369.85519409179688</v>
      </c>
      <c r="AR122">
        <v>379.58822631835938</v>
      </c>
      <c r="AS122">
        <v>389.32125854492188</v>
      </c>
      <c r="AT122">
        <v>399.05429077148438</v>
      </c>
      <c r="AU122">
        <v>408.78732299804688</v>
      </c>
      <c r="AV122">
        <v>418.52035522460938</v>
      </c>
      <c r="AW122">
        <v>428.25338745117188</v>
      </c>
      <c r="AX122">
        <v>437.98641967773438</v>
      </c>
      <c r="AY122">
        <v>447.71945190429688</v>
      </c>
      <c r="AZ122">
        <v>457.45248413085938</v>
      </c>
      <c r="BA122">
        <v>467.18551635742188</v>
      </c>
      <c r="BB122">
        <v>476.91854858398438</v>
      </c>
      <c r="BC122">
        <v>486.65158081054688</v>
      </c>
    </row>
    <row r="123" spans="4:55" x14ac:dyDescent="0.25">
      <c r="D123">
        <v>17000</v>
      </c>
      <c r="E123">
        <v>0</v>
      </c>
      <c r="F123">
        <v>9.5369987487792969</v>
      </c>
      <c r="G123">
        <v>19.073997497558594</v>
      </c>
      <c r="H123">
        <v>28.610996246337891</v>
      </c>
      <c r="I123">
        <v>38.147994995117188</v>
      </c>
      <c r="J123">
        <v>47.684993743896484</v>
      </c>
      <c r="K123">
        <v>57.221992492675781</v>
      </c>
      <c r="L123">
        <v>66.758987426757813</v>
      </c>
      <c r="M123">
        <v>76.295989990234375</v>
      </c>
      <c r="N123">
        <v>85.832984924316406</v>
      </c>
      <c r="O123">
        <v>95.369987487792969</v>
      </c>
      <c r="P123">
        <v>104.906982421875</v>
      </c>
      <c r="Q123">
        <v>114.44398498535156</v>
      </c>
      <c r="R123">
        <v>123.98097991943359</v>
      </c>
      <c r="S123">
        <v>133.51797485351563</v>
      </c>
      <c r="T123">
        <v>143.05497741699219</v>
      </c>
      <c r="U123">
        <v>152.59197998046875</v>
      </c>
      <c r="V123">
        <v>162.12896728515625</v>
      </c>
      <c r="W123">
        <v>171.66596984863281</v>
      </c>
      <c r="X123">
        <v>181.20297241210938</v>
      </c>
      <c r="Y123">
        <v>190.73997497558594</v>
      </c>
      <c r="Z123">
        <v>200.2769775390625</v>
      </c>
      <c r="AA123">
        <v>209.81396484375</v>
      </c>
      <c r="AB123">
        <v>219.35096740722656</v>
      </c>
      <c r="AC123">
        <v>228.88796997070313</v>
      </c>
      <c r="AD123">
        <v>238.42497253417969</v>
      </c>
      <c r="AE123">
        <v>247.96195983886719</v>
      </c>
      <c r="AF123">
        <v>257.49896240234375</v>
      </c>
      <c r="AG123">
        <v>267.03594970703125</v>
      </c>
      <c r="AH123">
        <v>276.57296752929688</v>
      </c>
      <c r="AI123">
        <v>286.10995483398438</v>
      </c>
      <c r="AJ123">
        <v>295.64694213867188</v>
      </c>
      <c r="AK123">
        <v>305.1839599609375</v>
      </c>
      <c r="AL123">
        <v>314.720947265625</v>
      </c>
      <c r="AM123">
        <v>324.2579345703125</v>
      </c>
      <c r="AN123">
        <v>333.79495239257813</v>
      </c>
      <c r="AO123">
        <v>343.33193969726563</v>
      </c>
      <c r="AP123">
        <v>352.86895751953125</v>
      </c>
      <c r="AQ123">
        <v>362.40594482421875</v>
      </c>
      <c r="AR123">
        <v>371.94296264648438</v>
      </c>
      <c r="AS123">
        <v>381.47994995117188</v>
      </c>
      <c r="AT123">
        <v>391.0169677734375</v>
      </c>
      <c r="AU123">
        <v>400.553955078125</v>
      </c>
      <c r="AV123">
        <v>410.0909423828125</v>
      </c>
      <c r="AW123">
        <v>419.6279296875</v>
      </c>
      <c r="AX123">
        <v>429.16494750976563</v>
      </c>
      <c r="AY123">
        <v>438.70193481445313</v>
      </c>
      <c r="AZ123">
        <v>448.23895263671875</v>
      </c>
      <c r="BA123">
        <v>457.77593994140625</v>
      </c>
      <c r="BB123">
        <v>467.31292724609375</v>
      </c>
      <c r="BC123">
        <v>476.84994506835938</v>
      </c>
    </row>
    <row r="124" spans="4:55" x14ac:dyDescent="0.25">
      <c r="D124">
        <v>18000</v>
      </c>
      <c r="E124">
        <v>0</v>
      </c>
      <c r="F124">
        <v>9.3434486389160156</v>
      </c>
      <c r="G124">
        <v>18.686897277832031</v>
      </c>
      <c r="H124">
        <v>28.030345916748047</v>
      </c>
      <c r="I124">
        <v>37.373794555664063</v>
      </c>
      <c r="J124">
        <v>46.717243194580078</v>
      </c>
      <c r="K124">
        <v>56.060691833496094</v>
      </c>
      <c r="L124">
        <v>65.404144287109375</v>
      </c>
      <c r="M124">
        <v>74.747589111328125</v>
      </c>
      <c r="N124">
        <v>84.091041564941406</v>
      </c>
      <c r="O124">
        <v>93.434486389160156</v>
      </c>
      <c r="P124">
        <v>102.77793884277344</v>
      </c>
      <c r="Q124">
        <v>112.12138366699219</v>
      </c>
      <c r="R124">
        <v>121.46483612060547</v>
      </c>
      <c r="S124">
        <v>130.80828857421875</v>
      </c>
      <c r="T124">
        <v>140.1517333984375</v>
      </c>
      <c r="U124">
        <v>149.49517822265625</v>
      </c>
      <c r="V124">
        <v>158.83863830566406</v>
      </c>
      <c r="W124">
        <v>168.18208312988281</v>
      </c>
      <c r="X124">
        <v>177.52552795410156</v>
      </c>
      <c r="Y124">
        <v>186.86897277832031</v>
      </c>
      <c r="Z124">
        <v>196.21241760253906</v>
      </c>
      <c r="AA124">
        <v>205.55587768554688</v>
      </c>
      <c r="AB124">
        <v>214.89932250976563</v>
      </c>
      <c r="AC124">
        <v>224.24276733398438</v>
      </c>
      <c r="AD124">
        <v>233.58622741699219</v>
      </c>
      <c r="AE124">
        <v>242.92967224121094</v>
      </c>
      <c r="AF124">
        <v>252.27311706542969</v>
      </c>
      <c r="AG124">
        <v>261.6165771484375</v>
      </c>
      <c r="AH124">
        <v>270.96002197265625</v>
      </c>
      <c r="AI124">
        <v>280.303466796875</v>
      </c>
      <c r="AJ124">
        <v>289.64691162109375</v>
      </c>
      <c r="AK124">
        <v>298.9903564453125</v>
      </c>
      <c r="AL124">
        <v>308.33380126953125</v>
      </c>
      <c r="AM124">
        <v>317.67727661132813</v>
      </c>
      <c r="AN124">
        <v>327.02072143554688</v>
      </c>
      <c r="AO124">
        <v>336.36416625976563</v>
      </c>
      <c r="AP124">
        <v>345.70761108398438</v>
      </c>
      <c r="AQ124">
        <v>355.05105590820313</v>
      </c>
      <c r="AR124">
        <v>364.39450073242188</v>
      </c>
      <c r="AS124">
        <v>373.73794555664063</v>
      </c>
      <c r="AT124">
        <v>383.08139038085938</v>
      </c>
      <c r="AU124">
        <v>392.42483520507813</v>
      </c>
      <c r="AV124">
        <v>401.76828002929688</v>
      </c>
      <c r="AW124">
        <v>411.11175537109375</v>
      </c>
      <c r="AX124">
        <v>420.4552001953125</v>
      </c>
      <c r="AY124">
        <v>429.79864501953125</v>
      </c>
      <c r="AZ124">
        <v>439.14208984375</v>
      </c>
      <c r="BA124">
        <v>448.48553466796875</v>
      </c>
      <c r="BB124">
        <v>457.82901000976563</v>
      </c>
      <c r="BC124">
        <v>467.17245483398438</v>
      </c>
    </row>
    <row r="125" spans="4:55" x14ac:dyDescent="0.25">
      <c r="D125">
        <v>19000</v>
      </c>
      <c r="E125">
        <v>0</v>
      </c>
      <c r="F125">
        <v>9.152369499206543</v>
      </c>
      <c r="G125">
        <v>18.304738998413086</v>
      </c>
      <c r="H125">
        <v>27.457109451293945</v>
      </c>
      <c r="I125">
        <v>36.609477996826172</v>
      </c>
      <c r="J125">
        <v>45.761848449707031</v>
      </c>
      <c r="K125">
        <v>54.914218902587891</v>
      </c>
      <c r="L125">
        <v>64.06658935546875</v>
      </c>
      <c r="M125">
        <v>73.218955993652344</v>
      </c>
      <c r="N125">
        <v>82.371330261230469</v>
      </c>
      <c r="O125">
        <v>91.523696899414063</v>
      </c>
      <c r="P125">
        <v>100.67607116699219</v>
      </c>
      <c r="Q125">
        <v>109.82843780517578</v>
      </c>
      <c r="R125">
        <v>118.98080444335938</v>
      </c>
      <c r="S125">
        <v>128.1331787109375</v>
      </c>
      <c r="T125">
        <v>137.28553771972656</v>
      </c>
      <c r="U125">
        <v>146.43791198730469</v>
      </c>
      <c r="V125">
        <v>155.59028625488281</v>
      </c>
      <c r="W125">
        <v>164.74266052246094</v>
      </c>
      <c r="X125">
        <v>173.89501953125</v>
      </c>
      <c r="Y125">
        <v>183.04739379882813</v>
      </c>
      <c r="Z125">
        <v>192.19976806640625</v>
      </c>
      <c r="AA125">
        <v>201.35214233398438</v>
      </c>
      <c r="AB125">
        <v>210.50450134277344</v>
      </c>
      <c r="AC125">
        <v>219.65687561035156</v>
      </c>
      <c r="AD125">
        <v>228.80923461914063</v>
      </c>
      <c r="AE125">
        <v>237.96160888671875</v>
      </c>
      <c r="AF125">
        <v>247.11398315429688</v>
      </c>
      <c r="AG125">
        <v>256.266357421875</v>
      </c>
      <c r="AH125">
        <v>265.41873168945313</v>
      </c>
      <c r="AI125">
        <v>274.57107543945313</v>
      </c>
      <c r="AJ125">
        <v>283.72344970703125</v>
      </c>
      <c r="AK125">
        <v>292.87582397460938</v>
      </c>
      <c r="AL125">
        <v>302.0281982421875</v>
      </c>
      <c r="AM125">
        <v>311.18057250976563</v>
      </c>
      <c r="AN125">
        <v>320.33291625976563</v>
      </c>
      <c r="AO125">
        <v>329.48532104492188</v>
      </c>
      <c r="AP125">
        <v>338.63766479492188</v>
      </c>
      <c r="AQ125">
        <v>347.7900390625</v>
      </c>
      <c r="AR125">
        <v>356.94241333007813</v>
      </c>
      <c r="AS125">
        <v>366.09478759765625</v>
      </c>
      <c r="AT125">
        <v>375.24716186523438</v>
      </c>
      <c r="AU125">
        <v>384.3995361328125</v>
      </c>
      <c r="AV125">
        <v>393.5518798828125</v>
      </c>
      <c r="AW125">
        <v>402.70428466796875</v>
      </c>
      <c r="AX125">
        <v>411.85662841796875</v>
      </c>
      <c r="AY125">
        <v>421.00900268554688</v>
      </c>
      <c r="AZ125">
        <v>430.161376953125</v>
      </c>
      <c r="BA125">
        <v>439.31375122070313</v>
      </c>
      <c r="BB125">
        <v>448.46612548828125</v>
      </c>
      <c r="BC125">
        <v>457.61846923828125</v>
      </c>
    </row>
    <row r="126" spans="4:55" x14ac:dyDescent="0.25">
      <c r="D126">
        <v>20000</v>
      </c>
      <c r="E126">
        <v>0</v>
      </c>
      <c r="F126">
        <v>8.9637479782104492</v>
      </c>
      <c r="G126">
        <v>17.927495956420898</v>
      </c>
      <c r="H126">
        <v>26.891244888305664</v>
      </c>
      <c r="I126">
        <v>35.854991912841797</v>
      </c>
      <c r="J126">
        <v>44.818740844726563</v>
      </c>
      <c r="K126">
        <v>53.782489776611328</v>
      </c>
      <c r="L126">
        <v>62.746238708496094</v>
      </c>
      <c r="M126">
        <v>71.709983825683594</v>
      </c>
      <c r="N126">
        <v>80.673736572265625</v>
      </c>
      <c r="O126">
        <v>89.637481689453125</v>
      </c>
      <c r="P126">
        <v>98.601226806640625</v>
      </c>
      <c r="Q126">
        <v>107.56497955322266</v>
      </c>
      <c r="R126">
        <v>116.52872467041016</v>
      </c>
      <c r="S126">
        <v>125.49247741699219</v>
      </c>
      <c r="T126">
        <v>134.45622253417969</v>
      </c>
      <c r="U126">
        <v>143.41996765136719</v>
      </c>
      <c r="V126">
        <v>152.38371276855469</v>
      </c>
      <c r="W126">
        <v>161.34747314453125</v>
      </c>
      <c r="X126">
        <v>170.31121826171875</v>
      </c>
      <c r="Y126">
        <v>179.27496337890625</v>
      </c>
      <c r="Z126">
        <v>188.23870849609375</v>
      </c>
      <c r="AA126">
        <v>197.20245361328125</v>
      </c>
      <c r="AB126">
        <v>206.16621398925781</v>
      </c>
      <c r="AC126">
        <v>215.12995910644531</v>
      </c>
      <c r="AD126">
        <v>224.09370422363281</v>
      </c>
      <c r="AE126">
        <v>233.05744934082031</v>
      </c>
      <c r="AF126">
        <v>242.02119445800781</v>
      </c>
      <c r="AG126">
        <v>250.98495483398438</v>
      </c>
      <c r="AH126">
        <v>259.94869995117188</v>
      </c>
      <c r="AI126">
        <v>268.91244506835938</v>
      </c>
      <c r="AJ126">
        <v>277.87619018554688</v>
      </c>
      <c r="AK126">
        <v>286.83993530273438</v>
      </c>
      <c r="AL126">
        <v>295.80368041992188</v>
      </c>
      <c r="AM126">
        <v>304.76742553710938</v>
      </c>
      <c r="AN126">
        <v>313.731201171875</v>
      </c>
      <c r="AO126">
        <v>322.6949462890625</v>
      </c>
      <c r="AP126">
        <v>331.65869140625</v>
      </c>
      <c r="AQ126">
        <v>340.6224365234375</v>
      </c>
      <c r="AR126">
        <v>349.586181640625</v>
      </c>
      <c r="AS126">
        <v>358.5499267578125</v>
      </c>
      <c r="AT126">
        <v>367.513671875</v>
      </c>
      <c r="AU126">
        <v>376.4774169921875</v>
      </c>
      <c r="AV126">
        <v>385.441162109375</v>
      </c>
      <c r="AW126">
        <v>394.4049072265625</v>
      </c>
      <c r="AX126">
        <v>403.36865234375</v>
      </c>
      <c r="AY126">
        <v>412.33242797851563</v>
      </c>
      <c r="AZ126">
        <v>421.29617309570313</v>
      </c>
      <c r="BA126">
        <v>430.25991821289063</v>
      </c>
      <c r="BB126">
        <v>439.22366333007813</v>
      </c>
      <c r="BC126">
        <v>448.18740844726563</v>
      </c>
    </row>
    <row r="127" spans="4:55" x14ac:dyDescent="0.25">
      <c r="D127">
        <v>21000</v>
      </c>
      <c r="E127">
        <v>0</v>
      </c>
      <c r="F127">
        <v>8.7775716781616211</v>
      </c>
      <c r="G127">
        <v>17.555143356323242</v>
      </c>
      <c r="H127">
        <v>26.33271598815918</v>
      </c>
      <c r="I127">
        <v>35.110286712646484</v>
      </c>
      <c r="J127">
        <v>43.887859344482422</v>
      </c>
      <c r="K127">
        <v>52.665431976318359</v>
      </c>
      <c r="L127">
        <v>61.443000793457031</v>
      </c>
      <c r="M127">
        <v>70.220573425292969</v>
      </c>
      <c r="N127">
        <v>78.998146057128906</v>
      </c>
      <c r="O127">
        <v>87.775718688964844</v>
      </c>
      <c r="P127">
        <v>96.55328369140625</v>
      </c>
      <c r="Q127">
        <v>105.33086395263672</v>
      </c>
      <c r="R127">
        <v>114.10842895507813</v>
      </c>
      <c r="S127">
        <v>122.88600158691406</v>
      </c>
      <c r="T127">
        <v>131.66357421875</v>
      </c>
      <c r="U127">
        <v>140.44114685058594</v>
      </c>
      <c r="V127">
        <v>149.21871948242188</v>
      </c>
      <c r="W127">
        <v>157.99629211425781</v>
      </c>
      <c r="X127">
        <v>166.77386474609375</v>
      </c>
      <c r="Y127">
        <v>175.55143737792969</v>
      </c>
      <c r="Z127">
        <v>184.32901000976563</v>
      </c>
      <c r="AA127">
        <v>193.1065673828125</v>
      </c>
      <c r="AB127">
        <v>201.88414001464844</v>
      </c>
      <c r="AC127">
        <v>210.66172790527344</v>
      </c>
      <c r="AD127">
        <v>219.43928527832031</v>
      </c>
      <c r="AE127">
        <v>228.21685791015625</v>
      </c>
      <c r="AF127">
        <v>236.99443054199219</v>
      </c>
      <c r="AG127">
        <v>245.77200317382813</v>
      </c>
      <c r="AH127">
        <v>254.54957580566406</v>
      </c>
      <c r="AI127">
        <v>263.3271484375</v>
      </c>
      <c r="AJ127">
        <v>272.104736328125</v>
      </c>
      <c r="AK127">
        <v>280.88229370117188</v>
      </c>
      <c r="AL127">
        <v>289.65985107421875</v>
      </c>
      <c r="AM127">
        <v>298.43743896484375</v>
      </c>
      <c r="AN127">
        <v>307.21499633789063</v>
      </c>
      <c r="AO127">
        <v>315.99258422851563</v>
      </c>
      <c r="AP127">
        <v>324.7701416015625</v>
      </c>
      <c r="AQ127">
        <v>333.5477294921875</v>
      </c>
      <c r="AR127">
        <v>342.32528686523438</v>
      </c>
      <c r="AS127">
        <v>351.10287475585938</v>
      </c>
      <c r="AT127">
        <v>359.88043212890625</v>
      </c>
      <c r="AU127">
        <v>368.65802001953125</v>
      </c>
      <c r="AV127">
        <v>377.43557739257813</v>
      </c>
      <c r="AW127">
        <v>386.213134765625</v>
      </c>
      <c r="AX127">
        <v>394.99072265625</v>
      </c>
      <c r="AY127">
        <v>403.76828002929688</v>
      </c>
      <c r="AZ127">
        <v>412.54586791992188</v>
      </c>
      <c r="BA127">
        <v>421.32345581054688</v>
      </c>
      <c r="BB127">
        <v>430.10101318359375</v>
      </c>
      <c r="BC127">
        <v>438.87857055664063</v>
      </c>
    </row>
    <row r="128" spans="4:55" x14ac:dyDescent="0.25">
      <c r="D128">
        <v>22000</v>
      </c>
      <c r="E128">
        <v>0</v>
      </c>
      <c r="F128">
        <v>8.5938272476196289</v>
      </c>
      <c r="G128">
        <v>17.187654495239258</v>
      </c>
      <c r="H128">
        <v>25.781482696533203</v>
      </c>
      <c r="I128">
        <v>34.375308990478516</v>
      </c>
      <c r="J128">
        <v>42.969135284423828</v>
      </c>
      <c r="K128">
        <v>51.562965393066406</v>
      </c>
      <c r="L128">
        <v>60.156791687011719</v>
      </c>
      <c r="M128">
        <v>68.750617980957031</v>
      </c>
      <c r="N128">
        <v>77.344444274902344</v>
      </c>
      <c r="O128">
        <v>85.938270568847656</v>
      </c>
      <c r="P128">
        <v>94.532096862792969</v>
      </c>
      <c r="Q128">
        <v>103.12593078613281</v>
      </c>
      <c r="R128">
        <v>111.71975708007813</v>
      </c>
      <c r="S128">
        <v>120.31358337402344</v>
      </c>
      <c r="T128">
        <v>128.90740966796875</v>
      </c>
      <c r="U128">
        <v>137.50123596191406</v>
      </c>
      <c r="V128">
        <v>146.09506225585938</v>
      </c>
      <c r="W128">
        <v>154.68888854980469</v>
      </c>
      <c r="X128">
        <v>163.28271484375</v>
      </c>
      <c r="Y128">
        <v>171.87654113769531</v>
      </c>
      <c r="Z128">
        <v>180.47036743164063</v>
      </c>
      <c r="AA128">
        <v>189.06419372558594</v>
      </c>
      <c r="AB128">
        <v>197.65802001953125</v>
      </c>
      <c r="AC128">
        <v>206.25186157226563</v>
      </c>
      <c r="AD128">
        <v>214.84567260742188</v>
      </c>
      <c r="AE128">
        <v>223.43951416015625</v>
      </c>
      <c r="AF128">
        <v>232.0333251953125</v>
      </c>
      <c r="AG128">
        <v>240.62716674804688</v>
      </c>
      <c r="AH128">
        <v>249.22099304199219</v>
      </c>
      <c r="AI128">
        <v>257.8148193359375</v>
      </c>
      <c r="AJ128">
        <v>266.40863037109375</v>
      </c>
      <c r="AK128">
        <v>275.00247192382813</v>
      </c>
      <c r="AL128">
        <v>283.5963134765625</v>
      </c>
      <c r="AM128">
        <v>292.19012451171875</v>
      </c>
      <c r="AN128">
        <v>300.78396606445313</v>
      </c>
      <c r="AO128">
        <v>309.37777709960938</v>
      </c>
      <c r="AP128">
        <v>317.97161865234375</v>
      </c>
      <c r="AQ128">
        <v>326.5654296875</v>
      </c>
      <c r="AR128">
        <v>335.15927124023438</v>
      </c>
      <c r="AS128">
        <v>343.75308227539063</v>
      </c>
      <c r="AT128">
        <v>352.346923828125</v>
      </c>
      <c r="AU128">
        <v>360.94073486328125</v>
      </c>
      <c r="AV128">
        <v>369.53457641601563</v>
      </c>
      <c r="AW128">
        <v>378.12838745117188</v>
      </c>
      <c r="AX128">
        <v>386.72222900390625</v>
      </c>
      <c r="AY128">
        <v>395.3160400390625</v>
      </c>
      <c r="AZ128">
        <v>403.90988159179688</v>
      </c>
      <c r="BA128">
        <v>412.50372314453125</v>
      </c>
      <c r="BB128">
        <v>421.0975341796875</v>
      </c>
      <c r="BC128">
        <v>429.69134521484375</v>
      </c>
    </row>
    <row r="129" spans="4:55" x14ac:dyDescent="0.25">
      <c r="D129">
        <v>23000</v>
      </c>
      <c r="E129">
        <v>0</v>
      </c>
      <c r="F129">
        <v>8.412501335144043</v>
      </c>
      <c r="G129">
        <v>16.825002670288086</v>
      </c>
      <c r="H129">
        <v>25.237504959106445</v>
      </c>
      <c r="I129">
        <v>33.650005340576172</v>
      </c>
      <c r="J129">
        <v>42.062507629394531</v>
      </c>
      <c r="K129">
        <v>50.475009918212891</v>
      </c>
      <c r="L129">
        <v>58.88751220703125</v>
      </c>
      <c r="M129">
        <v>67.300010681152344</v>
      </c>
      <c r="N129">
        <v>75.712516784667969</v>
      </c>
      <c r="O129">
        <v>84.125015258789063</v>
      </c>
      <c r="P129">
        <v>92.537513732910156</v>
      </c>
      <c r="Q129">
        <v>100.95001983642578</v>
      </c>
      <c r="R129">
        <v>109.36252593994141</v>
      </c>
      <c r="S129">
        <v>117.7750244140625</v>
      </c>
      <c r="T129">
        <v>126.18752288818359</v>
      </c>
      <c r="U129">
        <v>134.60002136230469</v>
      </c>
      <c r="V129">
        <v>143.01252746582031</v>
      </c>
      <c r="W129">
        <v>151.42503356933594</v>
      </c>
      <c r="X129">
        <v>159.8375244140625</v>
      </c>
      <c r="Y129">
        <v>168.25003051757813</v>
      </c>
      <c r="Z129">
        <v>176.66253662109375</v>
      </c>
      <c r="AA129">
        <v>185.07502746582031</v>
      </c>
      <c r="AB129">
        <v>193.48753356933594</v>
      </c>
      <c r="AC129">
        <v>201.90003967285156</v>
      </c>
      <c r="AD129">
        <v>210.31254577636719</v>
      </c>
      <c r="AE129">
        <v>218.72505187988281</v>
      </c>
      <c r="AF129">
        <v>227.13754272460938</v>
      </c>
      <c r="AG129">
        <v>235.550048828125</v>
      </c>
      <c r="AH129">
        <v>243.96253967285156</v>
      </c>
      <c r="AI129">
        <v>252.37504577636719</v>
      </c>
      <c r="AJ129">
        <v>260.78753662109375</v>
      </c>
      <c r="AK129">
        <v>269.20004272460938</v>
      </c>
      <c r="AL129">
        <v>277.612548828125</v>
      </c>
      <c r="AM129">
        <v>286.02505493164063</v>
      </c>
      <c r="AN129">
        <v>294.43756103515625</v>
      </c>
      <c r="AO129">
        <v>302.85006713867188</v>
      </c>
      <c r="AP129">
        <v>311.2625732421875</v>
      </c>
      <c r="AQ129">
        <v>319.675048828125</v>
      </c>
      <c r="AR129">
        <v>328.08755493164063</v>
      </c>
      <c r="AS129">
        <v>336.50006103515625</v>
      </c>
      <c r="AT129">
        <v>344.91256713867188</v>
      </c>
      <c r="AU129">
        <v>353.3250732421875</v>
      </c>
      <c r="AV129">
        <v>361.73757934570313</v>
      </c>
      <c r="AW129">
        <v>370.15005493164063</v>
      </c>
      <c r="AX129">
        <v>378.56256103515625</v>
      </c>
      <c r="AY129">
        <v>386.97506713867188</v>
      </c>
      <c r="AZ129">
        <v>395.3875732421875</v>
      </c>
      <c r="BA129">
        <v>403.80007934570313</v>
      </c>
      <c r="BB129">
        <v>412.21258544921875</v>
      </c>
      <c r="BC129">
        <v>420.62509155273438</v>
      </c>
    </row>
    <row r="130" spans="4:55" x14ac:dyDescent="0.25">
      <c r="D130">
        <v>24000</v>
      </c>
      <c r="E130">
        <v>0</v>
      </c>
      <c r="F130">
        <v>8.2335824966430664</v>
      </c>
      <c r="G130">
        <v>16.467164993286133</v>
      </c>
      <c r="H130">
        <v>24.700748443603516</v>
      </c>
      <c r="I130">
        <v>32.934329986572266</v>
      </c>
      <c r="J130">
        <v>41.167911529541016</v>
      </c>
      <c r="K130">
        <v>49.401496887207031</v>
      </c>
      <c r="L130">
        <v>57.635078430175781</v>
      </c>
      <c r="M130">
        <v>65.868659973144531</v>
      </c>
      <c r="N130">
        <v>74.102249145507813</v>
      </c>
      <c r="O130">
        <v>82.335823059082031</v>
      </c>
      <c r="P130">
        <v>90.569412231445313</v>
      </c>
      <c r="Q130">
        <v>98.802993774414063</v>
      </c>
      <c r="R130">
        <v>107.03657531738281</v>
      </c>
      <c r="S130">
        <v>115.27015686035156</v>
      </c>
      <c r="T130">
        <v>123.50373840332031</v>
      </c>
      <c r="U130">
        <v>131.73731994628906</v>
      </c>
      <c r="V130">
        <v>139.97090148925781</v>
      </c>
      <c r="W130">
        <v>148.20449829101563</v>
      </c>
      <c r="X130">
        <v>156.43806457519531</v>
      </c>
      <c r="Y130">
        <v>164.67164611816406</v>
      </c>
      <c r="Z130">
        <v>172.90524291992188</v>
      </c>
      <c r="AA130">
        <v>181.13882446289063</v>
      </c>
      <c r="AB130">
        <v>189.37240600585938</v>
      </c>
      <c r="AC130">
        <v>197.60598754882813</v>
      </c>
      <c r="AD130">
        <v>205.83956909179688</v>
      </c>
      <c r="AE130">
        <v>214.07315063476563</v>
      </c>
      <c r="AF130">
        <v>222.30673217773438</v>
      </c>
      <c r="AG130">
        <v>230.54031372070313</v>
      </c>
      <c r="AH130">
        <v>238.77391052246094</v>
      </c>
      <c r="AI130">
        <v>247.00747680664063</v>
      </c>
      <c r="AJ130">
        <v>255.24105834960938</v>
      </c>
      <c r="AK130">
        <v>263.47463989257813</v>
      </c>
      <c r="AL130">
        <v>271.70822143554688</v>
      </c>
      <c r="AM130">
        <v>279.94180297851563</v>
      </c>
      <c r="AN130">
        <v>288.1754150390625</v>
      </c>
      <c r="AO130">
        <v>296.40899658203125</v>
      </c>
      <c r="AP130">
        <v>304.64254760742188</v>
      </c>
      <c r="AQ130">
        <v>312.87612915039063</v>
      </c>
      <c r="AR130">
        <v>321.1097412109375</v>
      </c>
      <c r="AS130">
        <v>329.34329223632813</v>
      </c>
      <c r="AT130">
        <v>337.57687377929688</v>
      </c>
      <c r="AU130">
        <v>345.81048583984375</v>
      </c>
      <c r="AV130">
        <v>354.0440673828125</v>
      </c>
      <c r="AW130">
        <v>362.27764892578125</v>
      </c>
      <c r="AX130">
        <v>370.51123046875</v>
      </c>
      <c r="AY130">
        <v>378.74481201171875</v>
      </c>
      <c r="AZ130">
        <v>386.9783935546875</v>
      </c>
      <c r="BA130">
        <v>395.21197509765625</v>
      </c>
      <c r="BB130">
        <v>403.445556640625</v>
      </c>
      <c r="BC130">
        <v>411.67913818359375</v>
      </c>
    </row>
    <row r="131" spans="4:55" x14ac:dyDescent="0.25">
      <c r="D131">
        <v>25000</v>
      </c>
      <c r="E131">
        <v>0</v>
      </c>
      <c r="F131">
        <v>8.0570573806762695</v>
      </c>
      <c r="G131">
        <v>16.114114761352539</v>
      </c>
      <c r="H131">
        <v>24.171171188354492</v>
      </c>
      <c r="I131">
        <v>32.228229522705078</v>
      </c>
      <c r="J131">
        <v>40.285285949707031</v>
      </c>
      <c r="K131">
        <v>48.342342376708984</v>
      </c>
      <c r="L131">
        <v>56.399398803710938</v>
      </c>
      <c r="M131">
        <v>64.456459045410156</v>
      </c>
      <c r="N131">
        <v>72.513511657714844</v>
      </c>
      <c r="O131">
        <v>80.570571899414063</v>
      </c>
      <c r="P131">
        <v>88.62762451171875</v>
      </c>
      <c r="Q131">
        <v>96.684684753417969</v>
      </c>
      <c r="R131">
        <v>104.74174499511719</v>
      </c>
      <c r="S131">
        <v>112.79879760742188</v>
      </c>
      <c r="T131">
        <v>120.85585784912109</v>
      </c>
      <c r="U131">
        <v>128.91291809082031</v>
      </c>
      <c r="V131">
        <v>136.969970703125</v>
      </c>
      <c r="W131">
        <v>145.02702331542969</v>
      </c>
      <c r="X131">
        <v>153.08407592773438</v>
      </c>
      <c r="Y131">
        <v>161.14114379882813</v>
      </c>
      <c r="Z131">
        <v>169.19819641113281</v>
      </c>
      <c r="AA131">
        <v>177.2552490234375</v>
      </c>
      <c r="AB131">
        <v>185.31230163574219</v>
      </c>
      <c r="AC131">
        <v>193.36936950683594</v>
      </c>
      <c r="AD131">
        <v>201.42642211914063</v>
      </c>
      <c r="AE131">
        <v>209.48348999023438</v>
      </c>
      <c r="AF131">
        <v>217.54054260253906</v>
      </c>
      <c r="AG131">
        <v>225.59759521484375</v>
      </c>
      <c r="AH131">
        <v>233.65464782714844</v>
      </c>
      <c r="AI131">
        <v>241.71171569824219</v>
      </c>
      <c r="AJ131">
        <v>249.76876831054688</v>
      </c>
      <c r="AK131">
        <v>257.82583618164063</v>
      </c>
      <c r="AL131">
        <v>265.88287353515625</v>
      </c>
      <c r="AM131">
        <v>273.93994140625</v>
      </c>
      <c r="AN131">
        <v>281.99700927734375</v>
      </c>
      <c r="AO131">
        <v>290.05404663085938</v>
      </c>
      <c r="AP131">
        <v>298.11111450195313</v>
      </c>
      <c r="AQ131">
        <v>306.16815185546875</v>
      </c>
      <c r="AR131">
        <v>314.2252197265625</v>
      </c>
      <c r="AS131">
        <v>322.28228759765625</v>
      </c>
      <c r="AT131">
        <v>330.33932495117188</v>
      </c>
      <c r="AU131">
        <v>338.39639282226563</v>
      </c>
      <c r="AV131">
        <v>346.45346069335938</v>
      </c>
      <c r="AW131">
        <v>354.510498046875</v>
      </c>
      <c r="AX131">
        <v>362.56756591796875</v>
      </c>
      <c r="AY131">
        <v>370.62460327148438</v>
      </c>
      <c r="AZ131">
        <v>378.68167114257813</v>
      </c>
      <c r="BA131">
        <v>386.73873901367188</v>
      </c>
      <c r="BB131">
        <v>394.79580688476563</v>
      </c>
      <c r="BC131">
        <v>402.85284423828125</v>
      </c>
    </row>
    <row r="132" spans="4:55" x14ac:dyDescent="0.25">
      <c r="D132">
        <v>26000</v>
      </c>
      <c r="E132">
        <v>0</v>
      </c>
      <c r="F132">
        <v>7.8829116821289063</v>
      </c>
      <c r="G132">
        <v>15.765823364257813</v>
      </c>
      <c r="H132">
        <v>23.648735046386719</v>
      </c>
      <c r="I132">
        <v>31.531646728515625</v>
      </c>
      <c r="J132">
        <v>39.414558410644531</v>
      </c>
      <c r="K132">
        <v>47.297470092773438</v>
      </c>
      <c r="L132">
        <v>55.180381774902344</v>
      </c>
      <c r="M132">
        <v>63.06329345703125</v>
      </c>
      <c r="N132">
        <v>70.946205139160156</v>
      </c>
      <c r="O132">
        <v>78.829116821289063</v>
      </c>
      <c r="P132">
        <v>86.712028503417969</v>
      </c>
      <c r="Q132">
        <v>94.594940185546875</v>
      </c>
      <c r="R132">
        <v>102.47785186767578</v>
      </c>
      <c r="S132">
        <v>110.36076354980469</v>
      </c>
      <c r="T132">
        <v>118.24367523193359</v>
      </c>
      <c r="U132">
        <v>126.1265869140625</v>
      </c>
      <c r="V132">
        <v>134.00949096679688</v>
      </c>
      <c r="W132">
        <v>141.89241027832031</v>
      </c>
      <c r="X132">
        <v>149.77531433105469</v>
      </c>
      <c r="Y132">
        <v>157.65823364257813</v>
      </c>
      <c r="Z132">
        <v>165.5411376953125</v>
      </c>
      <c r="AA132">
        <v>173.42405700683594</v>
      </c>
      <c r="AB132">
        <v>181.30697631835938</v>
      </c>
      <c r="AC132">
        <v>189.18988037109375</v>
      </c>
      <c r="AD132">
        <v>197.07278442382813</v>
      </c>
      <c r="AE132">
        <v>204.95570373535156</v>
      </c>
      <c r="AF132">
        <v>212.838623046875</v>
      </c>
      <c r="AG132">
        <v>220.72152709960938</v>
      </c>
      <c r="AH132">
        <v>228.60443115234375</v>
      </c>
      <c r="AI132">
        <v>236.48735046386719</v>
      </c>
      <c r="AJ132">
        <v>244.37026977539063</v>
      </c>
      <c r="AK132">
        <v>252.253173828125</v>
      </c>
      <c r="AL132">
        <v>260.13607788085938</v>
      </c>
      <c r="AM132">
        <v>268.01898193359375</v>
      </c>
      <c r="AN132">
        <v>275.90191650390625</v>
      </c>
      <c r="AO132">
        <v>283.78482055664063</v>
      </c>
      <c r="AP132">
        <v>291.667724609375</v>
      </c>
      <c r="AQ132">
        <v>299.55062866210938</v>
      </c>
      <c r="AR132">
        <v>307.43356323242188</v>
      </c>
      <c r="AS132">
        <v>315.31646728515625</v>
      </c>
      <c r="AT132">
        <v>323.19937133789063</v>
      </c>
      <c r="AU132">
        <v>331.082275390625</v>
      </c>
      <c r="AV132">
        <v>338.9652099609375</v>
      </c>
      <c r="AW132">
        <v>346.84811401367188</v>
      </c>
      <c r="AX132">
        <v>354.73101806640625</v>
      </c>
      <c r="AY132">
        <v>362.61395263671875</v>
      </c>
      <c r="AZ132">
        <v>370.49685668945313</v>
      </c>
      <c r="BA132">
        <v>378.3797607421875</v>
      </c>
      <c r="BB132">
        <v>386.26266479492188</v>
      </c>
      <c r="BC132">
        <v>394.14556884765625</v>
      </c>
    </row>
    <row r="133" spans="4:55" x14ac:dyDescent="0.25">
      <c r="D133">
        <v>27000</v>
      </c>
      <c r="E133">
        <v>0</v>
      </c>
      <c r="F133">
        <v>7.7111334800720215</v>
      </c>
      <c r="G133">
        <v>15.422266960144043</v>
      </c>
      <c r="H133">
        <v>23.133399963378906</v>
      </c>
      <c r="I133">
        <v>30.844533920288086</v>
      </c>
      <c r="J133">
        <v>38.555667877197266</v>
      </c>
      <c r="K133">
        <v>46.266799926757813</v>
      </c>
      <c r="L133">
        <v>53.977935791015625</v>
      </c>
      <c r="M133">
        <v>61.689067840576172</v>
      </c>
      <c r="N133">
        <v>69.400199890136719</v>
      </c>
      <c r="O133">
        <v>77.111335754394531</v>
      </c>
      <c r="P133">
        <v>84.822471618652344</v>
      </c>
      <c r="Q133">
        <v>92.533599853515625</v>
      </c>
      <c r="R133">
        <v>100.24473571777344</v>
      </c>
      <c r="S133">
        <v>107.95587158203125</v>
      </c>
      <c r="T133">
        <v>115.66700744628906</v>
      </c>
      <c r="U133">
        <v>123.37813568115234</v>
      </c>
      <c r="V133">
        <v>131.08927917480469</v>
      </c>
      <c r="W133">
        <v>138.80039978027344</v>
      </c>
      <c r="X133">
        <v>146.51153564453125</v>
      </c>
      <c r="Y133">
        <v>154.22267150878906</v>
      </c>
      <c r="Z133">
        <v>161.93380737304688</v>
      </c>
      <c r="AA133">
        <v>169.64494323730469</v>
      </c>
      <c r="AB133">
        <v>177.3560791015625</v>
      </c>
      <c r="AC133">
        <v>185.06719970703125</v>
      </c>
      <c r="AD133">
        <v>192.77835083007813</v>
      </c>
      <c r="AE133">
        <v>200.48947143554688</v>
      </c>
      <c r="AF133">
        <v>208.20060729980469</v>
      </c>
      <c r="AG133">
        <v>215.9117431640625</v>
      </c>
      <c r="AH133">
        <v>223.62287902832031</v>
      </c>
      <c r="AI133">
        <v>231.33401489257813</v>
      </c>
      <c r="AJ133">
        <v>239.04515075683594</v>
      </c>
      <c r="AK133">
        <v>246.75627136230469</v>
      </c>
      <c r="AL133">
        <v>254.4674072265625</v>
      </c>
      <c r="AM133">
        <v>262.17855834960938</v>
      </c>
      <c r="AN133">
        <v>269.88967895507813</v>
      </c>
      <c r="AO133">
        <v>277.60079956054688</v>
      </c>
      <c r="AP133">
        <v>285.31195068359375</v>
      </c>
      <c r="AQ133">
        <v>293.0230712890625</v>
      </c>
      <c r="AR133">
        <v>300.73422241210938</v>
      </c>
      <c r="AS133">
        <v>308.44534301757813</v>
      </c>
      <c r="AT133">
        <v>316.156494140625</v>
      </c>
      <c r="AU133">
        <v>323.86761474609375</v>
      </c>
      <c r="AV133">
        <v>331.5787353515625</v>
      </c>
      <c r="AW133">
        <v>339.28988647460938</v>
      </c>
      <c r="AX133">
        <v>347.00100708007813</v>
      </c>
      <c r="AY133">
        <v>354.712158203125</v>
      </c>
      <c r="AZ133">
        <v>362.42327880859375</v>
      </c>
      <c r="BA133">
        <v>370.1343994140625</v>
      </c>
      <c r="BB133">
        <v>377.84555053710938</v>
      </c>
      <c r="BC133">
        <v>385.55670166015625</v>
      </c>
    </row>
    <row r="134" spans="4:55" x14ac:dyDescent="0.25">
      <c r="D134">
        <v>28000</v>
      </c>
      <c r="E134">
        <v>0</v>
      </c>
      <c r="F134">
        <v>7.541710376739502</v>
      </c>
      <c r="G134">
        <v>15.083420753479004</v>
      </c>
      <c r="H134">
        <v>22.625129699707031</v>
      </c>
      <c r="I134">
        <v>30.166841506958008</v>
      </c>
      <c r="J134">
        <v>37.708549499511719</v>
      </c>
      <c r="K134">
        <v>45.250259399414063</v>
      </c>
      <c r="L134">
        <v>52.791973114013672</v>
      </c>
      <c r="M134">
        <v>60.333683013916016</v>
      </c>
      <c r="N134">
        <v>67.875389099121094</v>
      </c>
      <c r="O134">
        <v>75.417098999023438</v>
      </c>
      <c r="P134">
        <v>82.958808898925781</v>
      </c>
      <c r="Q134">
        <v>90.500518798828125</v>
      </c>
      <c r="R134">
        <v>98.042228698730469</v>
      </c>
      <c r="S134">
        <v>105.58394622802734</v>
      </c>
      <c r="T134">
        <v>113.12565612792969</v>
      </c>
      <c r="U134">
        <v>120.66736602783203</v>
      </c>
      <c r="V134">
        <v>128.20907592773438</v>
      </c>
      <c r="W134">
        <v>135.75077819824219</v>
      </c>
      <c r="X134">
        <v>143.29249572753906</v>
      </c>
      <c r="Y134">
        <v>150.83419799804688</v>
      </c>
      <c r="Z134">
        <v>158.37591552734375</v>
      </c>
      <c r="AA134">
        <v>165.91761779785156</v>
      </c>
      <c r="AB134">
        <v>173.45933532714844</v>
      </c>
      <c r="AC134">
        <v>181.00103759765625</v>
      </c>
      <c r="AD134">
        <v>188.54275512695313</v>
      </c>
      <c r="AE134">
        <v>196.08445739746094</v>
      </c>
      <c r="AF134">
        <v>203.62617492675781</v>
      </c>
      <c r="AG134">
        <v>211.16789245605469</v>
      </c>
      <c r="AH134">
        <v>218.7095947265625</v>
      </c>
      <c r="AI134">
        <v>226.25131225585938</v>
      </c>
      <c r="AJ134">
        <v>233.79302978515625</v>
      </c>
      <c r="AK134">
        <v>241.33473205566406</v>
      </c>
      <c r="AL134">
        <v>248.87643432617188</v>
      </c>
      <c r="AM134">
        <v>256.41815185546875</v>
      </c>
      <c r="AN134">
        <v>263.95986938476563</v>
      </c>
      <c r="AO134">
        <v>271.50155639648438</v>
      </c>
      <c r="AP134">
        <v>279.04327392578125</v>
      </c>
      <c r="AQ134">
        <v>286.58499145507813</v>
      </c>
      <c r="AR134">
        <v>294.126708984375</v>
      </c>
      <c r="AS134">
        <v>301.66839599609375</v>
      </c>
      <c r="AT134">
        <v>309.21011352539063</v>
      </c>
      <c r="AU134">
        <v>316.7518310546875</v>
      </c>
      <c r="AV134">
        <v>324.29354858398438</v>
      </c>
      <c r="AW134">
        <v>331.83523559570313</v>
      </c>
      <c r="AX134">
        <v>339.376953125</v>
      </c>
      <c r="AY134">
        <v>346.91867065429688</v>
      </c>
      <c r="AZ134">
        <v>354.46038818359375</v>
      </c>
      <c r="BA134">
        <v>362.0020751953125</v>
      </c>
      <c r="BB134">
        <v>369.54379272460938</v>
      </c>
      <c r="BC134">
        <v>377.08551025390625</v>
      </c>
    </row>
    <row r="135" spans="4:55" x14ac:dyDescent="0.25">
      <c r="D135">
        <v>29000</v>
      </c>
      <c r="E135">
        <v>0</v>
      </c>
      <c r="F135">
        <v>7.3746280670166016</v>
      </c>
      <c r="G135">
        <v>14.749256134033203</v>
      </c>
      <c r="H135">
        <v>22.123884201049805</v>
      </c>
      <c r="I135">
        <v>29.498512268066406</v>
      </c>
      <c r="J135">
        <v>36.873138427734375</v>
      </c>
      <c r="K135">
        <v>44.247768402099609</v>
      </c>
      <c r="L135">
        <v>51.622394561767578</v>
      </c>
      <c r="M135">
        <v>58.997024536132813</v>
      </c>
      <c r="N135">
        <v>66.371650695800781</v>
      </c>
      <c r="O135">
        <v>73.74627685546875</v>
      </c>
      <c r="P135">
        <v>81.12091064453125</v>
      </c>
      <c r="Q135">
        <v>88.495536804199219</v>
      </c>
      <c r="R135">
        <v>95.870162963867188</v>
      </c>
      <c r="S135">
        <v>103.24478912353516</v>
      </c>
      <c r="T135">
        <v>110.61942291259766</v>
      </c>
      <c r="U135">
        <v>117.99404907226563</v>
      </c>
      <c r="V135">
        <v>125.36868286132813</v>
      </c>
      <c r="W135">
        <v>132.74330139160156</v>
      </c>
      <c r="X135">
        <v>140.11793518066406</v>
      </c>
      <c r="Y135">
        <v>147.4925537109375</v>
      </c>
      <c r="Z135">
        <v>154.8671875</v>
      </c>
      <c r="AA135">
        <v>162.2418212890625</v>
      </c>
      <c r="AB135">
        <v>169.61643981933594</v>
      </c>
      <c r="AC135">
        <v>176.99107360839844</v>
      </c>
      <c r="AD135">
        <v>184.36570739746094</v>
      </c>
      <c r="AE135">
        <v>191.74032592773438</v>
      </c>
      <c r="AF135">
        <v>199.11495971679688</v>
      </c>
      <c r="AG135">
        <v>206.48957824707031</v>
      </c>
      <c r="AH135">
        <v>213.86421203613281</v>
      </c>
      <c r="AI135">
        <v>221.23884582519531</v>
      </c>
      <c r="AJ135">
        <v>228.61346435546875</v>
      </c>
      <c r="AK135">
        <v>235.98809814453125</v>
      </c>
      <c r="AL135">
        <v>243.36273193359375</v>
      </c>
      <c r="AM135">
        <v>250.73736572265625</v>
      </c>
      <c r="AN135">
        <v>258.11199951171875</v>
      </c>
      <c r="AO135">
        <v>265.48660278320313</v>
      </c>
      <c r="AP135">
        <v>272.86123657226563</v>
      </c>
      <c r="AQ135">
        <v>280.23587036132813</v>
      </c>
      <c r="AR135">
        <v>287.61050415039063</v>
      </c>
      <c r="AS135">
        <v>294.985107421875</v>
      </c>
      <c r="AT135">
        <v>302.35977172851563</v>
      </c>
      <c r="AU135">
        <v>309.734375</v>
      </c>
      <c r="AV135">
        <v>317.1090087890625</v>
      </c>
      <c r="AW135">
        <v>324.483642578125</v>
      </c>
      <c r="AX135">
        <v>331.8582763671875</v>
      </c>
      <c r="AY135">
        <v>339.23287963867188</v>
      </c>
      <c r="AZ135">
        <v>346.60751342773438</v>
      </c>
      <c r="BA135">
        <v>353.98214721679688</v>
      </c>
      <c r="BB135">
        <v>361.35678100585938</v>
      </c>
      <c r="BC135">
        <v>368.73141479492188</v>
      </c>
    </row>
    <row r="136" spans="4:55" x14ac:dyDescent="0.25">
      <c r="D136">
        <v>30000</v>
      </c>
      <c r="E136">
        <v>0</v>
      </c>
      <c r="F136">
        <v>7.209874153137207</v>
      </c>
      <c r="G136">
        <v>14.419748306274414</v>
      </c>
      <c r="H136">
        <v>21.629621505737305</v>
      </c>
      <c r="I136">
        <v>28.839496612548828</v>
      </c>
      <c r="J136">
        <v>36.049369812011719</v>
      </c>
      <c r="K136">
        <v>43.259243011474609</v>
      </c>
      <c r="L136">
        <v>50.469120025634766</v>
      </c>
      <c r="M136">
        <v>57.678993225097656</v>
      </c>
      <c r="N136">
        <v>64.888870239257813</v>
      </c>
      <c r="O136">
        <v>72.098739624023438</v>
      </c>
      <c r="P136">
        <v>79.308616638183594</v>
      </c>
      <c r="Q136">
        <v>86.518486022949219</v>
      </c>
      <c r="R136">
        <v>93.728363037109375</v>
      </c>
      <c r="S136">
        <v>100.93824005126953</v>
      </c>
      <c r="T136">
        <v>108.14810943603516</v>
      </c>
      <c r="U136">
        <v>115.35798645019531</v>
      </c>
      <c r="V136">
        <v>122.56785583496094</v>
      </c>
      <c r="W136">
        <v>129.77774047851563</v>
      </c>
      <c r="X136">
        <v>136.98760986328125</v>
      </c>
      <c r="Y136">
        <v>144.19747924804688</v>
      </c>
      <c r="Z136">
        <v>151.40736389160156</v>
      </c>
      <c r="AA136">
        <v>158.61723327636719</v>
      </c>
      <c r="AB136">
        <v>165.82710266113281</v>
      </c>
      <c r="AC136">
        <v>173.03697204589844</v>
      </c>
      <c r="AD136">
        <v>180.24685668945313</v>
      </c>
      <c r="AE136">
        <v>187.45672607421875</v>
      </c>
      <c r="AF136">
        <v>194.66661071777344</v>
      </c>
      <c r="AG136">
        <v>201.87648010253906</v>
      </c>
      <c r="AH136">
        <v>209.08634948730469</v>
      </c>
      <c r="AI136">
        <v>216.29621887207031</v>
      </c>
      <c r="AJ136">
        <v>223.50608825683594</v>
      </c>
      <c r="AK136">
        <v>230.71597290039063</v>
      </c>
      <c r="AL136">
        <v>237.92584228515625</v>
      </c>
      <c r="AM136">
        <v>245.13571166992188</v>
      </c>
      <c r="AN136">
        <v>252.34559631347656</v>
      </c>
      <c r="AO136">
        <v>259.55548095703125</v>
      </c>
      <c r="AP136">
        <v>266.76535034179688</v>
      </c>
      <c r="AQ136">
        <v>273.9752197265625</v>
      </c>
      <c r="AR136">
        <v>281.18508911132813</v>
      </c>
      <c r="AS136">
        <v>288.39495849609375</v>
      </c>
      <c r="AT136">
        <v>295.60482788085938</v>
      </c>
      <c r="AU136">
        <v>302.81472778320313</v>
      </c>
      <c r="AV136">
        <v>310.02459716796875</v>
      </c>
      <c r="AW136">
        <v>317.23446655273438</v>
      </c>
      <c r="AX136">
        <v>324.4443359375</v>
      </c>
      <c r="AY136">
        <v>331.65420532226563</v>
      </c>
      <c r="AZ136">
        <v>338.86407470703125</v>
      </c>
      <c r="BA136">
        <v>346.07394409179688</v>
      </c>
      <c r="BB136">
        <v>353.2838134765625</v>
      </c>
      <c r="BC136">
        <v>360.49371337890625</v>
      </c>
    </row>
    <row r="137" spans="4:55" x14ac:dyDescent="0.25">
      <c r="D137">
        <v>31000</v>
      </c>
      <c r="E137">
        <v>0</v>
      </c>
      <c r="F137">
        <v>7.0474352836608887</v>
      </c>
      <c r="G137">
        <v>14.094870567321777</v>
      </c>
      <c r="H137">
        <v>21.142305374145508</v>
      </c>
      <c r="I137">
        <v>28.189741134643555</v>
      </c>
      <c r="J137">
        <v>35.237174987792969</v>
      </c>
      <c r="K137">
        <v>42.284610748291016</v>
      </c>
      <c r="L137">
        <v>49.332046508789063</v>
      </c>
      <c r="M137">
        <v>56.379482269287109</v>
      </c>
      <c r="N137">
        <v>63.426918029785156</v>
      </c>
      <c r="O137">
        <v>70.474349975585938</v>
      </c>
      <c r="P137">
        <v>77.52178955078125</v>
      </c>
      <c r="Q137">
        <v>84.569221496582031</v>
      </c>
      <c r="R137">
        <v>91.616661071777344</v>
      </c>
      <c r="S137">
        <v>98.664093017578125</v>
      </c>
      <c r="T137">
        <v>105.71152496337891</v>
      </c>
      <c r="U137">
        <v>112.75896453857422</v>
      </c>
      <c r="V137">
        <v>119.80640411376953</v>
      </c>
      <c r="W137">
        <v>126.85383605957031</v>
      </c>
      <c r="X137">
        <v>133.90127563476563</v>
      </c>
      <c r="Y137">
        <v>140.94869995117188</v>
      </c>
      <c r="Z137">
        <v>147.99613952636719</v>
      </c>
      <c r="AA137">
        <v>155.0435791015625</v>
      </c>
      <c r="AB137">
        <v>162.09100341796875</v>
      </c>
      <c r="AC137">
        <v>169.13844299316406</v>
      </c>
      <c r="AD137">
        <v>176.18588256835938</v>
      </c>
      <c r="AE137">
        <v>183.23332214355469</v>
      </c>
      <c r="AF137">
        <v>190.28076171875</v>
      </c>
      <c r="AG137">
        <v>197.32818603515625</v>
      </c>
      <c r="AH137">
        <v>204.37562561035156</v>
      </c>
      <c r="AI137">
        <v>211.42304992675781</v>
      </c>
      <c r="AJ137">
        <v>218.47048950195313</v>
      </c>
      <c r="AK137">
        <v>225.51792907714844</v>
      </c>
      <c r="AL137">
        <v>232.56536865234375</v>
      </c>
      <c r="AM137">
        <v>239.61280822753906</v>
      </c>
      <c r="AN137">
        <v>246.66023254394531</v>
      </c>
      <c r="AO137">
        <v>253.70767211914063</v>
      </c>
      <c r="AP137">
        <v>260.75509643554688</v>
      </c>
      <c r="AQ137">
        <v>267.80255126953125</v>
      </c>
      <c r="AR137">
        <v>274.8499755859375</v>
      </c>
      <c r="AS137">
        <v>281.89739990234375</v>
      </c>
      <c r="AT137">
        <v>288.94482421875</v>
      </c>
      <c r="AU137">
        <v>295.99227905273438</v>
      </c>
      <c r="AV137">
        <v>303.03970336914063</v>
      </c>
      <c r="AW137">
        <v>310.087158203125</v>
      </c>
      <c r="AX137">
        <v>317.13458251953125</v>
      </c>
      <c r="AY137">
        <v>324.1820068359375</v>
      </c>
      <c r="AZ137">
        <v>331.22946166992188</v>
      </c>
      <c r="BA137">
        <v>338.27688598632813</v>
      </c>
      <c r="BB137">
        <v>345.3243408203125</v>
      </c>
      <c r="BC137">
        <v>352.37176513671875</v>
      </c>
    </row>
    <row r="138" spans="4:55" x14ac:dyDescent="0.25">
      <c r="D138">
        <v>32000</v>
      </c>
      <c r="E138">
        <v>0</v>
      </c>
      <c r="F138">
        <v>6.887298583984375</v>
      </c>
      <c r="G138">
        <v>13.77459716796875</v>
      </c>
      <c r="H138">
        <v>20.661895751953125</v>
      </c>
      <c r="I138">
        <v>27.5491943359375</v>
      </c>
      <c r="J138">
        <v>34.436492919921875</v>
      </c>
      <c r="K138">
        <v>41.32379150390625</v>
      </c>
      <c r="L138">
        <v>48.211090087890625</v>
      </c>
      <c r="M138">
        <v>55.098388671875</v>
      </c>
      <c r="N138">
        <v>61.985687255859375</v>
      </c>
      <c r="O138">
        <v>68.87298583984375</v>
      </c>
      <c r="P138">
        <v>75.760284423828125</v>
      </c>
      <c r="Q138">
        <v>82.6475830078125</v>
      </c>
      <c r="R138">
        <v>89.534881591796875</v>
      </c>
      <c r="S138">
        <v>96.42218017578125</v>
      </c>
      <c r="T138">
        <v>103.30947875976563</v>
      </c>
      <c r="U138">
        <v>110.19677734375</v>
      </c>
      <c r="V138">
        <v>117.08407592773438</v>
      </c>
      <c r="W138">
        <v>123.97137451171875</v>
      </c>
      <c r="X138">
        <v>130.85867309570313</v>
      </c>
      <c r="Y138">
        <v>137.7459716796875</v>
      </c>
      <c r="Z138">
        <v>144.63327026367188</v>
      </c>
      <c r="AA138">
        <v>151.52056884765625</v>
      </c>
      <c r="AB138">
        <v>158.40786743164063</v>
      </c>
      <c r="AC138">
        <v>165.295166015625</v>
      </c>
      <c r="AD138">
        <v>172.18246459960938</v>
      </c>
      <c r="AE138">
        <v>179.06976318359375</v>
      </c>
      <c r="AF138">
        <v>185.95706176757813</v>
      </c>
      <c r="AG138">
        <v>192.8443603515625</v>
      </c>
      <c r="AH138">
        <v>199.73165893554688</v>
      </c>
      <c r="AI138">
        <v>206.61895751953125</v>
      </c>
      <c r="AJ138">
        <v>213.50625610351563</v>
      </c>
      <c r="AK138">
        <v>220.3935546875</v>
      </c>
      <c r="AL138">
        <v>227.28085327148438</v>
      </c>
      <c r="AM138">
        <v>234.16815185546875</v>
      </c>
      <c r="AN138">
        <v>241.05545043945313</v>
      </c>
      <c r="AO138">
        <v>247.9427490234375</v>
      </c>
      <c r="AP138">
        <v>254.83004760742188</v>
      </c>
      <c r="AQ138">
        <v>261.71734619140625</v>
      </c>
      <c r="AR138">
        <v>268.60464477539063</v>
      </c>
      <c r="AS138">
        <v>275.491943359375</v>
      </c>
      <c r="AT138">
        <v>282.37924194335938</v>
      </c>
      <c r="AU138">
        <v>289.26654052734375</v>
      </c>
      <c r="AV138">
        <v>296.15383911132813</v>
      </c>
      <c r="AW138">
        <v>303.0411376953125</v>
      </c>
      <c r="AX138">
        <v>309.92843627929688</v>
      </c>
      <c r="AY138">
        <v>316.81573486328125</v>
      </c>
      <c r="AZ138">
        <v>323.70303344726563</v>
      </c>
      <c r="BA138">
        <v>330.59033203125</v>
      </c>
      <c r="BB138">
        <v>337.47763061523438</v>
      </c>
      <c r="BC138">
        <v>344.36492919921875</v>
      </c>
    </row>
    <row r="139" spans="4:55" x14ac:dyDescent="0.25">
      <c r="D139">
        <v>33000</v>
      </c>
      <c r="E139">
        <v>0</v>
      </c>
      <c r="F139">
        <v>6.7294507026672363</v>
      </c>
      <c r="G139">
        <v>13.458901405334473</v>
      </c>
      <c r="H139">
        <v>20.188352584838867</v>
      </c>
      <c r="I139">
        <v>26.917802810668945</v>
      </c>
      <c r="J139">
        <v>33.647254943847656</v>
      </c>
      <c r="K139">
        <v>40.376705169677734</v>
      </c>
      <c r="L139">
        <v>47.106155395507813</v>
      </c>
      <c r="M139">
        <v>53.835605621337891</v>
      </c>
      <c r="N139">
        <v>60.565055847167969</v>
      </c>
      <c r="O139">
        <v>67.294509887695313</v>
      </c>
      <c r="P139">
        <v>74.023956298828125</v>
      </c>
      <c r="Q139">
        <v>80.753410339355469</v>
      </c>
      <c r="R139">
        <v>87.482856750488281</v>
      </c>
      <c r="S139">
        <v>94.212310791015625</v>
      </c>
      <c r="T139">
        <v>100.94175720214844</v>
      </c>
      <c r="U139">
        <v>107.67121124267578</v>
      </c>
      <c r="V139">
        <v>114.40066528320313</v>
      </c>
      <c r="W139">
        <v>121.13011169433594</v>
      </c>
      <c r="X139">
        <v>127.85956573486328</v>
      </c>
      <c r="Y139">
        <v>134.58901977539063</v>
      </c>
      <c r="Z139">
        <v>141.31846618652344</v>
      </c>
      <c r="AA139">
        <v>148.04791259765625</v>
      </c>
      <c r="AB139">
        <v>154.77735900878906</v>
      </c>
      <c r="AC139">
        <v>161.50682067871094</v>
      </c>
      <c r="AD139">
        <v>168.23626708984375</v>
      </c>
      <c r="AE139">
        <v>174.96571350097656</v>
      </c>
      <c r="AF139">
        <v>181.69517517089844</v>
      </c>
      <c r="AG139">
        <v>188.42462158203125</v>
      </c>
      <c r="AH139">
        <v>195.15406799316406</v>
      </c>
      <c r="AI139">
        <v>201.88351440429688</v>
      </c>
      <c r="AJ139">
        <v>208.61297607421875</v>
      </c>
      <c r="AK139">
        <v>215.34242248535156</v>
      </c>
      <c r="AL139">
        <v>222.07186889648438</v>
      </c>
      <c r="AM139">
        <v>228.80133056640625</v>
      </c>
      <c r="AN139">
        <v>235.53077697753906</v>
      </c>
      <c r="AO139">
        <v>242.26022338867188</v>
      </c>
      <c r="AP139">
        <v>248.98966979980469</v>
      </c>
      <c r="AQ139">
        <v>255.71913146972656</v>
      </c>
      <c r="AR139">
        <v>262.44857788085938</v>
      </c>
      <c r="AS139">
        <v>269.17803955078125</v>
      </c>
      <c r="AT139">
        <v>275.907470703125</v>
      </c>
      <c r="AU139">
        <v>282.63693237304688</v>
      </c>
      <c r="AV139">
        <v>289.36639404296875</v>
      </c>
      <c r="AW139">
        <v>296.0958251953125</v>
      </c>
      <c r="AX139">
        <v>302.82528686523438</v>
      </c>
      <c r="AY139">
        <v>309.55471801757813</v>
      </c>
      <c r="AZ139">
        <v>316.2841796875</v>
      </c>
      <c r="BA139">
        <v>323.01364135742188</v>
      </c>
      <c r="BB139">
        <v>329.74307250976563</v>
      </c>
      <c r="BC139">
        <v>336.4725341796875</v>
      </c>
    </row>
    <row r="140" spans="4:55" x14ac:dyDescent="0.25">
      <c r="D140">
        <v>34000</v>
      </c>
      <c r="E140">
        <v>0</v>
      </c>
      <c r="F140">
        <v>6.573878288269043</v>
      </c>
      <c r="G140">
        <v>13.147756576538086</v>
      </c>
      <c r="H140">
        <v>19.721633911132813</v>
      </c>
      <c r="I140">
        <v>26.295513153076172</v>
      </c>
      <c r="J140">
        <v>32.869392395019531</v>
      </c>
      <c r="K140">
        <v>39.443267822265625</v>
      </c>
      <c r="L140">
        <v>46.017147064208984</v>
      </c>
      <c r="M140">
        <v>52.591026306152344</v>
      </c>
      <c r="N140">
        <v>59.164905548095703</v>
      </c>
      <c r="O140">
        <v>65.738784790039063</v>
      </c>
      <c r="P140">
        <v>72.312660217285156</v>
      </c>
      <c r="Q140">
        <v>78.88653564453125</v>
      </c>
      <c r="R140">
        <v>85.460418701171875</v>
      </c>
      <c r="S140">
        <v>92.034294128417969</v>
      </c>
      <c r="T140">
        <v>98.608177185058594</v>
      </c>
      <c r="U140">
        <v>105.18205261230469</v>
      </c>
      <c r="V140">
        <v>111.75592803955078</v>
      </c>
      <c r="W140">
        <v>118.32981109619141</v>
      </c>
      <c r="X140">
        <v>124.9036865234375</v>
      </c>
      <c r="Y140">
        <v>131.47756958007813</v>
      </c>
      <c r="Z140">
        <v>138.05143737792969</v>
      </c>
      <c r="AA140">
        <v>144.62532043457031</v>
      </c>
      <c r="AB140">
        <v>151.19920349121094</v>
      </c>
      <c r="AC140">
        <v>157.7730712890625</v>
      </c>
      <c r="AD140">
        <v>164.34695434570313</v>
      </c>
      <c r="AE140">
        <v>170.92083740234375</v>
      </c>
      <c r="AF140">
        <v>177.49472045898438</v>
      </c>
      <c r="AG140">
        <v>184.06858825683594</v>
      </c>
      <c r="AH140">
        <v>190.64247131347656</v>
      </c>
      <c r="AI140">
        <v>197.21635437011719</v>
      </c>
      <c r="AJ140">
        <v>203.79023742675781</v>
      </c>
      <c r="AK140">
        <v>210.36410522460938</v>
      </c>
      <c r="AL140">
        <v>216.93797302246094</v>
      </c>
      <c r="AM140">
        <v>223.51185607910156</v>
      </c>
      <c r="AN140">
        <v>230.08573913574219</v>
      </c>
      <c r="AO140">
        <v>236.65962219238281</v>
      </c>
      <c r="AP140">
        <v>243.23350524902344</v>
      </c>
      <c r="AQ140">
        <v>249.807373046875</v>
      </c>
      <c r="AR140">
        <v>256.38125610351563</v>
      </c>
      <c r="AS140">
        <v>262.95513916015625</v>
      </c>
      <c r="AT140">
        <v>269.52902221679688</v>
      </c>
      <c r="AU140">
        <v>276.10287475585938</v>
      </c>
      <c r="AV140">
        <v>282.6767578125</v>
      </c>
      <c r="AW140">
        <v>289.25064086914063</v>
      </c>
      <c r="AX140">
        <v>295.82452392578125</v>
      </c>
      <c r="AY140">
        <v>302.39840698242188</v>
      </c>
      <c r="AZ140">
        <v>308.9722900390625</v>
      </c>
      <c r="BA140">
        <v>315.546142578125</v>
      </c>
      <c r="BB140">
        <v>322.12002563476563</v>
      </c>
      <c r="BC140">
        <v>328.69390869140625</v>
      </c>
    </row>
    <row r="141" spans="4:55" x14ac:dyDescent="0.25">
      <c r="D141">
        <v>35000</v>
      </c>
      <c r="E141">
        <v>0</v>
      </c>
      <c r="F141">
        <v>6.4205684661865234</v>
      </c>
      <c r="G141">
        <v>12.841136932373047</v>
      </c>
      <c r="H141">
        <v>19.26170539855957</v>
      </c>
      <c r="I141">
        <v>25.682273864746094</v>
      </c>
      <c r="J141">
        <v>32.102840423583984</v>
      </c>
      <c r="K141">
        <v>38.523410797119141</v>
      </c>
      <c r="L141">
        <v>44.943977355957031</v>
      </c>
      <c r="M141">
        <v>51.364547729492188</v>
      </c>
      <c r="N141">
        <v>57.785114288330078</v>
      </c>
      <c r="O141">
        <v>64.205680847167969</v>
      </c>
      <c r="P141">
        <v>70.626251220703125</v>
      </c>
      <c r="Q141">
        <v>77.046821594238281</v>
      </c>
      <c r="R141">
        <v>83.467384338378906</v>
      </c>
      <c r="S141">
        <v>89.887954711914063</v>
      </c>
      <c r="T141">
        <v>96.308525085449219</v>
      </c>
      <c r="U141">
        <v>102.72909545898438</v>
      </c>
      <c r="V141">
        <v>109.14966583251953</v>
      </c>
      <c r="W141">
        <v>115.57022857666016</v>
      </c>
      <c r="X141">
        <v>121.99079895019531</v>
      </c>
      <c r="Y141">
        <v>128.41136169433594</v>
      </c>
      <c r="Z141">
        <v>134.83193969726563</v>
      </c>
      <c r="AA141">
        <v>141.25250244140625</v>
      </c>
      <c r="AB141">
        <v>147.67306518554688</v>
      </c>
      <c r="AC141">
        <v>154.09364318847656</v>
      </c>
      <c r="AD141">
        <v>160.51420593261719</v>
      </c>
      <c r="AE141">
        <v>166.93476867675781</v>
      </c>
      <c r="AF141">
        <v>173.3553466796875</v>
      </c>
      <c r="AG141">
        <v>179.77590942382813</v>
      </c>
      <c r="AH141">
        <v>186.19648742675781</v>
      </c>
      <c r="AI141">
        <v>192.61705017089844</v>
      </c>
      <c r="AJ141">
        <v>199.03762817382813</v>
      </c>
      <c r="AK141">
        <v>205.45819091796875</v>
      </c>
      <c r="AL141">
        <v>211.87875366210938</v>
      </c>
      <c r="AM141">
        <v>218.29933166503906</v>
      </c>
      <c r="AN141">
        <v>224.71989440917969</v>
      </c>
      <c r="AO141">
        <v>231.14045715332031</v>
      </c>
      <c r="AP141">
        <v>237.56101989746094</v>
      </c>
      <c r="AQ141">
        <v>243.98159790039063</v>
      </c>
      <c r="AR141">
        <v>250.40216064453125</v>
      </c>
      <c r="AS141">
        <v>256.82272338867188</v>
      </c>
      <c r="AT141">
        <v>263.2432861328125</v>
      </c>
      <c r="AU141">
        <v>269.66387939453125</v>
      </c>
      <c r="AV141">
        <v>276.08444213867188</v>
      </c>
      <c r="AW141">
        <v>282.5050048828125</v>
      </c>
      <c r="AX141">
        <v>288.92556762695313</v>
      </c>
      <c r="AY141">
        <v>295.34613037109375</v>
      </c>
      <c r="AZ141">
        <v>301.7667236328125</v>
      </c>
      <c r="BA141">
        <v>308.18728637695313</v>
      </c>
      <c r="BB141">
        <v>314.60784912109375</v>
      </c>
      <c r="BC141">
        <v>321.02841186523438</v>
      </c>
    </row>
    <row r="142" spans="4:55" x14ac:dyDescent="0.25">
      <c r="D142">
        <v>36000</v>
      </c>
      <c r="E142">
        <v>0</v>
      </c>
      <c r="F142">
        <v>6.269507884979248</v>
      </c>
      <c r="G142">
        <v>12.539015769958496</v>
      </c>
      <c r="H142">
        <v>18.808523178100586</v>
      </c>
      <c r="I142">
        <v>25.078031539916992</v>
      </c>
      <c r="J142">
        <v>31.347537994384766</v>
      </c>
      <c r="K142">
        <v>37.617046356201172</v>
      </c>
      <c r="L142">
        <v>43.886550903320313</v>
      </c>
      <c r="M142">
        <v>50.156063079833984</v>
      </c>
      <c r="N142">
        <v>56.425567626953125</v>
      </c>
      <c r="O142">
        <v>62.695075988769531</v>
      </c>
      <c r="P142">
        <v>68.964584350585938</v>
      </c>
      <c r="Q142">
        <v>75.234092712402344</v>
      </c>
      <c r="R142">
        <v>81.50360107421875</v>
      </c>
      <c r="S142">
        <v>87.773101806640625</v>
      </c>
      <c r="T142">
        <v>94.042610168457031</v>
      </c>
      <c r="U142">
        <v>100.31212615966797</v>
      </c>
      <c r="V142">
        <v>106.58162689208984</v>
      </c>
      <c r="W142">
        <v>112.85113525390625</v>
      </c>
      <c r="X142">
        <v>119.12064361572266</v>
      </c>
      <c r="Y142">
        <v>125.39015197753906</v>
      </c>
      <c r="Z142">
        <v>131.65965270996094</v>
      </c>
      <c r="AA142">
        <v>137.92916870117188</v>
      </c>
      <c r="AB142">
        <v>144.19866943359375</v>
      </c>
      <c r="AC142">
        <v>150.46818542480469</v>
      </c>
      <c r="AD142">
        <v>156.73768615722656</v>
      </c>
      <c r="AE142">
        <v>163.0072021484375</v>
      </c>
      <c r="AF142">
        <v>169.27670288085938</v>
      </c>
      <c r="AG142">
        <v>175.54620361328125</v>
      </c>
      <c r="AH142">
        <v>181.81571960449219</v>
      </c>
      <c r="AI142">
        <v>188.08522033691406</v>
      </c>
      <c r="AJ142">
        <v>194.354736328125</v>
      </c>
      <c r="AK142">
        <v>200.62425231933594</v>
      </c>
      <c r="AL142">
        <v>206.89375305175781</v>
      </c>
      <c r="AM142">
        <v>213.16325378417969</v>
      </c>
      <c r="AN142">
        <v>219.43275451660156</v>
      </c>
      <c r="AO142">
        <v>225.7022705078125</v>
      </c>
      <c r="AP142">
        <v>231.97178649902344</v>
      </c>
      <c r="AQ142">
        <v>238.24128723144531</v>
      </c>
      <c r="AR142">
        <v>244.51078796386719</v>
      </c>
      <c r="AS142">
        <v>250.78030395507813</v>
      </c>
      <c r="AT142">
        <v>257.0498046875</v>
      </c>
      <c r="AU142">
        <v>263.31930541992188</v>
      </c>
      <c r="AV142">
        <v>269.58883666992188</v>
      </c>
      <c r="AW142">
        <v>275.85833740234375</v>
      </c>
      <c r="AX142">
        <v>282.12783813476563</v>
      </c>
      <c r="AY142">
        <v>288.3973388671875</v>
      </c>
      <c r="AZ142">
        <v>294.66683959960938</v>
      </c>
      <c r="BA142">
        <v>300.93637084960938</v>
      </c>
      <c r="BB142">
        <v>307.20587158203125</v>
      </c>
      <c r="BC142">
        <v>313.47537231445313</v>
      </c>
    </row>
    <row r="143" spans="4:55" x14ac:dyDescent="0.25">
      <c r="D143">
        <v>37000</v>
      </c>
      <c r="E143">
        <v>0</v>
      </c>
      <c r="F143">
        <v>6.121150016784668</v>
      </c>
      <c r="G143">
        <v>12.242300033569336</v>
      </c>
      <c r="H143">
        <v>18.36345100402832</v>
      </c>
      <c r="I143">
        <v>24.484600067138672</v>
      </c>
      <c r="J143">
        <v>30.605751037597656</v>
      </c>
      <c r="K143">
        <v>36.726902008056641</v>
      </c>
      <c r="L143">
        <v>42.848052978515625</v>
      </c>
      <c r="M143">
        <v>48.969200134277344</v>
      </c>
      <c r="N143">
        <v>55.090351104736328</v>
      </c>
      <c r="O143">
        <v>61.211502075195313</v>
      </c>
      <c r="P143">
        <v>67.332649230957031</v>
      </c>
      <c r="Q143">
        <v>73.453804016113281</v>
      </c>
      <c r="R143">
        <v>79.574951171875</v>
      </c>
      <c r="S143">
        <v>85.69610595703125</v>
      </c>
      <c r="T143">
        <v>91.817253112792969</v>
      </c>
      <c r="U143">
        <v>97.938400268554688</v>
      </c>
      <c r="V143">
        <v>104.05954742431641</v>
      </c>
      <c r="W143">
        <v>110.18070220947266</v>
      </c>
      <c r="X143">
        <v>116.30184936523438</v>
      </c>
      <c r="Y143">
        <v>122.42300415039063</v>
      </c>
      <c r="Z143">
        <v>128.54415893554688</v>
      </c>
      <c r="AA143">
        <v>134.66529846191406</v>
      </c>
      <c r="AB143">
        <v>140.78645324707031</v>
      </c>
      <c r="AC143">
        <v>146.90760803222656</v>
      </c>
      <c r="AD143">
        <v>153.02874755859375</v>
      </c>
      <c r="AE143">
        <v>159.14990234375</v>
      </c>
      <c r="AF143">
        <v>165.27105712890625</v>
      </c>
      <c r="AG143">
        <v>171.3922119140625</v>
      </c>
      <c r="AH143">
        <v>177.51335144042969</v>
      </c>
      <c r="AI143">
        <v>183.63450622558594</v>
      </c>
      <c r="AJ143">
        <v>189.75566101074219</v>
      </c>
      <c r="AK143">
        <v>195.87680053710938</v>
      </c>
      <c r="AL143">
        <v>201.99795532226563</v>
      </c>
      <c r="AM143">
        <v>208.11909484863281</v>
      </c>
      <c r="AN143">
        <v>214.24024963378906</v>
      </c>
      <c r="AO143">
        <v>220.36140441894531</v>
      </c>
      <c r="AP143">
        <v>226.48255920410156</v>
      </c>
      <c r="AQ143">
        <v>232.60369873046875</v>
      </c>
      <c r="AR143">
        <v>238.724853515625</v>
      </c>
      <c r="AS143">
        <v>244.84600830078125</v>
      </c>
      <c r="AT143">
        <v>250.9671630859375</v>
      </c>
      <c r="AU143">
        <v>257.08831787109375</v>
      </c>
      <c r="AV143">
        <v>263.20947265625</v>
      </c>
      <c r="AW143">
        <v>269.33059692382813</v>
      </c>
      <c r="AX143">
        <v>275.45175170898438</v>
      </c>
      <c r="AY143">
        <v>281.57290649414063</v>
      </c>
      <c r="AZ143">
        <v>287.69406127929688</v>
      </c>
      <c r="BA143">
        <v>293.81521606445313</v>
      </c>
      <c r="BB143">
        <v>299.93637084960938</v>
      </c>
      <c r="BC143">
        <v>306.0574951171875</v>
      </c>
    </row>
    <row r="144" spans="4:55" x14ac:dyDescent="0.25">
      <c r="D144">
        <v>38000</v>
      </c>
      <c r="E144">
        <v>0</v>
      </c>
      <c r="F144">
        <v>5.9763169288635254</v>
      </c>
      <c r="G144">
        <v>11.952633857727051</v>
      </c>
      <c r="H144">
        <v>17.928951263427734</v>
      </c>
      <c r="I144">
        <v>23.905267715454102</v>
      </c>
      <c r="J144">
        <v>29.881586074829102</v>
      </c>
      <c r="K144">
        <v>35.857902526855469</v>
      </c>
      <c r="L144">
        <v>41.834220886230469</v>
      </c>
      <c r="M144">
        <v>47.810535430908203</v>
      </c>
      <c r="N144">
        <v>53.786853790283203</v>
      </c>
      <c r="O144">
        <v>59.763172149658203</v>
      </c>
      <c r="P144">
        <v>65.739486694335938</v>
      </c>
      <c r="Q144">
        <v>71.715805053710938</v>
      </c>
      <c r="R144">
        <v>77.692123413085938</v>
      </c>
      <c r="S144">
        <v>83.668441772460938</v>
      </c>
      <c r="T144">
        <v>89.644752502441406</v>
      </c>
      <c r="U144">
        <v>95.621070861816406</v>
      </c>
      <c r="V144">
        <v>101.59738922119141</v>
      </c>
      <c r="W144">
        <v>107.57370758056641</v>
      </c>
      <c r="X144">
        <v>113.55002593994141</v>
      </c>
      <c r="Y144">
        <v>119.52634429931641</v>
      </c>
      <c r="Z144">
        <v>125.50265502929688</v>
      </c>
      <c r="AA144">
        <v>131.47897338867188</v>
      </c>
      <c r="AB144">
        <v>137.45529174804688</v>
      </c>
      <c r="AC144">
        <v>143.43161010742188</v>
      </c>
      <c r="AD144">
        <v>149.40792846679688</v>
      </c>
      <c r="AE144">
        <v>155.38424682617188</v>
      </c>
      <c r="AF144">
        <v>161.36054992675781</v>
      </c>
      <c r="AG144">
        <v>167.33688354492188</v>
      </c>
      <c r="AH144">
        <v>173.31318664550781</v>
      </c>
      <c r="AI144">
        <v>179.28950500488281</v>
      </c>
      <c r="AJ144">
        <v>185.26582336425781</v>
      </c>
      <c r="AK144">
        <v>191.24214172363281</v>
      </c>
      <c r="AL144">
        <v>197.21846008300781</v>
      </c>
      <c r="AM144">
        <v>203.19477844238281</v>
      </c>
      <c r="AN144">
        <v>209.17109680175781</v>
      </c>
      <c r="AO144">
        <v>215.14741516113281</v>
      </c>
      <c r="AP144">
        <v>221.12373352050781</v>
      </c>
      <c r="AQ144">
        <v>227.10005187988281</v>
      </c>
      <c r="AR144">
        <v>233.07635498046875</v>
      </c>
      <c r="AS144">
        <v>239.05268859863281</v>
      </c>
      <c r="AT144">
        <v>245.02899169921875</v>
      </c>
      <c r="AU144">
        <v>251.00531005859375</v>
      </c>
      <c r="AV144">
        <v>256.98162841796875</v>
      </c>
      <c r="AW144">
        <v>262.95794677734375</v>
      </c>
      <c r="AX144">
        <v>268.93426513671875</v>
      </c>
      <c r="AY144">
        <v>274.91058349609375</v>
      </c>
      <c r="AZ144">
        <v>280.88690185546875</v>
      </c>
      <c r="BA144">
        <v>286.86322021484375</v>
      </c>
      <c r="BB144">
        <v>292.83953857421875</v>
      </c>
      <c r="BC144">
        <v>298.81585693359375</v>
      </c>
    </row>
    <row r="145" spans="3:55" x14ac:dyDescent="0.25">
      <c r="D145">
        <v>39000</v>
      </c>
      <c r="E145">
        <v>0</v>
      </c>
      <c r="F145">
        <v>5.8349242210388184</v>
      </c>
      <c r="G145">
        <v>11.669848442077637</v>
      </c>
      <c r="H145">
        <v>17.504772186279297</v>
      </c>
      <c r="I145">
        <v>23.339696884155273</v>
      </c>
      <c r="J145">
        <v>29.17462158203125</v>
      </c>
      <c r="K145">
        <v>35.009544372558594</v>
      </c>
      <c r="L145">
        <v>40.844470977783203</v>
      </c>
      <c r="M145">
        <v>46.679393768310547</v>
      </c>
      <c r="N145">
        <v>52.514316558837891</v>
      </c>
      <c r="O145">
        <v>58.3492431640625</v>
      </c>
      <c r="P145">
        <v>64.184165954589844</v>
      </c>
      <c r="Q145">
        <v>70.019088745117188</v>
      </c>
      <c r="R145">
        <v>75.854019165039063</v>
      </c>
      <c r="S145">
        <v>81.688941955566406</v>
      </c>
      <c r="T145">
        <v>87.52386474609375</v>
      </c>
      <c r="U145">
        <v>93.358787536621094</v>
      </c>
      <c r="V145">
        <v>99.193717956542969</v>
      </c>
      <c r="W145">
        <v>105.02863311767578</v>
      </c>
      <c r="X145">
        <v>110.86356353759766</v>
      </c>
      <c r="Y145">
        <v>116.698486328125</v>
      </c>
      <c r="Z145">
        <v>122.53340911865234</v>
      </c>
      <c r="AA145">
        <v>128.36833190917969</v>
      </c>
      <c r="AB145">
        <v>134.20326232910156</v>
      </c>
      <c r="AC145">
        <v>140.03817749023438</v>
      </c>
      <c r="AD145">
        <v>145.87310791015625</v>
      </c>
      <c r="AE145">
        <v>151.70803833007813</v>
      </c>
      <c r="AF145">
        <v>157.54295349121094</v>
      </c>
      <c r="AG145">
        <v>163.37788391113281</v>
      </c>
      <c r="AH145">
        <v>169.21279907226563</v>
      </c>
      <c r="AI145">
        <v>175.0477294921875</v>
      </c>
      <c r="AJ145">
        <v>180.88265991210938</v>
      </c>
      <c r="AK145">
        <v>186.71757507324219</v>
      </c>
      <c r="AL145">
        <v>192.55250549316406</v>
      </c>
      <c r="AM145">
        <v>198.38743591308594</v>
      </c>
      <c r="AN145">
        <v>204.22235107421875</v>
      </c>
      <c r="AO145">
        <v>210.05726623535156</v>
      </c>
      <c r="AP145">
        <v>215.89219665527344</v>
      </c>
      <c r="AQ145">
        <v>221.72712707519531</v>
      </c>
      <c r="AR145">
        <v>227.56205749511719</v>
      </c>
      <c r="AS145">
        <v>233.39697265625</v>
      </c>
      <c r="AT145">
        <v>239.23190307617188</v>
      </c>
      <c r="AU145">
        <v>245.06681823730469</v>
      </c>
      <c r="AV145">
        <v>250.90174865722656</v>
      </c>
      <c r="AW145">
        <v>256.73666381835938</v>
      </c>
      <c r="AX145">
        <v>262.57159423828125</v>
      </c>
      <c r="AY145">
        <v>268.40652465820313</v>
      </c>
      <c r="AZ145">
        <v>274.241455078125</v>
      </c>
      <c r="BA145">
        <v>280.07635498046875</v>
      </c>
      <c r="BB145">
        <v>285.91128540039063</v>
      </c>
      <c r="BC145">
        <v>291.7462158203125</v>
      </c>
    </row>
    <row r="146" spans="3:55" x14ac:dyDescent="0.25">
      <c r="D146">
        <v>40000</v>
      </c>
      <c r="E146">
        <v>0</v>
      </c>
      <c r="F146">
        <v>5.6968894004821777</v>
      </c>
      <c r="G146">
        <v>11.393778800964355</v>
      </c>
      <c r="H146">
        <v>17.090667724609375</v>
      </c>
      <c r="I146">
        <v>22.787557601928711</v>
      </c>
      <c r="J146">
        <v>28.484447479248047</v>
      </c>
      <c r="K146">
        <v>34.18133544921875</v>
      </c>
      <c r="L146">
        <v>39.878227233886719</v>
      </c>
      <c r="M146">
        <v>45.575115203857422</v>
      </c>
      <c r="N146">
        <v>51.272006988525391</v>
      </c>
      <c r="O146">
        <v>56.968894958496094</v>
      </c>
      <c r="P146">
        <v>62.665782928466797</v>
      </c>
      <c r="Q146">
        <v>68.3626708984375</v>
      </c>
      <c r="R146">
        <v>74.059562683105469</v>
      </c>
      <c r="S146">
        <v>79.756454467773438</v>
      </c>
      <c r="T146">
        <v>85.453346252441406</v>
      </c>
      <c r="U146">
        <v>91.150230407714844</v>
      </c>
      <c r="V146">
        <v>96.847122192382813</v>
      </c>
      <c r="W146">
        <v>102.54401397705078</v>
      </c>
      <c r="X146">
        <v>108.24089813232422</v>
      </c>
      <c r="Y146">
        <v>113.93778991699219</v>
      </c>
      <c r="Z146">
        <v>119.63468170166016</v>
      </c>
      <c r="AA146">
        <v>125.33156585693359</v>
      </c>
      <c r="AB146">
        <v>131.02845764160156</v>
      </c>
      <c r="AC146">
        <v>136.725341796875</v>
      </c>
      <c r="AD146">
        <v>142.4222412109375</v>
      </c>
      <c r="AE146">
        <v>148.11912536621094</v>
      </c>
      <c r="AF146">
        <v>153.81602478027344</v>
      </c>
      <c r="AG146">
        <v>159.51290893554688</v>
      </c>
      <c r="AH146">
        <v>165.20979309082031</v>
      </c>
      <c r="AI146">
        <v>170.90669250488281</v>
      </c>
      <c r="AJ146">
        <v>176.60357666015625</v>
      </c>
      <c r="AK146">
        <v>182.30046081542969</v>
      </c>
      <c r="AL146">
        <v>187.99734497070313</v>
      </c>
      <c r="AM146">
        <v>193.69424438476563</v>
      </c>
      <c r="AN146">
        <v>199.39112854003906</v>
      </c>
      <c r="AO146">
        <v>205.08802795410156</v>
      </c>
      <c r="AP146">
        <v>210.784912109375</v>
      </c>
      <c r="AQ146">
        <v>216.48179626464844</v>
      </c>
      <c r="AR146">
        <v>222.17869567871094</v>
      </c>
      <c r="AS146">
        <v>227.87557983398438</v>
      </c>
      <c r="AT146">
        <v>233.57246398925781</v>
      </c>
      <c r="AU146">
        <v>239.26936340332031</v>
      </c>
      <c r="AV146">
        <v>244.96624755859375</v>
      </c>
      <c r="AW146">
        <v>250.66313171386719</v>
      </c>
      <c r="AX146">
        <v>256.36001586914063</v>
      </c>
      <c r="AY146">
        <v>262.05691528320313</v>
      </c>
      <c r="AZ146">
        <v>267.75381469726563</v>
      </c>
      <c r="BA146">
        <v>273.45068359375</v>
      </c>
      <c r="BB146">
        <v>279.1475830078125</v>
      </c>
      <c r="BC146">
        <v>284.844482421875</v>
      </c>
    </row>
    <row r="147" spans="3:55" x14ac:dyDescent="0.25">
      <c r="D147">
        <v>41000</v>
      </c>
      <c r="E147">
        <v>0</v>
      </c>
      <c r="F147">
        <v>5.5621328353881836</v>
      </c>
      <c r="G147">
        <v>11.124265670776367</v>
      </c>
      <c r="H147">
        <v>16.686399459838867</v>
      </c>
      <c r="I147">
        <v>22.248531341552734</v>
      </c>
      <c r="J147">
        <v>27.810665130615234</v>
      </c>
      <c r="K147">
        <v>33.372798919677734</v>
      </c>
      <c r="L147">
        <v>38.934928894042969</v>
      </c>
      <c r="M147">
        <v>44.497062683105469</v>
      </c>
      <c r="N147">
        <v>50.059196472167969</v>
      </c>
      <c r="O147">
        <v>55.621330261230469</v>
      </c>
      <c r="P147">
        <v>61.183464050292969</v>
      </c>
      <c r="Q147">
        <v>66.745597839355469</v>
      </c>
      <c r="R147">
        <v>72.307723999023438</v>
      </c>
      <c r="S147">
        <v>77.869857788085938</v>
      </c>
      <c r="T147">
        <v>83.431991577148438</v>
      </c>
      <c r="U147">
        <v>88.994125366210938</v>
      </c>
      <c r="V147">
        <v>94.556259155273438</v>
      </c>
      <c r="W147">
        <v>100.11839294433594</v>
      </c>
      <c r="X147">
        <v>105.68052673339844</v>
      </c>
      <c r="Y147">
        <v>111.24266052246094</v>
      </c>
      <c r="Z147">
        <v>116.80479431152344</v>
      </c>
      <c r="AA147">
        <v>122.36692810058594</v>
      </c>
      <c r="AB147">
        <v>127.92906188964844</v>
      </c>
      <c r="AC147">
        <v>133.49119567871094</v>
      </c>
      <c r="AD147">
        <v>139.05332946777344</v>
      </c>
      <c r="AE147">
        <v>144.61544799804688</v>
      </c>
      <c r="AF147">
        <v>150.17759704589844</v>
      </c>
      <c r="AG147">
        <v>155.73971557617188</v>
      </c>
      <c r="AH147">
        <v>161.30186462402344</v>
      </c>
      <c r="AI147">
        <v>166.86398315429688</v>
      </c>
      <c r="AJ147">
        <v>172.42611694335938</v>
      </c>
      <c r="AK147">
        <v>177.98825073242188</v>
      </c>
      <c r="AL147">
        <v>183.55038452148438</v>
      </c>
      <c r="AM147">
        <v>189.11251831054688</v>
      </c>
      <c r="AN147">
        <v>194.67465209960938</v>
      </c>
      <c r="AO147">
        <v>200.23678588867188</v>
      </c>
      <c r="AP147">
        <v>205.79891967773438</v>
      </c>
      <c r="AQ147">
        <v>211.36105346679688</v>
      </c>
      <c r="AR147">
        <v>216.92318725585938</v>
      </c>
      <c r="AS147">
        <v>222.48532104492188</v>
      </c>
      <c r="AT147">
        <v>228.04745483398438</v>
      </c>
      <c r="AU147">
        <v>233.60958862304688</v>
      </c>
      <c r="AV147">
        <v>239.17170715332031</v>
      </c>
      <c r="AW147">
        <v>244.73385620117188</v>
      </c>
      <c r="AX147">
        <v>250.29598999023438</v>
      </c>
      <c r="AY147">
        <v>255.85812377929688</v>
      </c>
      <c r="AZ147">
        <v>261.42025756835938</v>
      </c>
      <c r="BA147">
        <v>266.98239135742188</v>
      </c>
      <c r="BB147">
        <v>272.54452514648438</v>
      </c>
      <c r="BC147">
        <v>278.10665893554688</v>
      </c>
    </row>
    <row r="148" spans="3:55" x14ac:dyDescent="0.25">
      <c r="D148">
        <v>42000</v>
      </c>
      <c r="E148">
        <v>0</v>
      </c>
      <c r="F148">
        <v>5.4305768013000488</v>
      </c>
      <c r="G148">
        <v>10.861153602600098</v>
      </c>
      <c r="H148">
        <v>16.291728973388672</v>
      </c>
      <c r="I148">
        <v>21.722307205200195</v>
      </c>
      <c r="J148">
        <v>27.152883529663086</v>
      </c>
      <c r="K148">
        <v>32.583457946777344</v>
      </c>
      <c r="L148">
        <v>38.0140380859375</v>
      </c>
      <c r="M148">
        <v>43.444614410400391</v>
      </c>
      <c r="N148">
        <v>48.875190734863281</v>
      </c>
      <c r="O148">
        <v>54.305767059326172</v>
      </c>
      <c r="P148">
        <v>59.736343383789063</v>
      </c>
      <c r="Q148">
        <v>65.166915893554688</v>
      </c>
      <c r="R148">
        <v>70.597496032714844</v>
      </c>
      <c r="S148">
        <v>76.028076171875</v>
      </c>
      <c r="T148">
        <v>81.458648681640625</v>
      </c>
      <c r="U148">
        <v>86.889228820800781</v>
      </c>
      <c r="V148">
        <v>92.319801330566406</v>
      </c>
      <c r="W148">
        <v>97.750381469726563</v>
      </c>
      <c r="X148">
        <v>103.18095397949219</v>
      </c>
      <c r="Y148">
        <v>108.61153411865234</v>
      </c>
      <c r="Z148">
        <v>114.04210662841797</v>
      </c>
      <c r="AA148">
        <v>119.47268676757813</v>
      </c>
      <c r="AB148">
        <v>124.90325927734375</v>
      </c>
      <c r="AC148">
        <v>130.33383178710938</v>
      </c>
      <c r="AD148">
        <v>135.76441955566406</v>
      </c>
      <c r="AE148">
        <v>141.19499206542969</v>
      </c>
      <c r="AF148">
        <v>146.62556457519531</v>
      </c>
      <c r="AG148">
        <v>152.05615234375</v>
      </c>
      <c r="AH148">
        <v>157.48672485351563</v>
      </c>
      <c r="AI148">
        <v>162.91729736328125</v>
      </c>
      <c r="AJ148">
        <v>168.34788513183594</v>
      </c>
      <c r="AK148">
        <v>173.77845764160156</v>
      </c>
      <c r="AL148">
        <v>179.20903015136719</v>
      </c>
      <c r="AM148">
        <v>184.63960266113281</v>
      </c>
      <c r="AN148">
        <v>190.07017517089844</v>
      </c>
      <c r="AO148">
        <v>195.50076293945313</v>
      </c>
      <c r="AP148">
        <v>200.93133544921875</v>
      </c>
      <c r="AQ148">
        <v>206.36190795898438</v>
      </c>
      <c r="AR148">
        <v>211.79248046875</v>
      </c>
      <c r="AS148">
        <v>217.22306823730469</v>
      </c>
      <c r="AT148">
        <v>222.65364074707031</v>
      </c>
      <c r="AU148">
        <v>228.08421325683594</v>
      </c>
      <c r="AV148">
        <v>233.51480102539063</v>
      </c>
      <c r="AW148">
        <v>238.94537353515625</v>
      </c>
      <c r="AX148">
        <v>244.37594604492188</v>
      </c>
      <c r="AY148">
        <v>249.8065185546875</v>
      </c>
      <c r="AZ148">
        <v>255.23710632324219</v>
      </c>
      <c r="BA148">
        <v>260.66766357421875</v>
      </c>
      <c r="BB148">
        <v>266.0982666015625</v>
      </c>
      <c r="BC148">
        <v>271.52883911132813</v>
      </c>
    </row>
    <row r="149" spans="3:55" x14ac:dyDescent="0.25">
      <c r="D149">
        <v>43000</v>
      </c>
      <c r="E149">
        <v>0</v>
      </c>
      <c r="F149">
        <v>5.3021440505981445</v>
      </c>
      <c r="G149">
        <v>10.604288101196289</v>
      </c>
      <c r="H149">
        <v>15.906432151794434</v>
      </c>
      <c r="I149">
        <v>21.208576202392578</v>
      </c>
      <c r="J149">
        <v>26.510721206665039</v>
      </c>
      <c r="K149">
        <v>31.812864303588867</v>
      </c>
      <c r="L149">
        <v>37.115009307861328</v>
      </c>
      <c r="M149">
        <v>42.417152404785156</v>
      </c>
      <c r="N149">
        <v>47.719295501708984</v>
      </c>
      <c r="O149">
        <v>53.021442413330078</v>
      </c>
      <c r="P149">
        <v>58.323585510253906</v>
      </c>
      <c r="Q149">
        <v>63.625728607177734</v>
      </c>
      <c r="R149">
        <v>68.927871704101563</v>
      </c>
      <c r="S149">
        <v>74.230018615722656</v>
      </c>
      <c r="T149">
        <v>79.532157897949219</v>
      </c>
      <c r="U149">
        <v>84.834304809570313</v>
      </c>
      <c r="V149">
        <v>90.136451721191406</v>
      </c>
      <c r="W149">
        <v>95.438591003417969</v>
      </c>
      <c r="X149">
        <v>100.74073791503906</v>
      </c>
      <c r="Y149">
        <v>106.04288482666016</v>
      </c>
      <c r="Z149">
        <v>111.34502410888672</v>
      </c>
      <c r="AA149">
        <v>116.64717102050781</v>
      </c>
      <c r="AB149">
        <v>121.94931030273438</v>
      </c>
      <c r="AC149">
        <v>127.25145721435547</v>
      </c>
      <c r="AD149">
        <v>132.55360412597656</v>
      </c>
      <c r="AE149">
        <v>137.85574340820313</v>
      </c>
      <c r="AF149">
        <v>143.15788269042969</v>
      </c>
      <c r="AG149">
        <v>148.46003723144531</v>
      </c>
      <c r="AH149">
        <v>153.76217651367188</v>
      </c>
      <c r="AI149">
        <v>159.06431579589844</v>
      </c>
      <c r="AJ149">
        <v>164.36647033691406</v>
      </c>
      <c r="AK149">
        <v>169.66860961914063</v>
      </c>
      <c r="AL149">
        <v>174.97074890136719</v>
      </c>
      <c r="AM149">
        <v>180.27290344238281</v>
      </c>
      <c r="AN149">
        <v>185.57504272460938</v>
      </c>
      <c r="AO149">
        <v>190.87718200683594</v>
      </c>
      <c r="AP149">
        <v>196.1793212890625</v>
      </c>
      <c r="AQ149">
        <v>201.48147583007813</v>
      </c>
      <c r="AR149">
        <v>206.78361511230469</v>
      </c>
      <c r="AS149">
        <v>212.08576965332031</v>
      </c>
      <c r="AT149">
        <v>217.38790893554688</v>
      </c>
      <c r="AU149">
        <v>222.69004821777344</v>
      </c>
      <c r="AV149">
        <v>227.99220275878906</v>
      </c>
      <c r="AW149">
        <v>233.29434204101563</v>
      </c>
      <c r="AX149">
        <v>238.59648132324219</v>
      </c>
      <c r="AY149">
        <v>243.89862060546875</v>
      </c>
      <c r="AZ149">
        <v>249.20077514648438</v>
      </c>
      <c r="BA149">
        <v>254.50291442871094</v>
      </c>
      <c r="BB149">
        <v>259.8050537109375</v>
      </c>
      <c r="BC149">
        <v>265.10720825195313</v>
      </c>
    </row>
    <row r="150" spans="3:55" x14ac:dyDescent="0.25">
      <c r="D150">
        <v>44000</v>
      </c>
      <c r="E150">
        <v>0</v>
      </c>
      <c r="F150">
        <v>5.1767606735229492</v>
      </c>
      <c r="G150">
        <v>10.353521347045898</v>
      </c>
      <c r="H150">
        <v>15.530281066894531</v>
      </c>
      <c r="I150">
        <v>20.707042694091797</v>
      </c>
      <c r="J150">
        <v>25.88380241394043</v>
      </c>
      <c r="K150">
        <v>31.060562133789063</v>
      </c>
      <c r="L150">
        <v>36.237323760986328</v>
      </c>
      <c r="M150">
        <v>41.414085388183594</v>
      </c>
      <c r="N150">
        <v>46.590843200683594</v>
      </c>
      <c r="O150">
        <v>51.767604827880859</v>
      </c>
      <c r="P150">
        <v>56.944366455078125</v>
      </c>
      <c r="Q150">
        <v>62.121124267578125</v>
      </c>
      <c r="R150">
        <v>67.297889709472656</v>
      </c>
      <c r="S150">
        <v>72.474647521972656</v>
      </c>
      <c r="T150">
        <v>77.651405334472656</v>
      </c>
      <c r="U150">
        <v>82.828170776367188</v>
      </c>
      <c r="V150">
        <v>88.004928588867188</v>
      </c>
      <c r="W150">
        <v>93.181686401367188</v>
      </c>
      <c r="X150">
        <v>98.358451843261719</v>
      </c>
      <c r="Y150">
        <v>103.53520965576172</v>
      </c>
      <c r="Z150">
        <v>108.71196746826172</v>
      </c>
      <c r="AA150">
        <v>113.88873291015625</v>
      </c>
      <c r="AB150">
        <v>119.06549072265625</v>
      </c>
      <c r="AC150">
        <v>124.24224853515625</v>
      </c>
      <c r="AD150">
        <v>129.41900634765625</v>
      </c>
      <c r="AE150">
        <v>134.59577941894531</v>
      </c>
      <c r="AF150">
        <v>139.77253723144531</v>
      </c>
      <c r="AG150">
        <v>144.94929504394531</v>
      </c>
      <c r="AH150">
        <v>150.12605285644531</v>
      </c>
      <c r="AI150">
        <v>155.30281066894531</v>
      </c>
      <c r="AJ150">
        <v>160.47956848144531</v>
      </c>
      <c r="AK150">
        <v>165.65634155273438</v>
      </c>
      <c r="AL150">
        <v>170.83309936523438</v>
      </c>
      <c r="AM150">
        <v>176.00985717773438</v>
      </c>
      <c r="AN150">
        <v>181.18661499023438</v>
      </c>
      <c r="AO150">
        <v>186.36337280273438</v>
      </c>
      <c r="AP150">
        <v>191.54013061523438</v>
      </c>
      <c r="AQ150">
        <v>196.71690368652344</v>
      </c>
      <c r="AR150">
        <v>201.89366149902344</v>
      </c>
      <c r="AS150">
        <v>207.07041931152344</v>
      </c>
      <c r="AT150">
        <v>212.24717712402344</v>
      </c>
      <c r="AU150">
        <v>217.42393493652344</v>
      </c>
      <c r="AV150">
        <v>222.6007080078125</v>
      </c>
      <c r="AW150">
        <v>227.7774658203125</v>
      </c>
      <c r="AX150">
        <v>232.9542236328125</v>
      </c>
      <c r="AY150">
        <v>238.1309814453125</v>
      </c>
      <c r="AZ150">
        <v>243.3077392578125</v>
      </c>
      <c r="BA150">
        <v>248.4844970703125</v>
      </c>
      <c r="BB150">
        <v>253.6612548828125</v>
      </c>
      <c r="BC150">
        <v>258.8380126953125</v>
      </c>
    </row>
    <row r="151" spans="3:55" x14ac:dyDescent="0.25">
      <c r="D151">
        <v>45000</v>
      </c>
      <c r="E151">
        <v>0</v>
      </c>
      <c r="F151">
        <v>5.0543537139892578</v>
      </c>
      <c r="G151">
        <v>10.108707427978516</v>
      </c>
      <c r="H151">
        <v>15.163061141967773</v>
      </c>
      <c r="I151">
        <v>20.217414855957031</v>
      </c>
      <c r="J151">
        <v>25.271768569946289</v>
      </c>
      <c r="K151">
        <v>30.326122283935547</v>
      </c>
      <c r="L151">
        <v>35.380477905273438</v>
      </c>
      <c r="M151">
        <v>40.434829711914063</v>
      </c>
      <c r="N151">
        <v>45.489185333251953</v>
      </c>
      <c r="O151">
        <v>50.543537139892578</v>
      </c>
      <c r="P151">
        <v>55.597892761230469</v>
      </c>
      <c r="Q151">
        <v>60.652244567871094</v>
      </c>
      <c r="R151">
        <v>65.706596374511719</v>
      </c>
      <c r="S151">
        <v>70.760955810546875</v>
      </c>
      <c r="T151">
        <v>75.8153076171875</v>
      </c>
      <c r="U151">
        <v>80.869659423828125</v>
      </c>
      <c r="V151">
        <v>85.92401123046875</v>
      </c>
      <c r="W151">
        <v>90.978370666503906</v>
      </c>
      <c r="X151">
        <v>96.032722473144531</v>
      </c>
      <c r="Y151">
        <v>101.08707427978516</v>
      </c>
      <c r="Z151">
        <v>106.14143371582031</v>
      </c>
      <c r="AA151">
        <v>111.19578552246094</v>
      </c>
      <c r="AB151">
        <v>116.25013732910156</v>
      </c>
      <c r="AC151">
        <v>121.30448913574219</v>
      </c>
      <c r="AD151">
        <v>126.35884094238281</v>
      </c>
      <c r="AE151">
        <v>131.41319274902344</v>
      </c>
      <c r="AF151">
        <v>136.46755981445313</v>
      </c>
      <c r="AG151">
        <v>141.52191162109375</v>
      </c>
      <c r="AH151">
        <v>146.57626342773438</v>
      </c>
      <c r="AI151">
        <v>151.630615234375</v>
      </c>
      <c r="AJ151">
        <v>156.68496704101563</v>
      </c>
      <c r="AK151">
        <v>161.73931884765625</v>
      </c>
      <c r="AL151">
        <v>166.79367065429688</v>
      </c>
      <c r="AM151">
        <v>171.8480224609375</v>
      </c>
      <c r="AN151">
        <v>176.90238952636719</v>
      </c>
      <c r="AO151">
        <v>181.95674133300781</v>
      </c>
      <c r="AP151">
        <v>187.01109313964844</v>
      </c>
      <c r="AQ151">
        <v>192.06544494628906</v>
      </c>
      <c r="AR151">
        <v>197.11979675292969</v>
      </c>
      <c r="AS151">
        <v>202.17414855957031</v>
      </c>
      <c r="AT151">
        <v>207.22850036621094</v>
      </c>
      <c r="AU151">
        <v>212.28286743164063</v>
      </c>
      <c r="AV151">
        <v>217.33721923828125</v>
      </c>
      <c r="AW151">
        <v>222.39157104492188</v>
      </c>
      <c r="AX151">
        <v>227.4459228515625</v>
      </c>
      <c r="AY151">
        <v>232.50027465820313</v>
      </c>
      <c r="AZ151">
        <v>237.55462646484375</v>
      </c>
      <c r="BA151">
        <v>242.60897827148438</v>
      </c>
      <c r="BB151">
        <v>247.663330078125</v>
      </c>
      <c r="BC151">
        <v>252.71768188476563</v>
      </c>
    </row>
    <row r="152" spans="3:55" x14ac:dyDescent="0.25">
      <c r="D152">
        <v>46000</v>
      </c>
      <c r="E152">
        <v>0</v>
      </c>
      <c r="F152">
        <v>4.9348526000976563</v>
      </c>
      <c r="G152">
        <v>9.8697052001953125</v>
      </c>
      <c r="H152">
        <v>14.804557800292969</v>
      </c>
      <c r="I152">
        <v>19.739410400390625</v>
      </c>
      <c r="J152">
        <v>24.674263000488281</v>
      </c>
      <c r="K152">
        <v>29.609115600585938</v>
      </c>
      <c r="L152">
        <v>34.543968200683594</v>
      </c>
      <c r="M152">
        <v>39.47882080078125</v>
      </c>
      <c r="N152">
        <v>44.413673400878906</v>
      </c>
      <c r="O152">
        <v>49.348526000976563</v>
      </c>
      <c r="P152">
        <v>54.283378601074219</v>
      </c>
      <c r="Q152">
        <v>59.218231201171875</v>
      </c>
      <c r="R152">
        <v>64.153083801269531</v>
      </c>
      <c r="S152">
        <v>69.087936401367188</v>
      </c>
      <c r="T152">
        <v>74.022789001464844</v>
      </c>
      <c r="U152">
        <v>78.9576416015625</v>
      </c>
      <c r="V152">
        <v>83.892494201660156</v>
      </c>
      <c r="W152">
        <v>88.827346801757813</v>
      </c>
      <c r="X152">
        <v>93.762199401855469</v>
      </c>
      <c r="Y152">
        <v>98.697052001953125</v>
      </c>
      <c r="Z152">
        <v>103.63190460205078</v>
      </c>
      <c r="AA152">
        <v>108.56675720214844</v>
      </c>
      <c r="AB152">
        <v>113.50160980224609</v>
      </c>
      <c r="AC152">
        <v>118.43646240234375</v>
      </c>
      <c r="AD152">
        <v>123.37131500244141</v>
      </c>
      <c r="AE152">
        <v>128.30616760253906</v>
      </c>
      <c r="AF152">
        <v>133.24101257324219</v>
      </c>
      <c r="AG152">
        <v>138.17587280273438</v>
      </c>
      <c r="AH152">
        <v>143.1107177734375</v>
      </c>
      <c r="AI152">
        <v>148.04557800292969</v>
      </c>
      <c r="AJ152">
        <v>152.98042297363281</v>
      </c>
      <c r="AK152">
        <v>157.915283203125</v>
      </c>
      <c r="AL152">
        <v>162.85014343261719</v>
      </c>
      <c r="AM152">
        <v>167.78498840332031</v>
      </c>
      <c r="AN152">
        <v>172.7198486328125</v>
      </c>
      <c r="AO152">
        <v>177.65469360351563</v>
      </c>
      <c r="AP152">
        <v>182.58955383300781</v>
      </c>
      <c r="AQ152">
        <v>187.52439880371094</v>
      </c>
      <c r="AR152">
        <v>192.45925903320313</v>
      </c>
      <c r="AS152">
        <v>197.39410400390625</v>
      </c>
      <c r="AT152">
        <v>202.32894897460938</v>
      </c>
      <c r="AU152">
        <v>207.26380920410156</v>
      </c>
      <c r="AV152">
        <v>212.19865417480469</v>
      </c>
      <c r="AW152">
        <v>217.13351440429688</v>
      </c>
      <c r="AX152">
        <v>222.06837463378906</v>
      </c>
      <c r="AY152">
        <v>227.00321960449219</v>
      </c>
      <c r="AZ152">
        <v>231.93807983398438</v>
      </c>
      <c r="BA152">
        <v>236.8729248046875</v>
      </c>
      <c r="BB152">
        <v>241.80778503417969</v>
      </c>
      <c r="BC152">
        <v>246.74263000488281</v>
      </c>
    </row>
    <row r="153" spans="3:55" x14ac:dyDescent="0.25">
      <c r="D153">
        <v>47000</v>
      </c>
      <c r="E153">
        <v>0</v>
      </c>
      <c r="F153">
        <v>4.8181877136230469</v>
      </c>
      <c r="G153">
        <v>9.6363754272460938</v>
      </c>
      <c r="H153">
        <v>14.454563140869141</v>
      </c>
      <c r="I153">
        <v>19.272750854492188</v>
      </c>
      <c r="J153">
        <v>24.090938568115234</v>
      </c>
      <c r="K153">
        <v>28.909126281738281</v>
      </c>
      <c r="L153">
        <v>33.727313995361328</v>
      </c>
      <c r="M153">
        <v>38.545501708984375</v>
      </c>
      <c r="N153">
        <v>43.363689422607422</v>
      </c>
      <c r="O153">
        <v>48.181877136230469</v>
      </c>
      <c r="P153">
        <v>53.000064849853516</v>
      </c>
      <c r="Q153">
        <v>57.818252563476563</v>
      </c>
      <c r="R153">
        <v>62.636440277099609</v>
      </c>
      <c r="S153">
        <v>67.454627990722656</v>
      </c>
      <c r="T153">
        <v>72.272819519042969</v>
      </c>
      <c r="U153">
        <v>77.09100341796875</v>
      </c>
      <c r="V153">
        <v>81.909194946289063</v>
      </c>
      <c r="W153">
        <v>86.727378845214844</v>
      </c>
      <c r="X153">
        <v>91.545562744140625</v>
      </c>
      <c r="Y153">
        <v>96.363754272460938</v>
      </c>
      <c r="Z153">
        <v>101.18193817138672</v>
      </c>
      <c r="AA153">
        <v>106.00012969970703</v>
      </c>
      <c r="AB153">
        <v>110.81831359863281</v>
      </c>
      <c r="AC153">
        <v>115.63650512695313</v>
      </c>
      <c r="AD153">
        <v>120.45469665527344</v>
      </c>
      <c r="AE153">
        <v>125.27288055419922</v>
      </c>
      <c r="AF153">
        <v>130.091064453125</v>
      </c>
      <c r="AG153">
        <v>134.90925598144531</v>
      </c>
      <c r="AH153">
        <v>139.72744750976563</v>
      </c>
      <c r="AI153">
        <v>144.54563903808594</v>
      </c>
      <c r="AJ153">
        <v>149.36381530761719</v>
      </c>
      <c r="AK153">
        <v>154.1820068359375</v>
      </c>
      <c r="AL153">
        <v>159.00019836425781</v>
      </c>
      <c r="AM153">
        <v>163.81838989257813</v>
      </c>
      <c r="AN153">
        <v>168.63656616210938</v>
      </c>
      <c r="AO153">
        <v>173.45475769042969</v>
      </c>
      <c r="AP153">
        <v>178.27294921875</v>
      </c>
      <c r="AQ153">
        <v>183.09112548828125</v>
      </c>
      <c r="AR153">
        <v>187.90933227539063</v>
      </c>
      <c r="AS153">
        <v>192.72750854492188</v>
      </c>
      <c r="AT153">
        <v>197.54570007324219</v>
      </c>
      <c r="AU153">
        <v>202.36387634277344</v>
      </c>
      <c r="AV153">
        <v>207.18206787109375</v>
      </c>
      <c r="AW153">
        <v>212.00025939941406</v>
      </c>
      <c r="AX153">
        <v>216.81845092773438</v>
      </c>
      <c r="AY153">
        <v>221.63662719726563</v>
      </c>
      <c r="AZ153">
        <v>226.45481872558594</v>
      </c>
      <c r="BA153">
        <v>231.27301025390625</v>
      </c>
      <c r="BB153">
        <v>236.09120178222656</v>
      </c>
      <c r="BC153">
        <v>240.90939331054688</v>
      </c>
    </row>
    <row r="154" spans="3:55" x14ac:dyDescent="0.25">
      <c r="D154">
        <v>48000</v>
      </c>
      <c r="E154">
        <v>0</v>
      </c>
      <c r="F154">
        <v>4.704291820526123</v>
      </c>
      <c r="G154">
        <v>9.4085836410522461</v>
      </c>
      <c r="H154">
        <v>14.112875938415527</v>
      </c>
      <c r="I154">
        <v>18.817167282104492</v>
      </c>
      <c r="J154">
        <v>23.521459579467773</v>
      </c>
      <c r="K154">
        <v>28.225751876831055</v>
      </c>
      <c r="L154">
        <v>32.930042266845703</v>
      </c>
      <c r="M154">
        <v>37.634334564208984</v>
      </c>
      <c r="N154">
        <v>42.338626861572266</v>
      </c>
      <c r="O154">
        <v>47.042919158935547</v>
      </c>
      <c r="P154">
        <v>51.747211456298828</v>
      </c>
      <c r="Q154">
        <v>56.451503753662109</v>
      </c>
      <c r="R154">
        <v>61.155796051025391</v>
      </c>
      <c r="S154">
        <v>65.860084533691406</v>
      </c>
      <c r="T154">
        <v>70.564376831054688</v>
      </c>
      <c r="U154">
        <v>75.268669128417969</v>
      </c>
      <c r="V154">
        <v>79.97296142578125</v>
      </c>
      <c r="W154">
        <v>84.677253723144531</v>
      </c>
      <c r="X154">
        <v>89.381546020507813</v>
      </c>
      <c r="Y154">
        <v>94.085838317871094</v>
      </c>
      <c r="Z154">
        <v>98.790130615234375</v>
      </c>
      <c r="AA154">
        <v>103.49442291259766</v>
      </c>
      <c r="AB154">
        <v>108.19871520996094</v>
      </c>
      <c r="AC154">
        <v>112.90300750732422</v>
      </c>
      <c r="AD154">
        <v>117.6072998046875</v>
      </c>
      <c r="AE154">
        <v>122.31159210205078</v>
      </c>
      <c r="AF154">
        <v>127.01588439941406</v>
      </c>
      <c r="AG154">
        <v>131.72016906738281</v>
      </c>
      <c r="AH154">
        <v>136.42446899414063</v>
      </c>
      <c r="AI154">
        <v>141.12875366210938</v>
      </c>
      <c r="AJ154">
        <v>145.83305358886719</v>
      </c>
      <c r="AK154">
        <v>150.53733825683594</v>
      </c>
      <c r="AL154">
        <v>155.24163818359375</v>
      </c>
      <c r="AM154">
        <v>159.9459228515625</v>
      </c>
      <c r="AN154">
        <v>164.65022277832031</v>
      </c>
      <c r="AO154">
        <v>169.35450744628906</v>
      </c>
      <c r="AP154">
        <v>174.05880737304688</v>
      </c>
      <c r="AQ154">
        <v>178.76309204101563</v>
      </c>
      <c r="AR154">
        <v>183.46739196777344</v>
      </c>
      <c r="AS154">
        <v>188.17167663574219</v>
      </c>
      <c r="AT154">
        <v>192.8759765625</v>
      </c>
      <c r="AU154">
        <v>197.58026123046875</v>
      </c>
      <c r="AV154">
        <v>202.28456115722656</v>
      </c>
      <c r="AW154">
        <v>206.98884582519531</v>
      </c>
      <c r="AX154">
        <v>211.69313049316406</v>
      </c>
      <c r="AY154">
        <v>216.39743041992188</v>
      </c>
      <c r="AZ154">
        <v>221.10171508789063</v>
      </c>
      <c r="BA154">
        <v>225.80601501464844</v>
      </c>
      <c r="BB154">
        <v>230.51031494140625</v>
      </c>
      <c r="BC154">
        <v>235.214599609375</v>
      </c>
    </row>
    <row r="155" spans="3:55" x14ac:dyDescent="0.25">
      <c r="D155">
        <v>49000</v>
      </c>
      <c r="E155">
        <v>0</v>
      </c>
      <c r="F155">
        <v>4.5930986404418945</v>
      </c>
      <c r="G155">
        <v>9.1861972808837891</v>
      </c>
      <c r="H155">
        <v>13.779295921325684</v>
      </c>
      <c r="I155">
        <v>18.372394561767578</v>
      </c>
      <c r="J155">
        <v>22.965494155883789</v>
      </c>
      <c r="K155">
        <v>27.558591842651367</v>
      </c>
      <c r="L155">
        <v>32.151691436767578</v>
      </c>
      <c r="M155">
        <v>36.744789123535156</v>
      </c>
      <c r="N155">
        <v>41.337890625</v>
      </c>
      <c r="O155">
        <v>45.930988311767578</v>
      </c>
      <c r="P155">
        <v>50.524085998535156</v>
      </c>
      <c r="Q155">
        <v>55.117183685302734</v>
      </c>
      <c r="R155">
        <v>59.710285186767578</v>
      </c>
      <c r="S155">
        <v>64.303382873535156</v>
      </c>
      <c r="T155">
        <v>68.896476745605469</v>
      </c>
      <c r="U155">
        <v>73.489578247070313</v>
      </c>
      <c r="V155">
        <v>78.082679748535156</v>
      </c>
      <c r="W155">
        <v>82.67578125</v>
      </c>
      <c r="X155">
        <v>87.268875122070313</v>
      </c>
      <c r="Y155">
        <v>91.861976623535156</v>
      </c>
      <c r="Z155">
        <v>96.455078125</v>
      </c>
      <c r="AA155">
        <v>101.04817199707031</v>
      </c>
      <c r="AB155">
        <v>105.64127349853516</v>
      </c>
      <c r="AC155">
        <v>110.23436737060547</v>
      </c>
      <c r="AD155">
        <v>114.82746887207031</v>
      </c>
      <c r="AE155">
        <v>119.42057037353516</v>
      </c>
      <c r="AF155">
        <v>124.013671875</v>
      </c>
      <c r="AG155">
        <v>128.60676574707031</v>
      </c>
      <c r="AH155">
        <v>133.19985961914063</v>
      </c>
      <c r="AI155">
        <v>137.79295349121094</v>
      </c>
      <c r="AJ155">
        <v>142.38606262207031</v>
      </c>
      <c r="AK155">
        <v>146.97915649414063</v>
      </c>
      <c r="AL155">
        <v>151.572265625</v>
      </c>
      <c r="AM155">
        <v>156.16535949707031</v>
      </c>
      <c r="AN155">
        <v>160.75845336914063</v>
      </c>
      <c r="AO155">
        <v>165.3515625</v>
      </c>
      <c r="AP155">
        <v>169.94465637207031</v>
      </c>
      <c r="AQ155">
        <v>174.53775024414063</v>
      </c>
      <c r="AR155">
        <v>179.130859375</v>
      </c>
      <c r="AS155">
        <v>183.72395324707031</v>
      </c>
      <c r="AT155">
        <v>188.31704711914063</v>
      </c>
      <c r="AU155">
        <v>192.91015625</v>
      </c>
      <c r="AV155">
        <v>197.50325012207031</v>
      </c>
      <c r="AW155">
        <v>202.09634399414063</v>
      </c>
      <c r="AX155">
        <v>206.68943786621094</v>
      </c>
      <c r="AY155">
        <v>211.28254699707031</v>
      </c>
      <c r="AZ155">
        <v>215.87564086914063</v>
      </c>
      <c r="BA155">
        <v>220.46873474121094</v>
      </c>
      <c r="BB155">
        <v>225.06184387207031</v>
      </c>
      <c r="BC155">
        <v>229.65493774414063</v>
      </c>
    </row>
    <row r="156" spans="3:55" x14ac:dyDescent="0.25">
      <c r="D156">
        <v>50000</v>
      </c>
      <c r="E156">
        <v>0</v>
      </c>
      <c r="F156">
        <v>4.4845442771911621</v>
      </c>
      <c r="G156">
        <v>8.9690885543823242</v>
      </c>
      <c r="H156">
        <v>13.453633308410645</v>
      </c>
      <c r="I156">
        <v>17.938177108764648</v>
      </c>
      <c r="J156">
        <v>22.422721862792969</v>
      </c>
      <c r="K156">
        <v>26.907266616821289</v>
      </c>
      <c r="L156">
        <v>31.391809463500977</v>
      </c>
      <c r="M156">
        <v>35.876354217529297</v>
      </c>
      <c r="N156">
        <v>40.36090087890625</v>
      </c>
      <c r="O156">
        <v>44.845443725585938</v>
      </c>
      <c r="P156">
        <v>49.329986572265625</v>
      </c>
      <c r="Q156">
        <v>53.814533233642578</v>
      </c>
      <c r="R156">
        <v>58.299079895019531</v>
      </c>
      <c r="S156">
        <v>62.783618927001953</v>
      </c>
      <c r="T156">
        <v>67.268165588378906</v>
      </c>
      <c r="U156">
        <v>71.752708435058594</v>
      </c>
      <c r="V156">
        <v>76.237251281738281</v>
      </c>
      <c r="W156">
        <v>80.7218017578125</v>
      </c>
      <c r="X156">
        <v>85.206344604492188</v>
      </c>
      <c r="Y156">
        <v>89.690887451171875</v>
      </c>
      <c r="Z156">
        <v>94.175430297851563</v>
      </c>
      <c r="AA156">
        <v>98.65997314453125</v>
      </c>
      <c r="AB156">
        <v>103.14452362060547</v>
      </c>
      <c r="AC156">
        <v>107.62906646728516</v>
      </c>
      <c r="AD156">
        <v>112.11360931396484</v>
      </c>
      <c r="AE156">
        <v>116.59815979003906</v>
      </c>
      <c r="AF156">
        <v>121.08270263671875</v>
      </c>
      <c r="AG156">
        <v>125.56723785400391</v>
      </c>
      <c r="AH156">
        <v>130.05178833007813</v>
      </c>
      <c r="AI156">
        <v>134.53633117675781</v>
      </c>
      <c r="AJ156">
        <v>139.0208740234375</v>
      </c>
      <c r="AK156">
        <v>143.50541687011719</v>
      </c>
      <c r="AL156">
        <v>147.98995971679688</v>
      </c>
      <c r="AM156">
        <v>152.47450256347656</v>
      </c>
      <c r="AN156">
        <v>156.95906066894531</v>
      </c>
      <c r="AO156">
        <v>161.443603515625</v>
      </c>
      <c r="AP156">
        <v>165.92814636230469</v>
      </c>
      <c r="AQ156">
        <v>170.41268920898438</v>
      </c>
      <c r="AR156">
        <v>174.89723205566406</v>
      </c>
      <c r="AS156">
        <v>179.38177490234375</v>
      </c>
      <c r="AT156">
        <v>183.86631774902344</v>
      </c>
      <c r="AU156">
        <v>188.35086059570313</v>
      </c>
      <c r="AV156">
        <v>192.83541870117188</v>
      </c>
      <c r="AW156">
        <v>197.3199462890625</v>
      </c>
      <c r="AX156">
        <v>201.80448913574219</v>
      </c>
      <c r="AY156">
        <v>206.28904724121094</v>
      </c>
      <c r="AZ156">
        <v>210.77359008789063</v>
      </c>
      <c r="BA156">
        <v>215.25813293457031</v>
      </c>
      <c r="BB156">
        <v>219.74267578125</v>
      </c>
      <c r="BC156">
        <v>224.22721862792969</v>
      </c>
    </row>
    <row r="157" spans="3:55" x14ac:dyDescent="0.25">
      <c r="C157" t="s">
        <v>136</v>
      </c>
      <c r="D157" t="s">
        <v>133</v>
      </c>
      <c r="E157">
        <v>0</v>
      </c>
      <c r="F157">
        <v>0.02</v>
      </c>
      <c r="G157">
        <v>0.04</v>
      </c>
      <c r="H157">
        <v>0.06</v>
      </c>
      <c r="I157">
        <v>0.08</v>
      </c>
      <c r="J157">
        <v>0.1</v>
      </c>
      <c r="K157">
        <v>0.12</v>
      </c>
      <c r="L157">
        <v>0.14000000000000001</v>
      </c>
      <c r="M157">
        <v>0.16</v>
      </c>
      <c r="N157">
        <v>0.18</v>
      </c>
      <c r="O157">
        <v>0.2</v>
      </c>
      <c r="P157">
        <v>0.22</v>
      </c>
      <c r="Q157">
        <v>0.24</v>
      </c>
      <c r="R157">
        <v>0.26</v>
      </c>
      <c r="S157">
        <v>0.28000000000000003</v>
      </c>
      <c r="T157">
        <v>0.3</v>
      </c>
      <c r="U157">
        <v>0.32</v>
      </c>
      <c r="V157">
        <v>0.34</v>
      </c>
      <c r="W157">
        <v>0.36</v>
      </c>
      <c r="X157">
        <v>0.38</v>
      </c>
      <c r="Y157">
        <v>0.4</v>
      </c>
      <c r="Z157">
        <v>0.42</v>
      </c>
      <c r="AA157">
        <v>0.44</v>
      </c>
      <c r="AB157">
        <v>0.46</v>
      </c>
      <c r="AC157">
        <v>0.48</v>
      </c>
      <c r="AD157">
        <v>0.5</v>
      </c>
      <c r="AE157">
        <v>0.52</v>
      </c>
      <c r="AF157">
        <v>0.54</v>
      </c>
      <c r="AG157">
        <v>0.56000000000000005</v>
      </c>
      <c r="AH157">
        <v>0.57999999999999996</v>
      </c>
      <c r="AI157">
        <v>0.6</v>
      </c>
      <c r="AJ157">
        <v>0.62</v>
      </c>
      <c r="AK157">
        <v>0.64</v>
      </c>
      <c r="AL157">
        <v>0.66</v>
      </c>
      <c r="AM157">
        <v>0.68</v>
      </c>
      <c r="AN157">
        <v>0.7</v>
      </c>
      <c r="AO157">
        <v>0.72</v>
      </c>
      <c r="AP157">
        <v>0.74</v>
      </c>
      <c r="AQ157">
        <v>0.76</v>
      </c>
      <c r="AR157">
        <v>0.78</v>
      </c>
      <c r="AS157">
        <v>0.8</v>
      </c>
      <c r="AT157">
        <v>0.82</v>
      </c>
      <c r="AU157">
        <v>0.84</v>
      </c>
      <c r="AV157">
        <v>0.86</v>
      </c>
      <c r="AW157">
        <v>0.88</v>
      </c>
      <c r="AX157">
        <v>0.9</v>
      </c>
      <c r="AY157">
        <v>0.92</v>
      </c>
      <c r="AZ157">
        <v>0.94</v>
      </c>
      <c r="BA157">
        <v>0.96</v>
      </c>
      <c r="BB157">
        <v>0.98</v>
      </c>
      <c r="BC157">
        <v>1</v>
      </c>
    </row>
    <row r="158" spans="3:55" x14ac:dyDescent="0.25">
      <c r="D158">
        <v>0</v>
      </c>
      <c r="R158">
        <v>1.1666600704193115</v>
      </c>
      <c r="S158">
        <v>1.0059467554092407</v>
      </c>
      <c r="T158">
        <v>0.87629139423370361</v>
      </c>
      <c r="U158">
        <v>0.77017796039581299</v>
      </c>
      <c r="V158">
        <v>0.68223375082015991</v>
      </c>
      <c r="W158">
        <v>0.60853564739227295</v>
      </c>
      <c r="X158">
        <v>0.54616498947143555</v>
      </c>
      <c r="Y158">
        <v>0.4929138720035553</v>
      </c>
      <c r="Z158">
        <v>0.44708740711212158</v>
      </c>
      <c r="AA158">
        <v>0.40736684203147888</v>
      </c>
      <c r="AB158">
        <v>0.37271371483802795</v>
      </c>
      <c r="AC158">
        <v>0.34230130910873413</v>
      </c>
      <c r="AD158">
        <v>0.31546488404273987</v>
      </c>
      <c r="AE158">
        <v>0.29166501760482788</v>
      </c>
      <c r="AF158">
        <v>0.27046030759811401</v>
      </c>
      <c r="AG158">
        <v>0.25148668885231018</v>
      </c>
      <c r="AH158">
        <v>0.23444180190563202</v>
      </c>
      <c r="AI158">
        <v>0.2190728485584259</v>
      </c>
      <c r="AJ158">
        <v>0.20516707003116608</v>
      </c>
      <c r="AK158">
        <v>0.19254449009895325</v>
      </c>
    </row>
    <row r="159" spans="3:55" x14ac:dyDescent="0.25">
      <c r="D159">
        <v>1000</v>
      </c>
      <c r="S159">
        <v>1.0430920124053955</v>
      </c>
      <c r="T159">
        <v>0.90864908695220947</v>
      </c>
      <c r="U159">
        <v>0.79861736297607422</v>
      </c>
      <c r="V159">
        <v>0.70742577314376831</v>
      </c>
      <c r="W159">
        <v>0.63100630044937134</v>
      </c>
      <c r="X159">
        <v>0.56633251905441284</v>
      </c>
      <c r="Y159">
        <v>0.51111507415771484</v>
      </c>
      <c r="Z159">
        <v>0.46359646320343018</v>
      </c>
      <c r="AA159">
        <v>0.42240917682647705</v>
      </c>
      <c r="AB159">
        <v>0.38647645711898804</v>
      </c>
      <c r="AC159">
        <v>0.35494107007980347</v>
      </c>
      <c r="AD159">
        <v>0.32711365818977356</v>
      </c>
      <c r="AE159">
        <v>0.30243498086929321</v>
      </c>
      <c r="AF159">
        <v>0.28044724464416504</v>
      </c>
      <c r="AG159">
        <v>0.26077300310134888</v>
      </c>
      <c r="AH159">
        <v>0.24309875071048737</v>
      </c>
      <c r="AI159">
        <v>0.22716227173805237</v>
      </c>
      <c r="AJ159">
        <v>0.21274301409721375</v>
      </c>
      <c r="AK159">
        <v>0.19965434074401855</v>
      </c>
      <c r="AL159">
        <v>0.18773740530014038</v>
      </c>
    </row>
    <row r="160" spans="3:55" x14ac:dyDescent="0.25">
      <c r="D160">
        <v>2000</v>
      </c>
      <c r="S160">
        <v>1.081877589225769</v>
      </c>
      <c r="T160">
        <v>0.94243556261062622</v>
      </c>
      <c r="U160">
        <v>0.82831251621246338</v>
      </c>
      <c r="V160">
        <v>0.73373013734817505</v>
      </c>
      <c r="W160">
        <v>0.65446913242340088</v>
      </c>
      <c r="X160">
        <v>0.58739066123962402</v>
      </c>
      <c r="Y160">
        <v>0.53012001514434814</v>
      </c>
      <c r="Z160">
        <v>0.4808344841003418</v>
      </c>
      <c r="AA160">
        <v>0.43811571598052979</v>
      </c>
      <c r="AB160">
        <v>0.40084689855575562</v>
      </c>
      <c r="AC160">
        <v>0.36813890933990479</v>
      </c>
      <c r="AD160">
        <v>0.33927682042121887</v>
      </c>
      <c r="AE160">
        <v>0.313680499792099</v>
      </c>
      <c r="AF160">
        <v>0.29087519645690918</v>
      </c>
      <c r="AG160">
        <v>0.27046939730644226</v>
      </c>
      <c r="AH160">
        <v>0.2521379292011261</v>
      </c>
      <c r="AI160">
        <v>0.23560889065265656</v>
      </c>
      <c r="AJ160">
        <v>0.22065348923206329</v>
      </c>
      <c r="AK160">
        <v>0.20707812905311584</v>
      </c>
      <c r="AL160">
        <v>0.19471810758113861</v>
      </c>
    </row>
    <row r="161" spans="4:45" x14ac:dyDescent="0.25">
      <c r="D161">
        <v>3000</v>
      </c>
      <c r="S161">
        <v>1.1223880052566528</v>
      </c>
      <c r="T161">
        <v>0.97772473096847534</v>
      </c>
      <c r="U161">
        <v>0.85932832956314087</v>
      </c>
      <c r="V161">
        <v>0.76120436191558838</v>
      </c>
      <c r="W161">
        <v>0.67897552251815796</v>
      </c>
      <c r="X161">
        <v>0.60938519239425659</v>
      </c>
      <c r="Y161">
        <v>0.54997014999389648</v>
      </c>
      <c r="Z161">
        <v>0.49883913993835449</v>
      </c>
      <c r="AA161">
        <v>0.45452079176902771</v>
      </c>
      <c r="AB161">
        <v>0.41585645079612732</v>
      </c>
      <c r="AC161">
        <v>0.38192370533943176</v>
      </c>
      <c r="AD161">
        <v>0.35198089480400085</v>
      </c>
      <c r="AE161">
        <v>0.3254261314868927</v>
      </c>
      <c r="AF161">
        <v>0.30176690220832825</v>
      </c>
      <c r="AG161">
        <v>0.28059700131416321</v>
      </c>
      <c r="AH161">
        <v>0.26157915592193604</v>
      </c>
      <c r="AI161">
        <v>0.24443118274211884</v>
      </c>
      <c r="AJ161">
        <v>0.22891576588153839</v>
      </c>
      <c r="AK161">
        <v>0.21483208239078522</v>
      </c>
      <c r="AL161">
        <v>0.20200923085212708</v>
      </c>
      <c r="AM161">
        <v>0.19030109047889709</v>
      </c>
    </row>
    <row r="162" spans="4:45" x14ac:dyDescent="0.25">
      <c r="D162">
        <v>4000</v>
      </c>
      <c r="S162">
        <v>1.16471266746521</v>
      </c>
      <c r="T162">
        <v>1.0145941972732544</v>
      </c>
      <c r="U162">
        <v>0.89173322916030884</v>
      </c>
      <c r="V162">
        <v>0.78990894556045532</v>
      </c>
      <c r="W162">
        <v>0.70457929372787476</v>
      </c>
      <c r="X162">
        <v>0.63236474990844727</v>
      </c>
      <c r="Y162">
        <v>0.570709228515625</v>
      </c>
      <c r="Z162">
        <v>0.51765012741088867</v>
      </c>
      <c r="AA162">
        <v>0.47166052460670471</v>
      </c>
      <c r="AB162">
        <v>0.4315381646156311</v>
      </c>
      <c r="AC162">
        <v>0.39632585644721985</v>
      </c>
      <c r="AD162">
        <v>0.36525389552116394</v>
      </c>
      <c r="AE162">
        <v>0.33769777417182922</v>
      </c>
      <c r="AF162">
        <v>0.31314635276794434</v>
      </c>
      <c r="AG162">
        <v>0.29117816686630249</v>
      </c>
      <c r="AH162">
        <v>0.27144315838813782</v>
      </c>
      <c r="AI162">
        <v>0.2536485493183136</v>
      </c>
      <c r="AJ162">
        <v>0.23754805326461792</v>
      </c>
      <c r="AK162">
        <v>0.22293330729007721</v>
      </c>
      <c r="AL162">
        <v>0.20962689816951752</v>
      </c>
      <c r="AM162">
        <v>0.19747723639011383</v>
      </c>
    </row>
    <row r="163" spans="4:45" x14ac:dyDescent="0.25">
      <c r="D163">
        <v>5000</v>
      </c>
      <c r="T163">
        <v>1.0531266927719116</v>
      </c>
      <c r="U163">
        <v>0.92559963464736938</v>
      </c>
      <c r="V163">
        <v>0.81990832090377808</v>
      </c>
      <c r="W163">
        <v>0.7313380241394043</v>
      </c>
      <c r="X163">
        <v>0.65638095140457153</v>
      </c>
      <c r="Y163">
        <v>0.59238380193710327</v>
      </c>
      <c r="Z163">
        <v>0.53730952739715576</v>
      </c>
      <c r="AA163">
        <v>0.48957335948944092</v>
      </c>
      <c r="AB163">
        <v>0.44792723655700684</v>
      </c>
      <c r="AC163">
        <v>0.41137760877609253</v>
      </c>
      <c r="AD163">
        <v>0.37912562489509583</v>
      </c>
      <c r="AE163">
        <v>0.3505229651927948</v>
      </c>
      <c r="AF163">
        <v>0.32503911852836609</v>
      </c>
      <c r="AG163">
        <v>0.30223661661148071</v>
      </c>
      <c r="AH163">
        <v>0.2817520797252655</v>
      </c>
      <c r="AI163">
        <v>0.26328167319297791</v>
      </c>
      <c r="AJ163">
        <v>0.24656973779201508</v>
      </c>
      <c r="AK163">
        <v>0.23139990866184235</v>
      </c>
      <c r="AL163">
        <v>0.21758817136287689</v>
      </c>
      <c r="AM163">
        <v>0.20497708022594452</v>
      </c>
      <c r="AN163">
        <v>0.19343143701553345</v>
      </c>
    </row>
    <row r="164" spans="4:45" x14ac:dyDescent="0.25">
      <c r="D164">
        <v>6000</v>
      </c>
      <c r="T164">
        <v>1.0934097766876221</v>
      </c>
      <c r="U164">
        <v>0.96100467443466187</v>
      </c>
      <c r="V164">
        <v>0.85127055644989014</v>
      </c>
      <c r="W164">
        <v>0.75931233167648315</v>
      </c>
      <c r="X164">
        <v>0.681488037109375</v>
      </c>
      <c r="Y164">
        <v>0.61504298448562622</v>
      </c>
      <c r="Z164">
        <v>0.55786210298538208</v>
      </c>
      <c r="AA164">
        <v>0.50829994678497314</v>
      </c>
      <c r="AB164">
        <v>0.46506083011627197</v>
      </c>
      <c r="AC164">
        <v>0.42711320519447327</v>
      </c>
      <c r="AD164">
        <v>0.39362749457359314</v>
      </c>
      <c r="AE164">
        <v>0.36393076181411743</v>
      </c>
      <c r="AF164">
        <v>0.33747214078903198</v>
      </c>
      <c r="AG164">
        <v>0.31379744410514832</v>
      </c>
      <c r="AH164">
        <v>0.29252934455871582</v>
      </c>
      <c r="AI164">
        <v>0.27335244417190552</v>
      </c>
      <c r="AJ164">
        <v>0.25600123405456543</v>
      </c>
      <c r="AK164">
        <v>0.24025116860866547</v>
      </c>
      <c r="AL164">
        <v>0.22591108083724976</v>
      </c>
      <c r="AM164">
        <v>0.21281763911247253</v>
      </c>
      <c r="AN164">
        <v>0.20083035528659821</v>
      </c>
    </row>
    <row r="165" spans="4:45" x14ac:dyDescent="0.25">
      <c r="D165">
        <v>7000</v>
      </c>
      <c r="U165">
        <v>0.99802964925765991</v>
      </c>
      <c r="V165">
        <v>0.8840678334236145</v>
      </c>
      <c r="W165">
        <v>0.78856664896011353</v>
      </c>
      <c r="X165">
        <v>0.7077440619468689</v>
      </c>
      <c r="Y165">
        <v>0.63873904943466187</v>
      </c>
      <c r="Z165">
        <v>0.57935512065887451</v>
      </c>
      <c r="AA165">
        <v>0.52788347005844116</v>
      </c>
      <c r="AB165">
        <v>0.4829784631729126</v>
      </c>
      <c r="AC165">
        <v>0.44356876611709595</v>
      </c>
      <c r="AD165">
        <v>0.40879297256469727</v>
      </c>
      <c r="AE165">
        <v>0.37795206904411316</v>
      </c>
      <c r="AF165">
        <v>0.35047408938407898</v>
      </c>
      <c r="AG165">
        <v>0.32588723301887512</v>
      </c>
      <c r="AH165">
        <v>0.30379977822303772</v>
      </c>
      <c r="AI165">
        <v>0.28388401865959167</v>
      </c>
      <c r="AJ165">
        <v>0.26586431264877319</v>
      </c>
      <c r="AK165">
        <v>0.24950741231441498</v>
      </c>
      <c r="AL165">
        <v>0.23461487889289856</v>
      </c>
      <c r="AM165">
        <v>0.22101695835590363</v>
      </c>
      <c r="AN165">
        <v>0.20856782793998718</v>
      </c>
      <c r="AO165">
        <v>0.19714166224002838</v>
      </c>
    </row>
    <row r="166" spans="4:45" x14ac:dyDescent="0.25">
      <c r="D166">
        <v>8000</v>
      </c>
      <c r="U166">
        <v>1.0367614030838013</v>
      </c>
      <c r="V166">
        <v>0.9183768630027771</v>
      </c>
      <c r="W166">
        <v>0.81916952133178711</v>
      </c>
      <c r="X166">
        <v>0.73521029949188232</v>
      </c>
      <c r="Y166">
        <v>0.66352730989456177</v>
      </c>
      <c r="Z166">
        <v>0.60183882713317871</v>
      </c>
      <c r="AA166">
        <v>0.5483696460723877</v>
      </c>
      <c r="AB166">
        <v>0.50172197818756104</v>
      </c>
      <c r="AC166">
        <v>0.46078285574913025</v>
      </c>
      <c r="AD166">
        <v>0.42465746402740479</v>
      </c>
      <c r="AE166">
        <v>0.39261969923973083</v>
      </c>
      <c r="AF166">
        <v>0.36407533288002014</v>
      </c>
      <c r="AG166">
        <v>0.33853435516357422</v>
      </c>
      <c r="AH166">
        <v>0.31558969616889954</v>
      </c>
      <c r="AI166">
        <v>0.294901043176651</v>
      </c>
      <c r="AJ166">
        <v>0.27618202567100525</v>
      </c>
      <c r="AK166">
        <v>0.25919035077095032</v>
      </c>
      <c r="AL166">
        <v>0.24371984601020813</v>
      </c>
      <c r="AM166">
        <v>0.22959421575069427</v>
      </c>
      <c r="AN166">
        <v>0.2166619747877121</v>
      </c>
      <c r="AO166">
        <v>0.20479238033294678</v>
      </c>
    </row>
    <row r="167" spans="4:45" x14ac:dyDescent="0.25">
      <c r="D167">
        <v>9000</v>
      </c>
      <c r="V167">
        <v>0.95427906513214111</v>
      </c>
      <c r="W167">
        <v>0.85119336843490601</v>
      </c>
      <c r="X167">
        <v>0.76395189762115479</v>
      </c>
      <c r="Y167">
        <v>0.68946659564971924</v>
      </c>
      <c r="Z167">
        <v>0.62536650896072388</v>
      </c>
      <c r="AA167">
        <v>0.56980711221694946</v>
      </c>
      <c r="AB167">
        <v>0.52133578062057495</v>
      </c>
      <c r="AC167">
        <v>0.47879624366760254</v>
      </c>
      <c r="AD167">
        <v>0.44125860929489136</v>
      </c>
      <c r="AE167">
        <v>0.40796837210655212</v>
      </c>
      <c r="AF167">
        <v>0.37830814719200134</v>
      </c>
      <c r="AG167">
        <v>0.35176867246627808</v>
      </c>
      <c r="AH167">
        <v>0.32792705297470093</v>
      </c>
      <c r="AI167">
        <v>0.30642959475517273</v>
      </c>
      <c r="AJ167">
        <v>0.28697881102561951</v>
      </c>
      <c r="AK167">
        <v>0.26932287216186523</v>
      </c>
      <c r="AL167">
        <v>0.25324758887290955</v>
      </c>
      <c r="AM167">
        <v>0.23856976628303528</v>
      </c>
      <c r="AN167">
        <v>0.22513195872306824</v>
      </c>
      <c r="AO167">
        <v>0.2127983421087265</v>
      </c>
      <c r="AP167">
        <v>0.20145115256309509</v>
      </c>
    </row>
    <row r="168" spans="4:45" x14ac:dyDescent="0.25">
      <c r="D168">
        <v>10000</v>
      </c>
      <c r="V168">
        <v>0.99186044931411743</v>
      </c>
      <c r="W168">
        <v>0.88471502065658569</v>
      </c>
      <c r="X168">
        <v>0.79403787851333618</v>
      </c>
      <c r="Y168">
        <v>0.71661919355392456</v>
      </c>
      <c r="Z168">
        <v>0.64999473094940186</v>
      </c>
      <c r="AA168">
        <v>0.59224724769592285</v>
      </c>
      <c r="AB168">
        <v>0.54186701774597168</v>
      </c>
      <c r="AC168">
        <v>0.49765220284461975</v>
      </c>
      <c r="AD168">
        <v>0.45863628387451172</v>
      </c>
      <c r="AE168">
        <v>0.42403504252433777</v>
      </c>
      <c r="AF168">
        <v>0.39320665597915649</v>
      </c>
      <c r="AG168">
        <v>0.36562204360961914</v>
      </c>
      <c r="AH168">
        <v>0.34084147214889526</v>
      </c>
      <c r="AI168">
        <v>0.3184974193572998</v>
      </c>
      <c r="AJ168">
        <v>0.29828062653541565</v>
      </c>
      <c r="AK168">
        <v>0.27992936968803406</v>
      </c>
      <c r="AL168">
        <v>0.26322099566459656</v>
      </c>
      <c r="AM168">
        <v>0.24796511232852936</v>
      </c>
      <c r="AN168">
        <v>0.23399810492992401</v>
      </c>
      <c r="AO168">
        <v>0.22117875516414642</v>
      </c>
      <c r="AP168">
        <v>0.20938470959663391</v>
      </c>
    </row>
    <row r="169" spans="4:45" x14ac:dyDescent="0.25">
      <c r="D169">
        <v>11000</v>
      </c>
      <c r="V169">
        <v>1.0312129259109497</v>
      </c>
      <c r="W169">
        <v>0.91981643438339233</v>
      </c>
      <c r="X169">
        <v>0.82554167509078979</v>
      </c>
      <c r="Y169">
        <v>0.74505132436752319</v>
      </c>
      <c r="Z169">
        <v>0.67578357458114624</v>
      </c>
      <c r="AA169">
        <v>0.61574488878250122</v>
      </c>
      <c r="AB169">
        <v>0.5633658766746521</v>
      </c>
      <c r="AC169">
        <v>0.51739674806594849</v>
      </c>
      <c r="AD169">
        <v>0.47683286666870117</v>
      </c>
      <c r="AE169">
        <v>0.44085881114006042</v>
      </c>
      <c r="AF169">
        <v>0.40880730748176575</v>
      </c>
      <c r="AG169">
        <v>0.38012823462486267</v>
      </c>
      <c r="AH169">
        <v>0.35436448454856873</v>
      </c>
      <c r="AI169">
        <v>0.33113393187522888</v>
      </c>
      <c r="AJ169">
        <v>0.31011500954627991</v>
      </c>
      <c r="AK169">
        <v>0.29103568196296692</v>
      </c>
      <c r="AL169">
        <v>0.27366441488265991</v>
      </c>
      <c r="AM169">
        <v>0.25780323147773743</v>
      </c>
      <c r="AN169">
        <v>0.24328206479549408</v>
      </c>
      <c r="AO169">
        <v>0.22995410859584808</v>
      </c>
      <c r="AP169">
        <v>0.21769213676452637</v>
      </c>
    </row>
    <row r="170" spans="4:45" x14ac:dyDescent="0.25">
      <c r="D170">
        <v>12000</v>
      </c>
      <c r="W170">
        <v>0.95658451318740845</v>
      </c>
      <c r="X170">
        <v>0.85854119062423706</v>
      </c>
      <c r="Y170">
        <v>0.77483344078063965</v>
      </c>
      <c r="Z170">
        <v>0.70279675722122192</v>
      </c>
      <c r="AA170">
        <v>0.64035820960998535</v>
      </c>
      <c r="AB170">
        <v>0.58588534593582153</v>
      </c>
      <c r="AC170">
        <v>0.53807878494262695</v>
      </c>
      <c r="AD170">
        <v>0.49589338898658752</v>
      </c>
      <c r="AE170">
        <v>0.4584813117980957</v>
      </c>
      <c r="AF170">
        <v>0.42514863610267639</v>
      </c>
      <c r="AG170">
        <v>0.39532315731048584</v>
      </c>
      <c r="AH170">
        <v>0.36852958798408508</v>
      </c>
      <c r="AI170">
        <v>0.34437039494514465</v>
      </c>
      <c r="AJ170">
        <v>0.32251131534576416</v>
      </c>
      <c r="AK170">
        <v>0.30266931653022766</v>
      </c>
      <c r="AL170">
        <v>0.28460362553596497</v>
      </c>
      <c r="AM170">
        <v>0.26810845732688904</v>
      </c>
      <c r="AN170">
        <v>0.25300684571266174</v>
      </c>
      <c r="AO170">
        <v>0.23914612829685211</v>
      </c>
      <c r="AP170">
        <v>0.22639399766921997</v>
      </c>
      <c r="AQ170">
        <v>0.21463529765605927</v>
      </c>
    </row>
    <row r="171" spans="4:45" x14ac:dyDescent="0.25">
      <c r="D171">
        <v>13000</v>
      </c>
      <c r="W171">
        <v>0.99511146545410156</v>
      </c>
      <c r="X171">
        <v>0.8931194543838501</v>
      </c>
      <c r="Y171">
        <v>0.80604028701782227</v>
      </c>
      <c r="Z171">
        <v>0.7311023473739624</v>
      </c>
      <c r="AA171">
        <v>0.66614896059036255</v>
      </c>
      <c r="AB171">
        <v>0.6094822883605957</v>
      </c>
      <c r="AC171">
        <v>0.55975019931793213</v>
      </c>
      <c r="AD171">
        <v>0.51586580276489258</v>
      </c>
      <c r="AE171">
        <v>0.47694692015647888</v>
      </c>
      <c r="AF171">
        <v>0.44227173924446106</v>
      </c>
      <c r="AG171">
        <v>0.41124504804611206</v>
      </c>
      <c r="AH171">
        <v>0.38337230682373047</v>
      </c>
      <c r="AI171">
        <v>0.35824012756347656</v>
      </c>
      <c r="AJ171">
        <v>0.33550065755844116</v>
      </c>
      <c r="AK171">
        <v>0.31485947966575623</v>
      </c>
      <c r="AL171">
        <v>0.29606622457504272</v>
      </c>
      <c r="AM171">
        <v>0.27890667319297791</v>
      </c>
      <c r="AN171">
        <v>0.26319682598114014</v>
      </c>
      <c r="AO171">
        <v>0.24877786636352539</v>
      </c>
      <c r="AP171">
        <v>0.2355121374130249</v>
      </c>
      <c r="AQ171">
        <v>0.22327986359596252</v>
      </c>
    </row>
    <row r="172" spans="4:45" x14ac:dyDescent="0.25">
      <c r="D172">
        <v>14000</v>
      </c>
      <c r="X172">
        <v>0.92936456203460693</v>
      </c>
      <c r="Y172">
        <v>0.83875149488449097</v>
      </c>
      <c r="Z172">
        <v>0.76077234745025635</v>
      </c>
      <c r="AA172">
        <v>0.69318306446075439</v>
      </c>
      <c r="AB172">
        <v>0.63421660661697388</v>
      </c>
      <c r="AC172">
        <v>0.58246630430221558</v>
      </c>
      <c r="AD172">
        <v>0.53680098056793213</v>
      </c>
      <c r="AE172">
        <v>0.49630266427993774</v>
      </c>
      <c r="AF172">
        <v>0.46022030711174011</v>
      </c>
      <c r="AG172">
        <v>0.4279344379901886</v>
      </c>
      <c r="AH172">
        <v>0.39893051981925964</v>
      </c>
      <c r="AI172">
        <v>0.37277844548225403</v>
      </c>
      <c r="AJ172">
        <v>0.34911614656448364</v>
      </c>
      <c r="AK172">
        <v>0.32763728499412537</v>
      </c>
      <c r="AL172">
        <v>0.30808135867118835</v>
      </c>
      <c r="AM172">
        <v>0.29022544622421265</v>
      </c>
      <c r="AN172">
        <v>0.27387803792953491</v>
      </c>
      <c r="AO172">
        <v>0.25887390971183777</v>
      </c>
      <c r="AP172">
        <v>0.24506983160972595</v>
      </c>
      <c r="AQ172">
        <v>0.23234114050865173</v>
      </c>
      <c r="AR172">
        <v>0.22057896852493286</v>
      </c>
    </row>
    <row r="173" spans="4:45" x14ac:dyDescent="0.25">
      <c r="D173">
        <v>15000</v>
      </c>
      <c r="X173">
        <v>0.96737033128738403</v>
      </c>
      <c r="Y173">
        <v>0.87305164337158203</v>
      </c>
      <c r="Z173">
        <v>0.79188364744186401</v>
      </c>
      <c r="AA173">
        <v>0.72153031826019287</v>
      </c>
      <c r="AB173">
        <v>0.66015249490737915</v>
      </c>
      <c r="AC173">
        <v>0.60628592967987061</v>
      </c>
      <c r="AD173">
        <v>0.55875307321548462</v>
      </c>
      <c r="AE173">
        <v>0.51659864187240601</v>
      </c>
      <c r="AF173">
        <v>0.4790407121181488</v>
      </c>
      <c r="AG173">
        <v>0.4454345703125</v>
      </c>
      <c r="AH173">
        <v>0.41524454951286316</v>
      </c>
      <c r="AI173">
        <v>0.38802295923233032</v>
      </c>
      <c r="AJ173">
        <v>0.36339300870895386</v>
      </c>
      <c r="AK173">
        <v>0.34103581309318542</v>
      </c>
      <c r="AL173">
        <v>0.32068014144897461</v>
      </c>
      <c r="AM173">
        <v>0.30209401249885559</v>
      </c>
      <c r="AN173">
        <v>0.28507810831069946</v>
      </c>
      <c r="AO173">
        <v>0.26946038007736206</v>
      </c>
      <c r="AP173">
        <v>0.25509181618690491</v>
      </c>
      <c r="AQ173">
        <v>0.24184258282184601</v>
      </c>
      <c r="AR173">
        <v>0.22959938645362854</v>
      </c>
    </row>
    <row r="174" spans="4:45" x14ac:dyDescent="0.25">
      <c r="D174">
        <v>16000</v>
      </c>
      <c r="X174">
        <v>1.0072364807128906</v>
      </c>
      <c r="Y174">
        <v>0.90903091430664063</v>
      </c>
      <c r="Z174">
        <v>0.82451784610748291</v>
      </c>
      <c r="AA174">
        <v>0.75126522779464722</v>
      </c>
      <c r="AB174">
        <v>0.68735796213150024</v>
      </c>
      <c r="AC174">
        <v>0.63127142190933228</v>
      </c>
      <c r="AD174">
        <v>0.58177977800369263</v>
      </c>
      <c r="AE174">
        <v>0.53788810968399048</v>
      </c>
      <c r="AF174">
        <v>0.49878239631652832</v>
      </c>
      <c r="AG174">
        <v>0.46379128098487854</v>
      </c>
      <c r="AH174">
        <v>0.43235716223716736</v>
      </c>
      <c r="AI174">
        <v>0.40401375293731689</v>
      </c>
      <c r="AJ174">
        <v>0.37836873531341553</v>
      </c>
      <c r="AK174">
        <v>0.35509020090103149</v>
      </c>
      <c r="AL174">
        <v>0.33389565348625183</v>
      </c>
      <c r="AM174">
        <v>0.31454357504844666</v>
      </c>
      <c r="AN174">
        <v>0.29682642221450806</v>
      </c>
      <c r="AO174">
        <v>0.28056508302688599</v>
      </c>
      <c r="AP174">
        <v>0.26560434699058533</v>
      </c>
      <c r="AQ174">
        <v>0.25180912017822266</v>
      </c>
      <c r="AR174">
        <v>0.23906137049198151</v>
      </c>
    </row>
    <row r="175" spans="4:45" x14ac:dyDescent="0.25">
      <c r="D175">
        <v>17000</v>
      </c>
      <c r="Y175">
        <v>0.94678527116775513</v>
      </c>
      <c r="Z175">
        <v>0.85876208543777466</v>
      </c>
      <c r="AA175">
        <v>0.78246712684631348</v>
      </c>
      <c r="AB175">
        <v>0.71590560674667358</v>
      </c>
      <c r="AC175">
        <v>0.65748977661132813</v>
      </c>
      <c r="AD175">
        <v>0.60594254732131958</v>
      </c>
      <c r="AE175">
        <v>0.56022793054580688</v>
      </c>
      <c r="AF175">
        <v>0.51949805021286011</v>
      </c>
      <c r="AG175">
        <v>0.48305368423461914</v>
      </c>
      <c r="AH175">
        <v>0.45031401515007019</v>
      </c>
      <c r="AI175">
        <v>0.42079341411590576</v>
      </c>
      <c r="AJ175">
        <v>0.39408335089683533</v>
      </c>
      <c r="AK175">
        <v>0.36983799934387207</v>
      </c>
      <c r="AL175">
        <v>0.34776318073272705</v>
      </c>
      <c r="AM175">
        <v>0.32760736346244812</v>
      </c>
      <c r="AN175">
        <v>0.30915436148643494</v>
      </c>
      <c r="AO175">
        <v>0.29221764206886292</v>
      </c>
      <c r="AP175">
        <v>0.2766355574131012</v>
      </c>
      <c r="AQ175">
        <v>0.26226738095283508</v>
      </c>
      <c r="AR175">
        <v>0.24899019300937653</v>
      </c>
    </row>
    <row r="176" spans="4:45" x14ac:dyDescent="0.25">
      <c r="D176">
        <v>18000</v>
      </c>
      <c r="Y176">
        <v>0.98641687631607056</v>
      </c>
      <c r="Z176">
        <v>0.89470916986465454</v>
      </c>
      <c r="AA176">
        <v>0.81522053480148315</v>
      </c>
      <c r="AB176">
        <v>0.74587291479110718</v>
      </c>
      <c r="AC176">
        <v>0.68501174449920654</v>
      </c>
      <c r="AD176">
        <v>0.63130676746368408</v>
      </c>
      <c r="AE176">
        <v>0.58367860317230225</v>
      </c>
      <c r="AF176">
        <v>0.5412437915802002</v>
      </c>
      <c r="AG176">
        <v>0.50327390432357788</v>
      </c>
      <c r="AH176">
        <v>0.46916377544403076</v>
      </c>
      <c r="AI176">
        <v>0.43840748071670532</v>
      </c>
      <c r="AJ176">
        <v>0.41057935357093811</v>
      </c>
      <c r="AK176">
        <v>0.38531908392906189</v>
      </c>
      <c r="AL176">
        <v>0.36232024431228638</v>
      </c>
      <c r="AM176">
        <v>0.34132072329521179</v>
      </c>
      <c r="AN176">
        <v>0.32209530472755432</v>
      </c>
      <c r="AO176">
        <v>0.3044496476650238</v>
      </c>
      <c r="AP176">
        <v>0.28821530938148499</v>
      </c>
      <c r="AQ176">
        <v>0.27324566245079041</v>
      </c>
      <c r="AR176">
        <v>0.2594127357006073</v>
      </c>
      <c r="AS176">
        <v>0.24660421907901764</v>
      </c>
    </row>
    <row r="177" spans="4:45" x14ac:dyDescent="0.25">
      <c r="D177">
        <v>19000</v>
      </c>
      <c r="Z177">
        <v>0.93245780467987061</v>
      </c>
      <c r="AA177">
        <v>0.84961551427841187</v>
      </c>
      <c r="AB177">
        <v>0.77734196186065674</v>
      </c>
      <c r="AC177">
        <v>0.71391302347183228</v>
      </c>
      <c r="AD177">
        <v>0.65794223546981812</v>
      </c>
      <c r="AE177">
        <v>0.60830461978912354</v>
      </c>
      <c r="AF177">
        <v>0.56407946348190308</v>
      </c>
      <c r="AG177">
        <v>0.52450752258300781</v>
      </c>
      <c r="AH177">
        <v>0.48895826935768127</v>
      </c>
      <c r="AI177">
        <v>0.45690435171127319</v>
      </c>
      <c r="AJ177">
        <v>0.42790210247039795</v>
      </c>
      <c r="AK177">
        <v>0.40157607197761536</v>
      </c>
      <c r="AL177">
        <v>0.37760689854621887</v>
      </c>
      <c r="AM177">
        <v>0.35572135448455811</v>
      </c>
      <c r="AN177">
        <v>0.33568483591079712</v>
      </c>
      <c r="AO177">
        <v>0.31729468703269958</v>
      </c>
      <c r="AP177">
        <v>0.30037540197372437</v>
      </c>
      <c r="AQ177">
        <v>0.28477415442466736</v>
      </c>
      <c r="AR177">
        <v>0.27035760879516602</v>
      </c>
      <c r="AS177">
        <v>0.25700870156288147</v>
      </c>
    </row>
    <row r="178" spans="4:45" x14ac:dyDescent="0.25">
      <c r="D178">
        <v>20000</v>
      </c>
      <c r="Z178">
        <v>0.97211354970932007</v>
      </c>
      <c r="AA178">
        <v>0.88574814796447754</v>
      </c>
      <c r="AB178">
        <v>0.81040090322494507</v>
      </c>
      <c r="AC178">
        <v>0.74427443742752075</v>
      </c>
      <c r="AD178">
        <v>0.68592333793640137</v>
      </c>
      <c r="AE178">
        <v>0.63417470455169678</v>
      </c>
      <c r="AF178">
        <v>0.58806872367858887</v>
      </c>
      <c r="AG178">
        <v>0.54681390523910522</v>
      </c>
      <c r="AH178">
        <v>0.50975275039672852</v>
      </c>
      <c r="AI178">
        <v>0.47633567452430725</v>
      </c>
      <c r="AJ178">
        <v>0.44609999656677246</v>
      </c>
      <c r="AK178">
        <v>0.41865438222885132</v>
      </c>
      <c r="AL178">
        <v>0.39366582036018372</v>
      </c>
      <c r="AM178">
        <v>0.37084954977035522</v>
      </c>
      <c r="AN178">
        <v>0.34996089339256287</v>
      </c>
      <c r="AO178">
        <v>0.33078867197036743</v>
      </c>
      <c r="AP178">
        <v>0.31314980983734131</v>
      </c>
      <c r="AQ178">
        <v>0.29688510298728943</v>
      </c>
      <c r="AR178">
        <v>0.28185540437698364</v>
      </c>
      <c r="AS178">
        <v>0.26793882250785828</v>
      </c>
    </row>
    <row r="179" spans="4:45" x14ac:dyDescent="0.25">
      <c r="D179">
        <v>21000</v>
      </c>
      <c r="AA179">
        <v>0.92372095584869385</v>
      </c>
      <c r="AB179">
        <v>0.84514355659484863</v>
      </c>
      <c r="AC179">
        <v>0.77618211507797241</v>
      </c>
      <c r="AD179">
        <v>0.71532946825027466</v>
      </c>
      <c r="AE179">
        <v>0.66136234998703003</v>
      </c>
      <c r="AF179">
        <v>0.61327970027923584</v>
      </c>
      <c r="AG179">
        <v>0.57025629281997681</v>
      </c>
      <c r="AH179">
        <v>0.53160631656646729</v>
      </c>
      <c r="AI179">
        <v>0.49675658345222473</v>
      </c>
      <c r="AJ179">
        <v>0.46522468328475952</v>
      </c>
      <c r="AK179">
        <v>0.43660244345664978</v>
      </c>
      <c r="AL179">
        <v>0.41054263710975647</v>
      </c>
      <c r="AM179">
        <v>0.38674819469451904</v>
      </c>
      <c r="AN179">
        <v>0.36496400833129883</v>
      </c>
      <c r="AO179">
        <v>0.34496983885765076</v>
      </c>
      <c r="AP179">
        <v>0.32657483220100403</v>
      </c>
      <c r="AQ179">
        <v>0.30961284041404724</v>
      </c>
      <c r="AR179">
        <v>0.29393878579139709</v>
      </c>
      <c r="AS179">
        <v>0.27942559123039246</v>
      </c>
    </row>
    <row r="180" spans="4:45" x14ac:dyDescent="0.25">
      <c r="D180">
        <v>22000</v>
      </c>
      <c r="AA180">
        <v>0.96364337205886841</v>
      </c>
      <c r="AB180">
        <v>0.88166987895965576</v>
      </c>
      <c r="AC180">
        <v>0.80972802639007568</v>
      </c>
      <c r="AD180">
        <v>0.74624538421630859</v>
      </c>
      <c r="AE180">
        <v>0.6899457573890686</v>
      </c>
      <c r="AF180">
        <v>0.63978517055511475</v>
      </c>
      <c r="AG180">
        <v>0.59490221738815308</v>
      </c>
      <c r="AH180">
        <v>0.55458188056945801</v>
      </c>
      <c r="AI180">
        <v>0.51822596788406372</v>
      </c>
      <c r="AJ180">
        <v>0.48533129692077637</v>
      </c>
      <c r="AK180">
        <v>0.45547202229499817</v>
      </c>
      <c r="AL180">
        <v>0.42828589677810669</v>
      </c>
      <c r="AM180">
        <v>0.40346309542655945</v>
      </c>
      <c r="AN180">
        <v>0.38073742389678955</v>
      </c>
      <c r="AO180">
        <v>0.35987913608551025</v>
      </c>
      <c r="AP180">
        <v>0.34068909287452698</v>
      </c>
      <c r="AQ180">
        <v>0.32299402356147766</v>
      </c>
      <c r="AR180">
        <v>0.30664259195327759</v>
      </c>
      <c r="AS180">
        <v>0.29150211811065674</v>
      </c>
    </row>
    <row r="181" spans="4:45" x14ac:dyDescent="0.25">
      <c r="D181">
        <v>23000</v>
      </c>
      <c r="AB181">
        <v>0.92008703947067261</v>
      </c>
      <c r="AC181">
        <v>0.84501045942306519</v>
      </c>
      <c r="AD181">
        <v>0.77876168489456177</v>
      </c>
      <c r="AE181">
        <v>0.72000890970230103</v>
      </c>
      <c r="AF181">
        <v>0.66766262054443359</v>
      </c>
      <c r="AG181">
        <v>0.62082403898239136</v>
      </c>
      <c r="AH181">
        <v>0.57874679565429688</v>
      </c>
      <c r="AI181">
        <v>0.54080671072006226</v>
      </c>
      <c r="AJ181">
        <v>0.50647872686386108</v>
      </c>
      <c r="AK181">
        <v>0.47531840205192566</v>
      </c>
      <c r="AL181">
        <v>0.44694769382476807</v>
      </c>
      <c r="AM181">
        <v>0.4210432767868042</v>
      </c>
      <c r="AN181">
        <v>0.39732736349105835</v>
      </c>
      <c r="AO181">
        <v>0.37556019425392151</v>
      </c>
      <c r="AP181">
        <v>0.35553398728370667</v>
      </c>
      <c r="AQ181">
        <v>0.33706790208816528</v>
      </c>
      <c r="AR181">
        <v>0.32000398635864258</v>
      </c>
      <c r="AS181">
        <v>0.30420377850532532</v>
      </c>
    </row>
    <row r="182" spans="4:45" x14ac:dyDescent="0.25">
      <c r="D182">
        <v>24000</v>
      </c>
      <c r="AB182">
        <v>0.96050918102264404</v>
      </c>
      <c r="AC182">
        <v>0.88213431835174561</v>
      </c>
      <c r="AD182">
        <v>0.81297498941421509</v>
      </c>
      <c r="AE182">
        <v>0.75164109468460083</v>
      </c>
      <c r="AF182">
        <v>0.69699501991271973</v>
      </c>
      <c r="AG182">
        <v>0.6480986475944519</v>
      </c>
      <c r="AH182">
        <v>0.60417282581329346</v>
      </c>
      <c r="AI182">
        <v>0.56456595659255981</v>
      </c>
      <c r="AJ182">
        <v>0.52872985601425171</v>
      </c>
      <c r="AK182">
        <v>0.49620053172111511</v>
      </c>
      <c r="AL182">
        <v>0.46658343076705933</v>
      </c>
      <c r="AM182">
        <v>0.43954098224639893</v>
      </c>
      <c r="AN182">
        <v>0.41478312015533447</v>
      </c>
      <c r="AO182">
        <v>0.39205968379974365</v>
      </c>
      <c r="AP182">
        <v>0.37115365266799927</v>
      </c>
      <c r="AQ182">
        <v>0.35187628865242004</v>
      </c>
      <c r="AR182">
        <v>0.33406269550323486</v>
      </c>
      <c r="AS182">
        <v>0.31756836175918579</v>
      </c>
    </row>
    <row r="183" spans="4:45" x14ac:dyDescent="0.25">
      <c r="D183">
        <v>25000</v>
      </c>
      <c r="AC183">
        <v>0.92121195793151855</v>
      </c>
      <c r="AD183">
        <v>0.84898889064788818</v>
      </c>
      <c r="AE183">
        <v>0.78493791818618774</v>
      </c>
      <c r="AF183">
        <v>0.7278711199760437</v>
      </c>
      <c r="AG183">
        <v>0.67680877447128296</v>
      </c>
      <c r="AH183">
        <v>0.63093703985214233</v>
      </c>
      <c r="AI183">
        <v>0.58957558870315552</v>
      </c>
      <c r="AJ183">
        <v>0.55215197801589966</v>
      </c>
      <c r="AK183">
        <v>0.51818174123764038</v>
      </c>
      <c r="AL183">
        <v>0.48725259304046631</v>
      </c>
      <c r="AM183">
        <v>0.45901215076446533</v>
      </c>
      <c r="AN183">
        <v>0.43315759301185608</v>
      </c>
      <c r="AO183">
        <v>0.40942752361297607</v>
      </c>
      <c r="AP183">
        <v>0.38759538531303406</v>
      </c>
      <c r="AQ183">
        <v>0.36746403574943542</v>
      </c>
      <c r="AR183">
        <v>0.34886130690574646</v>
      </c>
      <c r="AS183">
        <v>0.33163630962371826</v>
      </c>
    </row>
    <row r="184" spans="4:45" x14ac:dyDescent="0.25">
      <c r="D184">
        <v>26000</v>
      </c>
      <c r="AC184">
        <v>0.96236336231231689</v>
      </c>
      <c r="AD184">
        <v>0.88691413402557373</v>
      </c>
      <c r="AE184">
        <v>0.82000195980072021</v>
      </c>
      <c r="AF184">
        <v>0.76038587093353271</v>
      </c>
      <c r="AG184">
        <v>0.70704251527786255</v>
      </c>
      <c r="AH184">
        <v>0.65912169218063354</v>
      </c>
      <c r="AI184">
        <v>0.61591255664825439</v>
      </c>
      <c r="AJ184">
        <v>0.57681715488433838</v>
      </c>
      <c r="AK184">
        <v>0.54132944345474243</v>
      </c>
      <c r="AL184">
        <v>0.5090186595916748</v>
      </c>
      <c r="AM184">
        <v>0.47951671481132507</v>
      </c>
      <c r="AN184">
        <v>0.45250722765922546</v>
      </c>
      <c r="AO184">
        <v>0.42771705985069275</v>
      </c>
      <c r="AP184">
        <v>0.40490967035293579</v>
      </c>
      <c r="AQ184">
        <v>0.38387903571128845</v>
      </c>
      <c r="AR184">
        <v>0.36444532871246338</v>
      </c>
      <c r="AS184">
        <v>0.34645083546638489</v>
      </c>
    </row>
    <row r="185" spans="4:45" x14ac:dyDescent="0.25">
      <c r="D185">
        <v>27000</v>
      </c>
      <c r="AD185">
        <v>0.92686909437179565</v>
      </c>
      <c r="AE185">
        <v>0.85694259405136108</v>
      </c>
      <c r="AF185">
        <v>0.79464083909988403</v>
      </c>
      <c r="AG185">
        <v>0.73889440298080444</v>
      </c>
      <c r="AH185">
        <v>0.68881469964981079</v>
      </c>
      <c r="AI185">
        <v>0.64365911483764648</v>
      </c>
      <c r="AJ185">
        <v>0.60280251502990723</v>
      </c>
      <c r="AK185">
        <v>0.56571602821350098</v>
      </c>
      <c r="AL185">
        <v>0.53194969892501831</v>
      </c>
      <c r="AM185">
        <v>0.50111871957778931</v>
      </c>
      <c r="AN185">
        <v>0.4728924036026001</v>
      </c>
      <c r="AO185">
        <v>0.44698551297187805</v>
      </c>
      <c r="AP185">
        <v>0.42315062880516052</v>
      </c>
      <c r="AQ185">
        <v>0.40117257833480835</v>
      </c>
      <c r="AR185">
        <v>0.38086336851119995</v>
      </c>
      <c r="AS185">
        <v>0.36205822229385376</v>
      </c>
    </row>
    <row r="186" spans="4:45" x14ac:dyDescent="0.25">
      <c r="D186">
        <v>28000</v>
      </c>
      <c r="AD186">
        <v>0.96898084878921509</v>
      </c>
      <c r="AE186">
        <v>0.89587730169296265</v>
      </c>
      <c r="AF186">
        <v>0.83074492216110229</v>
      </c>
      <c r="AG186">
        <v>0.77246558666229248</v>
      </c>
      <c r="AH186">
        <v>0.72011059522628784</v>
      </c>
      <c r="AI186">
        <v>0.67290335893630981</v>
      </c>
      <c r="AJ186">
        <v>0.63019043207168579</v>
      </c>
      <c r="AK186">
        <v>0.59141898155212402</v>
      </c>
      <c r="AL186">
        <v>0.55611848831176758</v>
      </c>
      <c r="AM186">
        <v>0.52388674020767212</v>
      </c>
      <c r="AN186">
        <v>0.49437800049781799</v>
      </c>
      <c r="AO186">
        <v>0.46729400753974915</v>
      </c>
      <c r="AP186">
        <v>0.44237622618675232</v>
      </c>
      <c r="AQ186">
        <v>0.41939958930015564</v>
      </c>
      <c r="AR186">
        <v>0.39816766977310181</v>
      </c>
      <c r="AS186">
        <v>0.37850815057754517</v>
      </c>
    </row>
    <row r="187" spans="4:45" x14ac:dyDescent="0.25">
      <c r="D187">
        <v>29000</v>
      </c>
      <c r="AE187">
        <v>0.93693172931671143</v>
      </c>
      <c r="AF187">
        <v>0.86881464719772339</v>
      </c>
      <c r="AG187">
        <v>0.80786460638046265</v>
      </c>
      <c r="AH187">
        <v>0.75311040878295898</v>
      </c>
      <c r="AI187">
        <v>0.70373982191085815</v>
      </c>
      <c r="AJ187">
        <v>0.65906959772109985</v>
      </c>
      <c r="AK187">
        <v>0.61852133274078369</v>
      </c>
      <c r="AL187">
        <v>0.58160316944122314</v>
      </c>
      <c r="AM187">
        <v>0.54789435863494873</v>
      </c>
      <c r="AN187">
        <v>0.51703333854675293</v>
      </c>
      <c r="AO187">
        <v>0.48870819807052612</v>
      </c>
      <c r="AP187">
        <v>0.46264854073524475</v>
      </c>
      <c r="AQ187">
        <v>0.43861904740333557</v>
      </c>
      <c r="AR187">
        <v>0.41641408205032349</v>
      </c>
      <c r="AS187">
        <v>0.3958536684513092</v>
      </c>
    </row>
    <row r="188" spans="4:45" x14ac:dyDescent="0.25">
      <c r="D188">
        <v>30000</v>
      </c>
      <c r="AF188">
        <v>0.90897512435913086</v>
      </c>
      <c r="AG188">
        <v>0.84520775079727173</v>
      </c>
      <c r="AH188">
        <v>0.78792256116867065</v>
      </c>
      <c r="AI188">
        <v>0.73626989126205444</v>
      </c>
      <c r="AJ188">
        <v>0.68953472375869751</v>
      </c>
      <c r="AK188">
        <v>0.64711219072341919</v>
      </c>
      <c r="AL188">
        <v>0.60848748683929443</v>
      </c>
      <c r="AM188">
        <v>0.57322049140930176</v>
      </c>
      <c r="AN188">
        <v>0.54093295335769653</v>
      </c>
      <c r="AO188">
        <v>0.5112985372543335</v>
      </c>
      <c r="AP188">
        <v>0.48403424024581909</v>
      </c>
      <c r="AQ188">
        <v>0.45889398455619812</v>
      </c>
      <c r="AR188">
        <v>0.43566262722015381</v>
      </c>
      <c r="AS188">
        <v>0.41415181756019592</v>
      </c>
    </row>
    <row r="189" spans="4:45" x14ac:dyDescent="0.25">
      <c r="D189">
        <v>31000</v>
      </c>
      <c r="AF189">
        <v>0.95136064291000366</v>
      </c>
      <c r="AG189">
        <v>0.88461977243423462</v>
      </c>
      <c r="AH189">
        <v>0.82466340065002441</v>
      </c>
      <c r="AI189">
        <v>0.77060216665267944</v>
      </c>
      <c r="AJ189">
        <v>0.72168773412704468</v>
      </c>
      <c r="AK189">
        <v>0.67728698253631592</v>
      </c>
      <c r="AL189">
        <v>0.63686126470565796</v>
      </c>
      <c r="AM189">
        <v>0.59994971752166748</v>
      </c>
      <c r="AN189">
        <v>0.56615662574768066</v>
      </c>
      <c r="AO189">
        <v>0.53514033555984497</v>
      </c>
      <c r="AP189">
        <v>0.50660473108291626</v>
      </c>
      <c r="AQ189">
        <v>0.48029217123985291</v>
      </c>
      <c r="AR189">
        <v>0.45597758889198303</v>
      </c>
      <c r="AS189">
        <v>0.4334636926651001</v>
      </c>
    </row>
    <row r="190" spans="4:45" x14ac:dyDescent="0.25">
      <c r="D190">
        <v>32000</v>
      </c>
      <c r="AG190">
        <v>0.9262346625328064</v>
      </c>
      <c r="AH190">
        <v>0.86345767974853516</v>
      </c>
      <c r="AI190">
        <v>0.80685323476791382</v>
      </c>
      <c r="AJ190">
        <v>0.75563782453536987</v>
      </c>
      <c r="AK190">
        <v>0.70914840698242188</v>
      </c>
      <c r="AL190">
        <v>0.6668209433555603</v>
      </c>
      <c r="AM190">
        <v>0.62817299365997314</v>
      </c>
      <c r="AN190">
        <v>0.59279012680053711</v>
      </c>
      <c r="AO190">
        <v>0.56031477451324463</v>
      </c>
      <c r="AP190">
        <v>0.53043681383132935</v>
      </c>
      <c r="AQ190">
        <v>0.50288641452789307</v>
      </c>
      <c r="AR190">
        <v>0.47742795944213867</v>
      </c>
      <c r="AS190">
        <v>0.45385497808456421</v>
      </c>
    </row>
    <row r="191" spans="4:45" x14ac:dyDescent="0.25">
      <c r="D191">
        <v>33000</v>
      </c>
      <c r="AH191">
        <v>0.90443980693817139</v>
      </c>
      <c r="AI191">
        <v>0.84514880180358887</v>
      </c>
      <c r="AJ191">
        <v>0.79150247573852539</v>
      </c>
      <c r="AK191">
        <v>0.74280655384063721</v>
      </c>
      <c r="AL191">
        <v>0.69847005605697632</v>
      </c>
      <c r="AM191">
        <v>0.65798777341842651</v>
      </c>
      <c r="AN191">
        <v>0.62092560529708862</v>
      </c>
      <c r="AO191">
        <v>0.58690887689590454</v>
      </c>
      <c r="AP191">
        <v>0.55561280250549316</v>
      </c>
      <c r="AQ191">
        <v>0.52675473690032959</v>
      </c>
      <c r="AR191">
        <v>0.50008797645568848</v>
      </c>
      <c r="AS191">
        <v>0.47539615631103516</v>
      </c>
    </row>
    <row r="192" spans="4:45" x14ac:dyDescent="0.25">
      <c r="D192">
        <v>34000</v>
      </c>
      <c r="AI192">
        <v>0.88562333583831787</v>
      </c>
      <c r="AJ192">
        <v>0.82940793037414551</v>
      </c>
      <c r="AK192">
        <v>0.77837991714477539</v>
      </c>
      <c r="AL192">
        <v>0.73192018270492554</v>
      </c>
      <c r="AM192">
        <v>0.68949919939041138</v>
      </c>
      <c r="AN192">
        <v>0.6506621241569519</v>
      </c>
      <c r="AO192">
        <v>0.61501622200012207</v>
      </c>
      <c r="AP192">
        <v>0.58222132921218872</v>
      </c>
      <c r="AQ192">
        <v>0.55198132991790771</v>
      </c>
      <c r="AR192">
        <v>0.52403748035430908</v>
      </c>
      <c r="AS192">
        <v>0.49816316366195679</v>
      </c>
    </row>
    <row r="193" spans="4:45" x14ac:dyDescent="0.25">
      <c r="D193">
        <v>35000</v>
      </c>
      <c r="AJ193">
        <v>0.86948990821838379</v>
      </c>
      <c r="AK193">
        <v>0.81599599123001099</v>
      </c>
      <c r="AL193">
        <v>0.76729094982147217</v>
      </c>
      <c r="AM193">
        <v>0.72281992435455322</v>
      </c>
      <c r="AN193">
        <v>0.68210601806640625</v>
      </c>
      <c r="AO193">
        <v>0.64473754167556763</v>
      </c>
      <c r="AP193">
        <v>0.61035782098770142</v>
      </c>
      <c r="AQ193">
        <v>0.57865643501281738</v>
      </c>
      <c r="AR193">
        <v>0.5493621826171875</v>
      </c>
      <c r="AS193">
        <v>0.52223742008209229</v>
      </c>
    </row>
    <row r="194" spans="4:45" x14ac:dyDescent="0.25">
      <c r="D194">
        <v>36000</v>
      </c>
      <c r="AL194">
        <v>0.80471140146255493</v>
      </c>
      <c r="AM194">
        <v>0.75807160139083862</v>
      </c>
      <c r="AN194">
        <v>0.71537202596664429</v>
      </c>
      <c r="AO194">
        <v>0.6761811375617981</v>
      </c>
      <c r="AP194">
        <v>0.64012467861175537</v>
      </c>
      <c r="AQ194">
        <v>0.60687720775604248</v>
      </c>
      <c r="AR194">
        <v>0.57615435123443604</v>
      </c>
      <c r="AS194">
        <v>0.5477067232131958</v>
      </c>
    </row>
    <row r="195" spans="4:45" x14ac:dyDescent="0.25">
      <c r="D195">
        <v>37000</v>
      </c>
      <c r="AN195">
        <v>0.75046896934509277</v>
      </c>
      <c r="AO195">
        <v>0.70935529470443726</v>
      </c>
      <c r="AP195">
        <v>0.67152994871139526</v>
      </c>
      <c r="AQ195">
        <v>0.63665133714675903</v>
      </c>
      <c r="AR195">
        <v>0.60442113876342773</v>
      </c>
    </row>
    <row r="196" spans="4:45" x14ac:dyDescent="0.25">
      <c r="D196">
        <v>38000</v>
      </c>
    </row>
    <row r="197" spans="4:45" x14ac:dyDescent="0.25">
      <c r="D197">
        <v>39000</v>
      </c>
    </row>
    <row r="198" spans="4:45" x14ac:dyDescent="0.25">
      <c r="D198">
        <v>40000</v>
      </c>
    </row>
    <row r="199" spans="4:45" x14ac:dyDescent="0.25">
      <c r="D199">
        <v>41000</v>
      </c>
    </row>
    <row r="200" spans="4:45" x14ac:dyDescent="0.25">
      <c r="D200">
        <v>42000</v>
      </c>
    </row>
    <row r="201" spans="4:45" x14ac:dyDescent="0.25">
      <c r="D201">
        <v>43000</v>
      </c>
    </row>
    <row r="202" spans="4:45" x14ac:dyDescent="0.25">
      <c r="D202">
        <v>44000</v>
      </c>
    </row>
    <row r="203" spans="4:45" x14ac:dyDescent="0.25">
      <c r="D203">
        <v>45000</v>
      </c>
    </row>
    <row r="204" spans="4:45" x14ac:dyDescent="0.25">
      <c r="D204">
        <v>46000</v>
      </c>
    </row>
    <row r="205" spans="4:45" x14ac:dyDescent="0.25">
      <c r="D205">
        <v>47000</v>
      </c>
    </row>
    <row r="206" spans="4:45" x14ac:dyDescent="0.25">
      <c r="D206">
        <v>48000</v>
      </c>
    </row>
    <row r="207" spans="4:45" x14ac:dyDescent="0.25">
      <c r="D207">
        <v>49000</v>
      </c>
    </row>
    <row r="208" spans="4:45" x14ac:dyDescent="0.25">
      <c r="D208">
        <v>50000</v>
      </c>
    </row>
    <row r="209" spans="3:55" x14ac:dyDescent="0.25">
      <c r="C209" t="s">
        <v>137</v>
      </c>
      <c r="D209" t="s">
        <v>133</v>
      </c>
      <c r="E209">
        <v>0</v>
      </c>
      <c r="F209">
        <v>0.02</v>
      </c>
      <c r="G209">
        <v>0.04</v>
      </c>
      <c r="H209">
        <v>0.06</v>
      </c>
      <c r="I209">
        <v>0.08</v>
      </c>
      <c r="J209">
        <v>0.1</v>
      </c>
      <c r="K209">
        <v>0.12</v>
      </c>
      <c r="L209">
        <v>0.14000000000000001</v>
      </c>
      <c r="M209">
        <v>0.16</v>
      </c>
      <c r="N209">
        <v>0.18</v>
      </c>
      <c r="O209">
        <v>0.2</v>
      </c>
      <c r="P209">
        <v>0.22</v>
      </c>
      <c r="Q209">
        <v>0.24</v>
      </c>
      <c r="R209">
        <v>0.26</v>
      </c>
      <c r="S209">
        <v>0.28000000000000003</v>
      </c>
      <c r="T209">
        <v>0.3</v>
      </c>
      <c r="U209">
        <v>0.32</v>
      </c>
      <c r="V209">
        <v>0.34</v>
      </c>
      <c r="W209">
        <v>0.36</v>
      </c>
      <c r="X209">
        <v>0.38</v>
      </c>
      <c r="Y209">
        <v>0.4</v>
      </c>
      <c r="Z209">
        <v>0.42</v>
      </c>
      <c r="AA209">
        <v>0.44</v>
      </c>
      <c r="AB209">
        <v>0.46</v>
      </c>
      <c r="AC209">
        <v>0.48</v>
      </c>
      <c r="AD209">
        <v>0.5</v>
      </c>
      <c r="AE209">
        <v>0.52</v>
      </c>
      <c r="AF209">
        <v>0.54</v>
      </c>
      <c r="AG209">
        <v>0.56000000000000005</v>
      </c>
      <c r="AH209">
        <v>0.57999999999999996</v>
      </c>
      <c r="AI209">
        <v>0.6</v>
      </c>
      <c r="AJ209">
        <v>0.62</v>
      </c>
      <c r="AK209">
        <v>0.64</v>
      </c>
      <c r="AL209">
        <v>0.66</v>
      </c>
      <c r="AM209">
        <v>0.68</v>
      </c>
      <c r="AN209">
        <v>0.7</v>
      </c>
      <c r="AO209">
        <v>0.72</v>
      </c>
      <c r="AP209">
        <v>0.74</v>
      </c>
      <c r="AQ209">
        <v>0.76</v>
      </c>
      <c r="AR209">
        <v>0.78</v>
      </c>
      <c r="AS209">
        <v>0.8</v>
      </c>
      <c r="AT209">
        <v>0.82</v>
      </c>
      <c r="AU209">
        <v>0.84</v>
      </c>
      <c r="AV209">
        <v>0.86</v>
      </c>
      <c r="AW209">
        <v>0.88</v>
      </c>
      <c r="AX209">
        <v>0.9</v>
      </c>
      <c r="AY209">
        <v>0.92</v>
      </c>
      <c r="AZ209">
        <v>0.94</v>
      </c>
      <c r="BA209">
        <v>0.96</v>
      </c>
      <c r="BB209">
        <v>0.98</v>
      </c>
      <c r="BC209">
        <v>1</v>
      </c>
    </row>
    <row r="210" spans="3:55" x14ac:dyDescent="0.25">
      <c r="D210">
        <v>0</v>
      </c>
      <c r="R210">
        <v>0.34916916489601135</v>
      </c>
      <c r="S210">
        <v>0.14642694592475891</v>
      </c>
      <c r="T210">
        <v>6.5867632627487183E-2</v>
      </c>
      <c r="U210">
        <v>4.8189159482717514E-2</v>
      </c>
      <c r="V210">
        <v>4.0582861751317978E-2</v>
      </c>
      <c r="W210">
        <v>3.5477086901664734E-2</v>
      </c>
      <c r="X210">
        <v>3.1795702874660492E-2</v>
      </c>
      <c r="Y210">
        <v>2.8809618204832077E-2</v>
      </c>
      <c r="Z210">
        <v>2.7063712477684021E-2</v>
      </c>
      <c r="AA210">
        <v>2.5438904762268066E-2</v>
      </c>
      <c r="AB210">
        <v>2.3958820849657059E-2</v>
      </c>
      <c r="AC210">
        <v>2.3052912205457687E-2</v>
      </c>
      <c r="AD210">
        <v>2.2164363414049149E-2</v>
      </c>
      <c r="AE210">
        <v>2.1625827997922897E-2</v>
      </c>
      <c r="AF210">
        <v>2.0968195050954819E-2</v>
      </c>
      <c r="AG210">
        <v>2.0706972107291222E-2</v>
      </c>
      <c r="AH210">
        <v>2.0312696695327759E-2</v>
      </c>
      <c r="AI210">
        <v>2.0037304610013962E-2</v>
      </c>
      <c r="AJ210">
        <v>1.9954407587647438E-2</v>
      </c>
      <c r="AK210">
        <v>2.001478336751461E-2</v>
      </c>
    </row>
    <row r="211" spans="3:55" x14ac:dyDescent="0.25">
      <c r="D211">
        <v>1000</v>
      </c>
      <c r="S211">
        <v>0.18318821489810944</v>
      </c>
      <c r="T211">
        <v>7.9332329332828522E-2</v>
      </c>
      <c r="U211">
        <v>5.2396930754184723E-2</v>
      </c>
      <c r="V211">
        <v>4.3016843497753143E-2</v>
      </c>
      <c r="W211">
        <v>3.6745492368936539E-2</v>
      </c>
      <c r="X211">
        <v>3.257409855723381E-2</v>
      </c>
      <c r="Y211">
        <v>2.9497429728507996E-2</v>
      </c>
      <c r="Z211">
        <v>2.7450496330857277E-2</v>
      </c>
      <c r="AA211">
        <v>2.579747699201107E-2</v>
      </c>
      <c r="AB211">
        <v>2.4566762149333954E-2</v>
      </c>
      <c r="AC211">
        <v>2.3544600233435631E-2</v>
      </c>
      <c r="AD211">
        <v>2.2474277764558792E-2</v>
      </c>
      <c r="AE211">
        <v>2.2017082199454308E-2</v>
      </c>
      <c r="AF211">
        <v>2.1243894472718239E-2</v>
      </c>
      <c r="AG211">
        <v>2.080906555056572E-2</v>
      </c>
      <c r="AH211">
        <v>2.0525800064206123E-2</v>
      </c>
      <c r="AI211">
        <v>2.0177070051431656E-2</v>
      </c>
      <c r="AJ211">
        <v>2.0036971196532249E-2</v>
      </c>
      <c r="AK211">
        <v>2.0113581791520119E-2</v>
      </c>
      <c r="AL211">
        <v>2.0090792328119278E-2</v>
      </c>
    </row>
    <row r="212" spans="3:55" x14ac:dyDescent="0.25">
      <c r="D212">
        <v>2000</v>
      </c>
      <c r="S212">
        <v>0.22804896533489227</v>
      </c>
      <c r="T212">
        <v>9.8394826054573059E-2</v>
      </c>
      <c r="U212">
        <v>5.456157773733139E-2</v>
      </c>
      <c r="V212">
        <v>4.4938880950212479E-2</v>
      </c>
      <c r="W212">
        <v>3.8929156959056854E-2</v>
      </c>
      <c r="X212">
        <v>3.3991672098636627E-2</v>
      </c>
      <c r="Y212">
        <v>3.0397793278098106E-2</v>
      </c>
      <c r="Z212">
        <v>2.8086582198739052E-2</v>
      </c>
      <c r="AA212">
        <v>2.6497909799218178E-2</v>
      </c>
      <c r="AB212">
        <v>2.5356488302350044E-2</v>
      </c>
      <c r="AC212">
        <v>2.3805733770132065E-2</v>
      </c>
      <c r="AD212">
        <v>2.2946186363697052E-2</v>
      </c>
      <c r="AE212">
        <v>2.2163320332765579E-2</v>
      </c>
      <c r="AF212">
        <v>2.1623143926262856E-2</v>
      </c>
      <c r="AG212">
        <v>2.0994357764720917E-2</v>
      </c>
      <c r="AH212">
        <v>2.0734012126922607E-2</v>
      </c>
      <c r="AI212">
        <v>2.0354317501187325E-2</v>
      </c>
      <c r="AJ212">
        <v>2.0150376483798027E-2</v>
      </c>
      <c r="AK212">
        <v>2.0058022812008858E-2</v>
      </c>
      <c r="AL212">
        <v>2.0187513902783394E-2</v>
      </c>
    </row>
    <row r="213" spans="3:55" x14ac:dyDescent="0.25">
      <c r="D213">
        <v>3000</v>
      </c>
      <c r="S213">
        <v>0.28196889162063599</v>
      </c>
      <c r="T213">
        <v>0.12376274913549423</v>
      </c>
      <c r="U213">
        <v>6.0710456222295761E-2</v>
      </c>
      <c r="V213">
        <v>4.7568138688802719E-2</v>
      </c>
      <c r="W213">
        <v>4.0267746895551682E-2</v>
      </c>
      <c r="X213">
        <v>3.5493791103363037E-2</v>
      </c>
      <c r="Y213">
        <v>3.2168775796890259E-2</v>
      </c>
      <c r="Z213">
        <v>2.923080138862133E-2</v>
      </c>
      <c r="AA213">
        <v>2.7279531583189964E-2</v>
      </c>
      <c r="AB213">
        <v>2.5580970570445061E-2</v>
      </c>
      <c r="AC213">
        <v>2.4329002946615219E-2</v>
      </c>
      <c r="AD213">
        <v>2.349851094186306E-2</v>
      </c>
      <c r="AE213">
        <v>2.2454174235463142E-2</v>
      </c>
      <c r="AF213">
        <v>2.2041622549295425E-2</v>
      </c>
      <c r="AG213">
        <v>2.1273918449878693E-2</v>
      </c>
      <c r="AH213">
        <v>2.0842993631958961E-2</v>
      </c>
      <c r="AI213">
        <v>2.0573791116476059E-2</v>
      </c>
      <c r="AJ213">
        <v>2.02986691147089E-2</v>
      </c>
      <c r="AK213">
        <v>2.0148796960711479E-2</v>
      </c>
      <c r="AL213">
        <v>2.0094968378543854E-2</v>
      </c>
      <c r="AM213">
        <v>2.0265752449631691E-2</v>
      </c>
    </row>
    <row r="214" spans="3:55" x14ac:dyDescent="0.25">
      <c r="D214">
        <v>4000</v>
      </c>
      <c r="S214">
        <v>0.34601375460624695</v>
      </c>
      <c r="T214">
        <v>0.15622340142726898</v>
      </c>
      <c r="U214">
        <v>7.1735545992851257E-2</v>
      </c>
      <c r="V214">
        <v>5.073857307434082E-2</v>
      </c>
      <c r="W214">
        <v>4.2954068630933762E-2</v>
      </c>
      <c r="X214">
        <v>3.6858569830656052E-2</v>
      </c>
      <c r="Y214">
        <v>3.2740645110607147E-2</v>
      </c>
      <c r="Z214">
        <v>2.970845066010952E-2</v>
      </c>
      <c r="AA214">
        <v>2.767457626760006E-2</v>
      </c>
      <c r="AB214">
        <v>2.6140365749597549E-2</v>
      </c>
      <c r="AC214">
        <v>2.5149337947368622E-2</v>
      </c>
      <c r="AD214">
        <v>2.3696916177868843E-2</v>
      </c>
      <c r="AE214">
        <v>2.2908983752131462E-2</v>
      </c>
      <c r="AF214">
        <v>2.218187041580677E-2</v>
      </c>
      <c r="AG214">
        <v>2.1660082042217255E-2</v>
      </c>
      <c r="AH214">
        <v>2.1038316190242767E-2</v>
      </c>
      <c r="AI214">
        <v>2.0755857229232788E-2</v>
      </c>
      <c r="AJ214">
        <v>2.0486366003751755E-2</v>
      </c>
      <c r="AK214">
        <v>2.0272225141525269E-2</v>
      </c>
      <c r="AL214">
        <v>2.0166242495179176E-2</v>
      </c>
      <c r="AM214">
        <v>2.036445215344429E-2</v>
      </c>
    </row>
    <row r="215" spans="3:55" x14ac:dyDescent="0.25">
      <c r="D215">
        <v>5000</v>
      </c>
      <c r="T215">
        <v>0.19665366411209106</v>
      </c>
      <c r="U215">
        <v>8.8276565074920654E-2</v>
      </c>
      <c r="V215">
        <v>5.3637802600860596E-2</v>
      </c>
      <c r="W215">
        <v>4.4649161398410797E-2</v>
      </c>
      <c r="X215">
        <v>3.8933519273996353E-2</v>
      </c>
      <c r="Y215">
        <v>3.4435663372278214E-2</v>
      </c>
      <c r="Z215">
        <v>3.0927360057830811E-2</v>
      </c>
      <c r="AA215">
        <v>2.8558200225234032E-2</v>
      </c>
      <c r="AB215">
        <v>2.7073973789811134E-2</v>
      </c>
      <c r="AC215">
        <v>2.5444027036428452E-2</v>
      </c>
      <c r="AD215">
        <v>2.4142913520336151E-2</v>
      </c>
      <c r="AE215">
        <v>2.3500174283981323E-2</v>
      </c>
      <c r="AF215">
        <v>2.2466016933321953E-2</v>
      </c>
      <c r="AG215">
        <v>2.2062601521611214E-2</v>
      </c>
      <c r="AH215">
        <v>2.1323606371879578E-2</v>
      </c>
      <c r="AI215">
        <v>2.0877618342638016E-2</v>
      </c>
      <c r="AJ215">
        <v>2.0716497674584389E-2</v>
      </c>
      <c r="AK215">
        <v>2.0428629592061043E-2</v>
      </c>
      <c r="AL215">
        <v>2.0262241363525391E-2</v>
      </c>
      <c r="AM215">
        <v>2.018994465470314E-2</v>
      </c>
      <c r="AN215">
        <v>2.0154157653450966E-2</v>
      </c>
    </row>
    <row r="216" spans="3:55" x14ac:dyDescent="0.25">
      <c r="D216">
        <v>6000</v>
      </c>
      <c r="T216">
        <v>0.24603185057640076</v>
      </c>
      <c r="U216">
        <v>0.11106835305690765</v>
      </c>
      <c r="V216">
        <v>5.8700215071439743E-2</v>
      </c>
      <c r="W216">
        <v>4.7445844858884811E-2</v>
      </c>
      <c r="X216">
        <v>4.0478736162185669E-2</v>
      </c>
      <c r="Y216">
        <v>3.5647757351398468E-2</v>
      </c>
      <c r="Z216">
        <v>3.2258175313472748E-2</v>
      </c>
      <c r="AA216">
        <v>2.9402401298284531E-2</v>
      </c>
      <c r="AB216">
        <v>2.7444388717412949E-2</v>
      </c>
      <c r="AC216">
        <v>2.5915885344147682E-2</v>
      </c>
      <c r="AD216">
        <v>2.4874148890376091E-2</v>
      </c>
      <c r="AE216">
        <v>2.3680202662944794E-2</v>
      </c>
      <c r="AF216">
        <v>2.2926162928342819E-2</v>
      </c>
      <c r="AG216">
        <v>2.2214991971850395E-2</v>
      </c>
      <c r="AH216">
        <v>2.1731847897171974E-2</v>
      </c>
      <c r="AI216">
        <v>2.1091949194669724E-2</v>
      </c>
      <c r="AJ216">
        <v>2.0863847807049751E-2</v>
      </c>
      <c r="AK216">
        <v>2.063283696770668E-2</v>
      </c>
      <c r="AL216">
        <v>2.0401131361722946E-2</v>
      </c>
      <c r="AM216">
        <v>2.0275428891181946E-2</v>
      </c>
      <c r="AN216">
        <v>2.0230164751410484E-2</v>
      </c>
    </row>
    <row r="217" spans="3:55" x14ac:dyDescent="0.25">
      <c r="D217">
        <v>7000</v>
      </c>
      <c r="U217">
        <v>0.14090718328952789</v>
      </c>
      <c r="V217">
        <v>6.8704962730407715E-2</v>
      </c>
      <c r="W217">
        <v>5.0477258861064911E-2</v>
      </c>
      <c r="X217">
        <v>4.2997147887945175E-2</v>
      </c>
      <c r="Y217">
        <v>3.744097426533699E-2</v>
      </c>
      <c r="Z217">
        <v>3.3278066664934158E-2</v>
      </c>
      <c r="AA217">
        <v>3.0227687209844589E-2</v>
      </c>
      <c r="AB217">
        <v>2.8158560395240784E-2</v>
      </c>
      <c r="AC217">
        <v>2.6766801252961159E-2</v>
      </c>
      <c r="AD217">
        <v>2.5364575907588005E-2</v>
      </c>
      <c r="AE217">
        <v>2.4112043902277946E-2</v>
      </c>
      <c r="AF217">
        <v>2.3512143641710281E-2</v>
      </c>
      <c r="AG217">
        <v>2.2520476952195168E-2</v>
      </c>
      <c r="AH217">
        <v>2.2099507972598076E-2</v>
      </c>
      <c r="AI217">
        <v>2.1409176290035248E-2</v>
      </c>
      <c r="AJ217">
        <v>2.1010737866163254E-2</v>
      </c>
      <c r="AK217">
        <v>2.0884236320853233E-2</v>
      </c>
      <c r="AL217">
        <v>2.0579565316438675E-2</v>
      </c>
      <c r="AM217">
        <v>2.0394010469317436E-2</v>
      </c>
      <c r="AN217">
        <v>2.0297618582844734E-2</v>
      </c>
      <c r="AO217">
        <v>2.0640648901462555E-2</v>
      </c>
    </row>
    <row r="218" spans="3:55" x14ac:dyDescent="0.25">
      <c r="D218">
        <v>8000</v>
      </c>
      <c r="U218">
        <v>0.17869123816490173</v>
      </c>
      <c r="V218">
        <v>8.4325268864631653E-2</v>
      </c>
      <c r="W218">
        <v>5.3569134324789047E-2</v>
      </c>
      <c r="X218">
        <v>4.5088395476341248E-2</v>
      </c>
      <c r="Y218">
        <v>3.9145462214946747E-2</v>
      </c>
      <c r="Z218">
        <v>3.5308599472045898E-2</v>
      </c>
      <c r="AA218">
        <v>3.1974788755178452E-2</v>
      </c>
      <c r="AB218">
        <v>2.9295202344655991E-2</v>
      </c>
      <c r="AC218">
        <v>2.7324365451931953E-2</v>
      </c>
      <c r="AD218">
        <v>2.5781434029340744E-2</v>
      </c>
      <c r="AE218">
        <v>2.4830520153045654E-2</v>
      </c>
      <c r="AF218">
        <v>2.369479276239872E-2</v>
      </c>
      <c r="AG218">
        <v>2.3000145331025124E-2</v>
      </c>
      <c r="AH218">
        <v>2.2274380549788475E-2</v>
      </c>
      <c r="AI218">
        <v>2.1843085065484047E-2</v>
      </c>
      <c r="AJ218">
        <v>2.1253619343042374E-2</v>
      </c>
      <c r="AK218">
        <v>2.0985163748264313E-2</v>
      </c>
      <c r="AL218">
        <v>2.0802741870284081E-2</v>
      </c>
      <c r="AM218">
        <v>2.055019699037075E-2</v>
      </c>
      <c r="AN218">
        <v>2.0396629348397255E-2</v>
      </c>
      <c r="AO218">
        <v>2.0547512918710709E-2</v>
      </c>
    </row>
    <row r="219" spans="3:55" x14ac:dyDescent="0.25">
      <c r="D219">
        <v>9000</v>
      </c>
      <c r="V219">
        <v>0.10631449520587921</v>
      </c>
      <c r="W219">
        <v>5.867849662899971E-2</v>
      </c>
      <c r="X219">
        <v>4.7650668770074844E-2</v>
      </c>
      <c r="Y219">
        <v>4.1349876672029495E-2</v>
      </c>
      <c r="Z219">
        <v>3.6239106208086014E-2</v>
      </c>
      <c r="AA219">
        <v>3.2678782939910889E-2</v>
      </c>
      <c r="AB219">
        <v>2.9843632131814957E-2</v>
      </c>
      <c r="AC219">
        <v>2.7926210314035416E-2</v>
      </c>
      <c r="AD219">
        <v>2.6581546291708946E-2</v>
      </c>
      <c r="AE219">
        <v>2.5367176160216331E-2</v>
      </c>
      <c r="AF219">
        <v>2.4136865511536598E-2</v>
      </c>
      <c r="AG219">
        <v>2.352600172162056E-2</v>
      </c>
      <c r="AH219">
        <v>2.2609557956457138E-2</v>
      </c>
      <c r="AI219">
        <v>2.2127842530608177E-2</v>
      </c>
      <c r="AJ219">
        <v>2.160567045211792E-2</v>
      </c>
      <c r="AK219">
        <v>2.1164285019040108E-2</v>
      </c>
      <c r="AL219">
        <v>2.1000640466809273E-2</v>
      </c>
      <c r="AM219">
        <v>2.0749030634760857E-2</v>
      </c>
      <c r="AN219">
        <v>2.0531587302684784E-2</v>
      </c>
      <c r="AO219">
        <v>2.063131146132946E-2</v>
      </c>
      <c r="AP219">
        <v>2.0804505795240402E-2</v>
      </c>
    </row>
    <row r="220" spans="3:55" x14ac:dyDescent="0.25">
      <c r="D220">
        <v>10000</v>
      </c>
      <c r="V220">
        <v>0.13551129400730133</v>
      </c>
      <c r="W220">
        <v>6.8939641118049622E-2</v>
      </c>
      <c r="X220">
        <v>5.1403388381004333E-2</v>
      </c>
      <c r="Y220">
        <v>4.3344009667634964E-2</v>
      </c>
      <c r="Z220">
        <v>3.8819286972284317E-2</v>
      </c>
      <c r="AA220">
        <v>3.4401793032884598E-2</v>
      </c>
      <c r="AB220">
        <v>3.1293071806430817E-2</v>
      </c>
      <c r="AC220">
        <v>2.9065757989883423E-2</v>
      </c>
      <c r="AD220">
        <v>2.7236683294177055E-2</v>
      </c>
      <c r="AE220">
        <v>2.576882392168045E-2</v>
      </c>
      <c r="AF220">
        <v>2.4866761639714241E-2</v>
      </c>
      <c r="AG220">
        <v>2.3724190890789032E-2</v>
      </c>
      <c r="AH220">
        <v>2.311137318611145E-2</v>
      </c>
      <c r="AI220">
        <v>2.2324234247207642E-2</v>
      </c>
      <c r="AJ220">
        <v>2.2079648450016975E-2</v>
      </c>
      <c r="AK220">
        <v>2.1442137658596039E-2</v>
      </c>
      <c r="AL220">
        <v>2.1118910983204842E-2</v>
      </c>
      <c r="AM220">
        <v>2.0988157019019127E-2</v>
      </c>
      <c r="AN220">
        <v>2.0707409828901291E-2</v>
      </c>
      <c r="AO220">
        <v>2.0753649994730949E-2</v>
      </c>
      <c r="AP220">
        <v>2.0883137360215187E-2</v>
      </c>
    </row>
    <row r="221" spans="3:55" x14ac:dyDescent="0.25">
      <c r="D221">
        <v>11000</v>
      </c>
      <c r="V221">
        <v>0.17287297546863556</v>
      </c>
      <c r="W221">
        <v>8.5089355707168579E-2</v>
      </c>
      <c r="X221">
        <v>5.4201323539018631E-2</v>
      </c>
      <c r="Y221">
        <v>4.6353764832019806E-2</v>
      </c>
      <c r="Z221">
        <v>3.9921078830957413E-2</v>
      </c>
      <c r="AA221">
        <v>3.566114604473114E-2</v>
      </c>
      <c r="AB221">
        <v>3.237837553024292E-2</v>
      </c>
      <c r="AC221">
        <v>2.9630858451128006E-2</v>
      </c>
      <c r="AD221">
        <v>2.7787201106548309E-2</v>
      </c>
      <c r="AE221">
        <v>2.657121978700161E-2</v>
      </c>
      <c r="AF221">
        <v>2.5384746491909027E-2</v>
      </c>
      <c r="AG221">
        <v>2.4208934977650642E-2</v>
      </c>
      <c r="AH221">
        <v>2.3536192253232002E-2</v>
      </c>
      <c r="AI221">
        <v>2.2683274000883102E-2</v>
      </c>
      <c r="AJ221">
        <v>2.2261111065745354E-2</v>
      </c>
      <c r="AK221">
        <v>2.184692770242691E-2</v>
      </c>
      <c r="AL221">
        <v>2.1346401423215866E-2</v>
      </c>
      <c r="AM221">
        <v>2.1120792254805565E-2</v>
      </c>
      <c r="AN221">
        <v>2.0935600623488426E-2</v>
      </c>
      <c r="AO221">
        <v>2.0917339250445366E-2</v>
      </c>
      <c r="AP221">
        <v>2.0993122830986977E-2</v>
      </c>
    </row>
    <row r="222" spans="3:55" x14ac:dyDescent="0.25">
      <c r="D222">
        <v>12000</v>
      </c>
      <c r="W222">
        <v>0.10792185366153717</v>
      </c>
      <c r="X222">
        <v>6.0484629124403E-2</v>
      </c>
      <c r="Y222">
        <v>4.8540070652961731E-2</v>
      </c>
      <c r="Z222">
        <v>4.2861141264438629E-2</v>
      </c>
      <c r="AA222">
        <v>3.7603151053190231E-2</v>
      </c>
      <c r="AB222">
        <v>3.3773306757211685E-2</v>
      </c>
      <c r="AC222">
        <v>3.0933991074562073E-2</v>
      </c>
      <c r="AD222">
        <v>2.8900714591145515E-2</v>
      </c>
      <c r="AE222">
        <v>2.7270669117569923E-2</v>
      </c>
      <c r="AF222">
        <v>2.5822067633271217E-2</v>
      </c>
      <c r="AG222">
        <v>2.5002680718898773E-2</v>
      </c>
      <c r="AH222">
        <v>2.3803740739822388E-2</v>
      </c>
      <c r="AI222">
        <v>2.3220991715788841E-2</v>
      </c>
      <c r="AJ222">
        <v>2.2513244301080704E-2</v>
      </c>
      <c r="AK222">
        <v>2.2267419844865799E-2</v>
      </c>
      <c r="AL222">
        <v>2.1684860810637474E-2</v>
      </c>
      <c r="AM222">
        <v>2.1296283230185509E-2</v>
      </c>
      <c r="AN222">
        <v>2.1145978942513466E-2</v>
      </c>
      <c r="AO222">
        <v>2.1125782281160355E-2</v>
      </c>
      <c r="AP222">
        <v>2.1141195669770241E-2</v>
      </c>
      <c r="AQ222">
        <v>2.1632740274071693E-2</v>
      </c>
    </row>
    <row r="223" spans="3:55" x14ac:dyDescent="0.25">
      <c r="D223">
        <v>13000</v>
      </c>
      <c r="W223">
        <v>0.13834132254123688</v>
      </c>
      <c r="X223">
        <v>7.2299540042877197E-2</v>
      </c>
      <c r="Y223">
        <v>5.2752267569303513E-2</v>
      </c>
      <c r="Z223">
        <v>4.4537156820297241E-2</v>
      </c>
      <c r="AA223">
        <v>3.925883024930954E-2</v>
      </c>
      <c r="AB223">
        <v>3.5414282232522964E-2</v>
      </c>
      <c r="AC223">
        <v>3.2246079295873642E-2</v>
      </c>
      <c r="AD223">
        <v>2.953186072409153E-2</v>
      </c>
      <c r="AE223">
        <v>2.7827862650156021E-2</v>
      </c>
      <c r="AF223">
        <v>2.6667091995477676E-2</v>
      </c>
      <c r="AG223">
        <v>2.5433985516428947E-2</v>
      </c>
      <c r="AH223">
        <v>2.4356774985790253E-2</v>
      </c>
      <c r="AI223">
        <v>2.3577455431222916E-2</v>
      </c>
      <c r="AJ223">
        <v>2.293294295668602E-2</v>
      </c>
      <c r="AK223">
        <v>2.2427985444664955E-2</v>
      </c>
      <c r="AL223">
        <v>2.2149723023176193E-2</v>
      </c>
      <c r="AM223">
        <v>2.1577661857008934E-2</v>
      </c>
      <c r="AN223">
        <v>2.1274629980325699E-2</v>
      </c>
      <c r="AO223">
        <v>2.1385028958320618E-2</v>
      </c>
      <c r="AP223">
        <v>2.1332668140530586E-2</v>
      </c>
      <c r="AQ223">
        <v>2.176540344953537E-2</v>
      </c>
    </row>
    <row r="224" spans="3:55" x14ac:dyDescent="0.25">
      <c r="D224">
        <v>14000</v>
      </c>
      <c r="X224">
        <v>9.0430788695812225E-2</v>
      </c>
      <c r="Y224">
        <v>5.6039690971374512E-2</v>
      </c>
      <c r="Z224">
        <v>4.7446653246879578E-2</v>
      </c>
      <c r="AA224">
        <v>4.1825052350759506E-2</v>
      </c>
      <c r="AB224">
        <v>3.6948256194591522E-2</v>
      </c>
      <c r="AC224">
        <v>3.3460870385169983E-2</v>
      </c>
      <c r="AD224">
        <v>3.0782654881477356E-2</v>
      </c>
      <c r="AE224">
        <v>2.8965391218662262E-2</v>
      </c>
      <c r="AF224">
        <v>2.7331385761499405E-2</v>
      </c>
      <c r="AG224">
        <v>2.5938626378774643E-2</v>
      </c>
      <c r="AH224">
        <v>2.5236286222934723E-2</v>
      </c>
      <c r="AI224">
        <v>2.3924069479107857E-2</v>
      </c>
      <c r="AJ224">
        <v>2.3543950170278549E-2</v>
      </c>
      <c r="AK224">
        <v>2.2746633738279343E-2</v>
      </c>
      <c r="AL224">
        <v>2.2405348718166351E-2</v>
      </c>
      <c r="AM224">
        <v>2.1979957818984985E-2</v>
      </c>
      <c r="AN224">
        <v>2.1504871547222137E-2</v>
      </c>
      <c r="AO224">
        <v>2.150464802980423E-2</v>
      </c>
      <c r="AP224">
        <v>2.1573510020971298E-2</v>
      </c>
      <c r="AQ224">
        <v>2.1940361708402634E-2</v>
      </c>
      <c r="AR224">
        <v>2.2780701518058777E-2</v>
      </c>
    </row>
    <row r="225" spans="4:45" x14ac:dyDescent="0.25">
      <c r="D225">
        <v>15000</v>
      </c>
      <c r="X225">
        <v>0.11574467271566391</v>
      </c>
      <c r="Y225">
        <v>6.4540386199951172E-2</v>
      </c>
      <c r="Z225">
        <v>5.1045157015323639E-2</v>
      </c>
      <c r="AA225">
        <v>4.3650772422552109E-2</v>
      </c>
      <c r="AB225">
        <v>3.8968794047832489E-2</v>
      </c>
      <c r="AC225">
        <v>3.5297740250825882E-2</v>
      </c>
      <c r="AD225">
        <v>3.2171938568353653E-2</v>
      </c>
      <c r="AE225">
        <v>2.9591554775834084E-2</v>
      </c>
      <c r="AF225">
        <v>2.7948955073952675E-2</v>
      </c>
      <c r="AG225">
        <v>2.6865724474191666E-2</v>
      </c>
      <c r="AH225">
        <v>2.5514028966426849E-2</v>
      </c>
      <c r="AI225">
        <v>2.4575276300311089E-2</v>
      </c>
      <c r="AJ225">
        <v>2.3776799440383911E-2</v>
      </c>
      <c r="AK225">
        <v>2.3242291063070297E-2</v>
      </c>
      <c r="AL225">
        <v>2.2631281986832619E-2</v>
      </c>
      <c r="AM225">
        <v>2.2420104593038559E-2</v>
      </c>
      <c r="AN225">
        <v>2.185140922665596E-2</v>
      </c>
      <c r="AO225">
        <v>2.1688630804419518E-2</v>
      </c>
      <c r="AP225">
        <v>2.1745407953858376E-2</v>
      </c>
      <c r="AQ225">
        <v>2.2163525223731995E-2</v>
      </c>
      <c r="AR225">
        <v>2.2925227880477905E-2</v>
      </c>
    </row>
    <row r="226" spans="4:45" x14ac:dyDescent="0.25">
      <c r="D226">
        <v>16000</v>
      </c>
      <c r="X226">
        <v>0.14926908910274506</v>
      </c>
      <c r="Y226">
        <v>7.9019010066986084E-2</v>
      </c>
      <c r="Z226">
        <v>5.4024472832679749E-2</v>
      </c>
      <c r="AA226">
        <v>4.7181457281112671E-2</v>
      </c>
      <c r="AB226">
        <v>4.1051164269447327E-2</v>
      </c>
      <c r="AC226">
        <v>3.6639947444200516E-2</v>
      </c>
      <c r="AD226">
        <v>3.3355943858623505E-2</v>
      </c>
      <c r="AE226">
        <v>3.090834803879261E-2</v>
      </c>
      <c r="AF226">
        <v>2.9180588200688362E-2</v>
      </c>
      <c r="AG226">
        <v>2.7430551126599312E-2</v>
      </c>
      <c r="AH226">
        <v>2.6131950318813324E-2</v>
      </c>
      <c r="AI226">
        <v>2.5323599576950073E-2</v>
      </c>
      <c r="AJ226">
        <v>2.4239063262939453E-2</v>
      </c>
      <c r="AK226">
        <v>2.3752583190798759E-2</v>
      </c>
      <c r="AL226">
        <v>2.3039480671286583E-2</v>
      </c>
      <c r="AM226">
        <v>2.2581527009606361E-2</v>
      </c>
      <c r="AN226">
        <v>2.2332794964313507E-2</v>
      </c>
      <c r="AO226">
        <v>2.1991059184074402E-2</v>
      </c>
      <c r="AP226">
        <v>2.1899137645959854E-2</v>
      </c>
      <c r="AQ226">
        <v>2.2367570549249649E-2</v>
      </c>
      <c r="AR226">
        <v>2.3113161325454712E-2</v>
      </c>
    </row>
    <row r="227" spans="4:45" x14ac:dyDescent="0.25">
      <c r="D227">
        <v>17000</v>
      </c>
      <c r="Y227">
        <v>0.10033298283815384</v>
      </c>
      <c r="Z227">
        <v>6.0364555567502975E-2</v>
      </c>
      <c r="AA227">
        <v>4.9520887434482574E-2</v>
      </c>
      <c r="AB227">
        <v>4.3265022337436676E-2</v>
      </c>
      <c r="AC227">
        <v>3.8863509893417358E-2</v>
      </c>
      <c r="AD227">
        <v>3.5256028175354004E-2</v>
      </c>
      <c r="AE227">
        <v>3.2247532159090042E-2</v>
      </c>
      <c r="AF227">
        <v>2.9746588319540024E-2</v>
      </c>
      <c r="AG227">
        <v>2.8180334717035294E-2</v>
      </c>
      <c r="AH227">
        <v>2.7264075353741646E-2</v>
      </c>
      <c r="AI227">
        <v>2.5685302913188934E-2</v>
      </c>
      <c r="AJ227">
        <v>2.5029737502336502E-2</v>
      </c>
      <c r="AK227">
        <v>2.4049868807196617E-2</v>
      </c>
      <c r="AL227">
        <v>2.3645034059882164E-2</v>
      </c>
      <c r="AM227">
        <v>2.2907840088009834E-2</v>
      </c>
      <c r="AN227">
        <v>2.2569578140974045E-2</v>
      </c>
      <c r="AO227">
        <v>2.2422224283218384E-2</v>
      </c>
      <c r="AP227">
        <v>2.2162159904837608E-2</v>
      </c>
      <c r="AQ227">
        <v>2.2494234144687653E-2</v>
      </c>
      <c r="AR227">
        <v>2.3346010595560074E-2</v>
      </c>
    </row>
    <row r="228" spans="4:45" x14ac:dyDescent="0.25">
      <c r="D228">
        <v>18000</v>
      </c>
      <c r="Y228">
        <v>0.12945070862770081</v>
      </c>
      <c r="Z228">
        <v>7.256760448217392E-2</v>
      </c>
      <c r="AA228">
        <v>5.3179662674665451E-2</v>
      </c>
      <c r="AB228">
        <v>4.6441264450550079E-2</v>
      </c>
      <c r="AC228">
        <v>4.0754284709692001E-2</v>
      </c>
      <c r="AD228">
        <v>3.6604955792427063E-2</v>
      </c>
      <c r="AE228">
        <v>3.3547095954418182E-2</v>
      </c>
      <c r="AF228">
        <v>3.1237132847309113E-2</v>
      </c>
      <c r="AG228">
        <v>2.93255764991045E-2</v>
      </c>
      <c r="AH228">
        <v>2.7607111260294914E-2</v>
      </c>
      <c r="AI228">
        <v>2.649809792637825E-2</v>
      </c>
      <c r="AJ228">
        <v>2.552858367562294E-2</v>
      </c>
      <c r="AK228">
        <v>2.4658359587192535E-2</v>
      </c>
      <c r="AL228">
        <v>2.3969145491719246E-2</v>
      </c>
      <c r="AM228">
        <v>2.3423554375767708E-2</v>
      </c>
      <c r="AN228">
        <v>2.2837866097688675E-2</v>
      </c>
      <c r="AO228">
        <v>2.2846296429634094E-2</v>
      </c>
      <c r="AP228">
        <v>2.2550579160451889E-2</v>
      </c>
      <c r="AQ228">
        <v>2.2737372666597366E-2</v>
      </c>
      <c r="AR228">
        <v>2.3473618552088737E-2</v>
      </c>
      <c r="AS228">
        <v>2.5301748886704445E-2</v>
      </c>
    </row>
    <row r="229" spans="4:45" x14ac:dyDescent="0.25">
      <c r="D229">
        <v>19000</v>
      </c>
      <c r="Z229">
        <v>9.1499127447605133E-2</v>
      </c>
      <c r="AA229">
        <v>5.8151733130216599E-2</v>
      </c>
      <c r="AB229">
        <v>4.8846777528524399E-2</v>
      </c>
      <c r="AC229">
        <v>4.3133202940225601E-2</v>
      </c>
      <c r="AD229">
        <v>3.8834404200315475E-2</v>
      </c>
      <c r="AE229">
        <v>3.5323794931173325E-2</v>
      </c>
      <c r="AF229">
        <v>3.2401878386735916E-2</v>
      </c>
      <c r="AG229">
        <v>3.0026668682694435E-2</v>
      </c>
      <c r="AH229">
        <v>2.854548767209053E-2</v>
      </c>
      <c r="AI229">
        <v>2.7334230020642281E-2</v>
      </c>
      <c r="AJ229">
        <v>2.6070538908243179E-2</v>
      </c>
      <c r="AK229">
        <v>2.552378736436367E-2</v>
      </c>
      <c r="AL229">
        <v>2.4421770125627518E-2</v>
      </c>
      <c r="AM229">
        <v>2.3966949433088303E-2</v>
      </c>
      <c r="AN229">
        <v>2.3304171860218048E-2</v>
      </c>
      <c r="AO229">
        <v>2.3049535229802132E-2</v>
      </c>
      <c r="AP229">
        <v>2.3146072402596474E-2</v>
      </c>
      <c r="AQ229">
        <v>2.3114435374736786E-2</v>
      </c>
      <c r="AR229">
        <v>2.3714084178209305E-2</v>
      </c>
      <c r="AS229">
        <v>2.5417396798729897E-2</v>
      </c>
    </row>
    <row r="230" spans="4:45" x14ac:dyDescent="0.25">
      <c r="D230">
        <v>20000</v>
      </c>
      <c r="Z230">
        <v>0.11813472211360931</v>
      </c>
      <c r="AA230">
        <v>6.8974025547504425E-2</v>
      </c>
      <c r="AB230">
        <v>5.2869994193315506E-2</v>
      </c>
      <c r="AC230">
        <v>4.6159181743860245E-2</v>
      </c>
      <c r="AD230">
        <v>4.0813159197568893E-2</v>
      </c>
      <c r="AE230">
        <v>3.6880359053611755E-2</v>
      </c>
      <c r="AF230">
        <v>3.3963073045015335E-2</v>
      </c>
      <c r="AG230">
        <v>3.1802862882614136E-2</v>
      </c>
      <c r="AH230">
        <v>2.9450725764036179E-2</v>
      </c>
      <c r="AI230">
        <v>2.7887111529707909E-2</v>
      </c>
      <c r="AJ230">
        <v>2.7098150923848152E-2</v>
      </c>
      <c r="AK230">
        <v>2.5826549157500267E-2</v>
      </c>
      <c r="AL230">
        <v>2.5204289704561234E-2</v>
      </c>
      <c r="AM230">
        <v>2.4270210415124893E-2</v>
      </c>
      <c r="AN230">
        <v>2.3997968062758446E-2</v>
      </c>
      <c r="AO230">
        <v>2.3440930992364883E-2</v>
      </c>
      <c r="AP230">
        <v>2.3285916075110435E-2</v>
      </c>
      <c r="AQ230">
        <v>2.3648474365472794E-2</v>
      </c>
      <c r="AR230">
        <v>2.4108272045850754E-2</v>
      </c>
      <c r="AS230">
        <v>2.5658817961812019E-2</v>
      </c>
    </row>
    <row r="231" spans="4:45" x14ac:dyDescent="0.25">
      <c r="D231">
        <v>21000</v>
      </c>
      <c r="AA231">
        <v>8.6547099053859711E-2</v>
      </c>
      <c r="AB231">
        <v>5.7189464569091797E-2</v>
      </c>
      <c r="AC231">
        <v>4.8700686544179916E-2</v>
      </c>
      <c r="AD231">
        <v>4.3174188584089279E-2</v>
      </c>
      <c r="AE231">
        <v>3.8983400911092758E-2</v>
      </c>
      <c r="AF231">
        <v>3.5493835806846619E-2</v>
      </c>
      <c r="AG231">
        <v>3.2698381692171097E-2</v>
      </c>
      <c r="AH231">
        <v>3.0496874824166298E-2</v>
      </c>
      <c r="AI231">
        <v>2.9085496440529823E-2</v>
      </c>
      <c r="AJ231">
        <v>2.7588160708546638E-2</v>
      </c>
      <c r="AK231">
        <v>2.6604611426591873E-2</v>
      </c>
      <c r="AL231">
        <v>2.5728024542331696E-2</v>
      </c>
      <c r="AM231">
        <v>2.4920275434851646E-2</v>
      </c>
      <c r="AN231">
        <v>2.4207310751080513E-2</v>
      </c>
      <c r="AO231">
        <v>2.4063589051365852E-2</v>
      </c>
      <c r="AP231">
        <v>2.3627234622836113E-2</v>
      </c>
      <c r="AQ231">
        <v>2.3973748087882996E-2</v>
      </c>
      <c r="AR231">
        <v>2.4681147187948227E-2</v>
      </c>
      <c r="AS231">
        <v>2.6090782135725021E-2</v>
      </c>
    </row>
    <row r="232" spans="4:45" x14ac:dyDescent="0.25">
      <c r="D232">
        <v>22000</v>
      </c>
      <c r="AA232">
        <v>0.11186010390520096</v>
      </c>
      <c r="AB232">
        <v>6.7453920841217041E-2</v>
      </c>
      <c r="AC232">
        <v>5.2822194993495941E-2</v>
      </c>
      <c r="AD232">
        <v>4.651845246553421E-2</v>
      </c>
      <c r="AE232">
        <v>4.1341237723827362E-2</v>
      </c>
      <c r="AF232">
        <v>3.7476688623428345E-2</v>
      </c>
      <c r="AG232">
        <v>3.4695450216531754E-2</v>
      </c>
      <c r="AH232">
        <v>3.221319243311882E-2</v>
      </c>
      <c r="AI232">
        <v>2.9746761545538902E-2</v>
      </c>
      <c r="AJ232">
        <v>2.8424708172678947E-2</v>
      </c>
      <c r="AK232">
        <v>2.7486756443977356E-2</v>
      </c>
      <c r="AL232">
        <v>2.6288066059350967E-2</v>
      </c>
      <c r="AM232">
        <v>2.5728633627295494E-2</v>
      </c>
      <c r="AN232">
        <v>2.4732664227485657E-2</v>
      </c>
      <c r="AO232">
        <v>2.447846345603466E-2</v>
      </c>
      <c r="AP232">
        <v>2.4184912443161011E-2</v>
      </c>
      <c r="AQ232">
        <v>2.4280086159706116E-2</v>
      </c>
      <c r="AR232">
        <v>2.5088243186473846E-2</v>
      </c>
      <c r="AS232">
        <v>2.6735242456197739E-2</v>
      </c>
    </row>
    <row r="233" spans="4:45" x14ac:dyDescent="0.25">
      <c r="D233">
        <v>23000</v>
      </c>
      <c r="AB233">
        <v>8.45799520611763E-2</v>
      </c>
      <c r="AC233">
        <v>5.7145066559314728E-2</v>
      </c>
      <c r="AD233">
        <v>4.8963736742734909E-2</v>
      </c>
      <c r="AE233">
        <v>4.3490614742040634E-2</v>
      </c>
      <c r="AF233">
        <v>3.9320673793554306E-2</v>
      </c>
      <c r="AG233">
        <v>3.5875748842954636E-2</v>
      </c>
      <c r="AH233">
        <v>3.3249653875827789E-2</v>
      </c>
      <c r="AI233">
        <v>3.1250402331352234E-2</v>
      </c>
      <c r="AJ233">
        <v>2.9505332931876183E-2</v>
      </c>
      <c r="AK233">
        <v>2.8015175834298134E-2</v>
      </c>
      <c r="AL233">
        <v>2.7362942695617676E-2</v>
      </c>
      <c r="AM233">
        <v>2.6102829724550247E-2</v>
      </c>
      <c r="AN233">
        <v>2.5625521317124367E-2</v>
      </c>
      <c r="AO233">
        <v>2.4898126721382141E-2</v>
      </c>
      <c r="AP233">
        <v>2.4787601083517075E-2</v>
      </c>
      <c r="AQ233">
        <v>2.4815456941723824E-2</v>
      </c>
      <c r="AR233">
        <v>2.5376105681061745E-2</v>
      </c>
      <c r="AS233">
        <v>2.7340838685631752E-2</v>
      </c>
    </row>
    <row r="234" spans="4:45" x14ac:dyDescent="0.25">
      <c r="D234">
        <v>24000</v>
      </c>
      <c r="AB234">
        <v>0.10960699617862701</v>
      </c>
      <c r="AC234">
        <v>6.760329008102417E-2</v>
      </c>
      <c r="AD234">
        <v>5.2957102656364441E-2</v>
      </c>
      <c r="AE234">
        <v>4.7177709639072418E-2</v>
      </c>
      <c r="AF234">
        <v>4.2349312454462051E-2</v>
      </c>
      <c r="AG234">
        <v>3.850233182311058E-2</v>
      </c>
      <c r="AH234">
        <v>3.5271678119897842E-2</v>
      </c>
      <c r="AI234">
        <v>3.2462116330862045E-2</v>
      </c>
      <c r="AJ234">
        <v>3.0415438115596771E-2</v>
      </c>
      <c r="AK234">
        <v>2.9214212670922279E-2</v>
      </c>
      <c r="AL234">
        <v>2.7789007872343063E-2</v>
      </c>
      <c r="AM234">
        <v>2.697371318936348E-2</v>
      </c>
      <c r="AN234">
        <v>2.6004606857895851E-2</v>
      </c>
      <c r="AO234">
        <v>2.5676170364022255E-2</v>
      </c>
      <c r="AP234">
        <v>2.5118386372923851E-2</v>
      </c>
      <c r="AQ234">
        <v>2.5576779618859291E-2</v>
      </c>
      <c r="AR234">
        <v>2.5922574102878571E-2</v>
      </c>
      <c r="AS234">
        <v>2.7647256851196289E-2</v>
      </c>
    </row>
    <row r="235" spans="4:45" x14ac:dyDescent="0.25">
      <c r="D235">
        <v>25000</v>
      </c>
      <c r="AC235">
        <v>8.5143126547336578E-2</v>
      </c>
      <c r="AD235">
        <v>5.8025795966386795E-2</v>
      </c>
      <c r="AE235">
        <v>4.9823794513940811E-2</v>
      </c>
      <c r="AF235">
        <v>4.4158097356557846E-2</v>
      </c>
      <c r="AG235">
        <v>3.998919203877449E-2</v>
      </c>
      <c r="AH235">
        <v>3.6595653742551804E-2</v>
      </c>
      <c r="AI235">
        <v>3.4096822142601013E-2</v>
      </c>
      <c r="AJ235">
        <v>3.225337341427803E-2</v>
      </c>
      <c r="AK235">
        <v>2.9953021556138992E-2</v>
      </c>
      <c r="AL235">
        <v>2.8698693960905075E-2</v>
      </c>
      <c r="AM235">
        <v>2.7693726122379303E-2</v>
      </c>
      <c r="AN235">
        <v>2.6667609810829163E-2</v>
      </c>
      <c r="AO235">
        <v>2.6224436238408089E-2</v>
      </c>
      <c r="AP235">
        <v>2.5792583823204041E-2</v>
      </c>
      <c r="AQ235">
        <v>2.5816330686211586E-2</v>
      </c>
      <c r="AR235">
        <v>2.6767956092953682E-2</v>
      </c>
      <c r="AS235">
        <v>2.8290713205933571E-2</v>
      </c>
    </row>
    <row r="236" spans="4:45" x14ac:dyDescent="0.25">
      <c r="D236">
        <v>26000</v>
      </c>
      <c r="AC236">
        <v>0.11089406162500381</v>
      </c>
      <c r="AD236">
        <v>6.9645091891288757E-2</v>
      </c>
      <c r="AE236">
        <v>5.3526174277067184E-2</v>
      </c>
      <c r="AF236">
        <v>4.7424677759408951E-2</v>
      </c>
      <c r="AG236">
        <v>4.2867306619882584E-2</v>
      </c>
      <c r="AH236">
        <v>3.897780179977417E-2</v>
      </c>
      <c r="AI236">
        <v>3.5606492310762405E-2</v>
      </c>
      <c r="AJ236">
        <v>3.315422311425209E-2</v>
      </c>
      <c r="AK236">
        <v>3.1512774527072906E-2</v>
      </c>
      <c r="AL236">
        <v>2.9763843864202499E-2</v>
      </c>
      <c r="AM236">
        <v>2.8366141021251678E-2</v>
      </c>
      <c r="AN236">
        <v>2.7693029493093491E-2</v>
      </c>
      <c r="AO236">
        <v>2.6754399761557579E-2</v>
      </c>
      <c r="AP236">
        <v>2.6492390781641006E-2</v>
      </c>
      <c r="AQ236">
        <v>2.6390006765723228E-2</v>
      </c>
      <c r="AR236">
        <v>2.7056245133280754E-2</v>
      </c>
      <c r="AS236">
        <v>2.9326446354389191E-2</v>
      </c>
    </row>
    <row r="237" spans="4:45" x14ac:dyDescent="0.25">
      <c r="D237">
        <v>27000</v>
      </c>
      <c r="AD237">
        <v>8.8852480053901672E-2</v>
      </c>
      <c r="AE237">
        <v>5.9967100620269775E-2</v>
      </c>
      <c r="AF237">
        <v>5.1494743674993515E-2</v>
      </c>
      <c r="AG237">
        <v>4.5457970350980759E-2</v>
      </c>
      <c r="AH237">
        <v>4.1272271424531937E-2</v>
      </c>
      <c r="AI237">
        <v>3.7992570549249649E-2</v>
      </c>
      <c r="AJ237">
        <v>3.5322993993759155E-2</v>
      </c>
      <c r="AK237">
        <v>3.2646514475345612E-2</v>
      </c>
      <c r="AL237">
        <v>3.0850445851683617E-2</v>
      </c>
      <c r="AM237">
        <v>2.975735254585743E-2</v>
      </c>
      <c r="AN237">
        <v>2.8175249695777893E-2</v>
      </c>
      <c r="AO237">
        <v>2.7801195159554482E-2</v>
      </c>
      <c r="AP237">
        <v>2.6908447965979576E-2</v>
      </c>
      <c r="AQ237">
        <v>2.7370324358344078E-2</v>
      </c>
      <c r="AR237">
        <v>2.765783853828907E-2</v>
      </c>
      <c r="AS237">
        <v>2.983502671122551E-2</v>
      </c>
    </row>
    <row r="238" spans="4:45" x14ac:dyDescent="0.25">
      <c r="D238">
        <v>28000</v>
      </c>
      <c r="AD238">
        <v>0.11683408170938492</v>
      </c>
      <c r="AE238">
        <v>7.336907833814621E-2</v>
      </c>
      <c r="AF238">
        <v>5.4801356047391891E-2</v>
      </c>
      <c r="AG238">
        <v>4.8299968242645264E-2</v>
      </c>
      <c r="AH238">
        <v>4.3511629104614258E-2</v>
      </c>
      <c r="AI238">
        <v>3.9693340659141541E-2</v>
      </c>
      <c r="AJ238">
        <v>3.6660049110651016E-2</v>
      </c>
      <c r="AK238">
        <v>3.4422013908624649E-2</v>
      </c>
      <c r="AL238">
        <v>3.2443426549434662E-2</v>
      </c>
      <c r="AM238">
        <v>3.0444223433732986E-2</v>
      </c>
      <c r="AN238">
        <v>2.9399525374174118E-2</v>
      </c>
      <c r="AO238">
        <v>2.8347266837954521E-2</v>
      </c>
      <c r="AP238">
        <v>2.7833107858896255E-2</v>
      </c>
      <c r="AQ238">
        <v>2.7708301320672035E-2</v>
      </c>
      <c r="AR238">
        <v>2.8708493337035179E-2</v>
      </c>
      <c r="AS238">
        <v>3.0619725584983826E-2</v>
      </c>
    </row>
    <row r="239" spans="4:45" x14ac:dyDescent="0.25">
      <c r="D239">
        <v>29000</v>
      </c>
      <c r="AE239">
        <v>9.4852626323699951E-2</v>
      </c>
      <c r="AF239">
        <v>6.3365407288074493E-2</v>
      </c>
      <c r="AG239">
        <v>5.2802547812461853E-2</v>
      </c>
      <c r="AH239">
        <v>4.7210510820150375E-2</v>
      </c>
      <c r="AI239">
        <v>4.2792055755853653E-2</v>
      </c>
      <c r="AJ239">
        <v>3.9081033319234848E-2</v>
      </c>
      <c r="AK239">
        <v>3.5924255847930908E-2</v>
      </c>
      <c r="AL239">
        <v>3.3630561083555222E-2</v>
      </c>
      <c r="AM239">
        <v>3.2377380877733231E-2</v>
      </c>
      <c r="AN239">
        <v>3.0182136222720146E-2</v>
      </c>
      <c r="AO239">
        <v>2.9374660924077034E-2</v>
      </c>
      <c r="AP239">
        <v>2.8587989509105682E-2</v>
      </c>
      <c r="AQ239">
        <v>2.8579166159033775E-2</v>
      </c>
      <c r="AR239">
        <v>2.9130320996046066E-2</v>
      </c>
      <c r="AS239">
        <v>3.2076757401227951E-2</v>
      </c>
    </row>
    <row r="240" spans="4:45" x14ac:dyDescent="0.25">
      <c r="D240">
        <v>30000</v>
      </c>
      <c r="AF240">
        <v>7.9429268836975098E-2</v>
      </c>
      <c r="AG240">
        <v>5.7309973984956741E-2</v>
      </c>
      <c r="AH240">
        <v>5.0304815173149109E-2</v>
      </c>
      <c r="AI240">
        <v>4.5102670788764954E-2</v>
      </c>
      <c r="AJ240">
        <v>4.1399754583835602E-2</v>
      </c>
      <c r="AK240">
        <v>3.8615386933088303E-2</v>
      </c>
      <c r="AL240">
        <v>3.5592850297689438E-2</v>
      </c>
      <c r="AM240">
        <v>3.3121462911367416E-2</v>
      </c>
      <c r="AN240">
        <v>3.1635507941246033E-2</v>
      </c>
      <c r="AO240">
        <v>3.0411656945943832E-2</v>
      </c>
      <c r="AP240">
        <v>2.9454665258526802E-2</v>
      </c>
      <c r="AQ240">
        <v>2.9536448419094086E-2</v>
      </c>
      <c r="AR240">
        <v>3.0038338154554367E-2</v>
      </c>
      <c r="AS240">
        <v>3.2818332314491272E-2</v>
      </c>
    </row>
    <row r="241" spans="4:45" x14ac:dyDescent="0.25">
      <c r="D241">
        <v>31000</v>
      </c>
      <c r="AF241">
        <v>0.10422644764184952</v>
      </c>
      <c r="AG241">
        <v>6.8851515650749207E-2</v>
      </c>
      <c r="AH241">
        <v>5.407855287194252E-2</v>
      </c>
      <c r="AI241">
        <v>4.8132810741662979E-2</v>
      </c>
      <c r="AJ241">
        <v>4.3729014694690704E-2</v>
      </c>
      <c r="AK241">
        <v>4.0215764194726944E-2</v>
      </c>
      <c r="AL241">
        <v>3.7470255047082901E-2</v>
      </c>
      <c r="AM241">
        <v>3.5466164350509644E-2</v>
      </c>
      <c r="AN241">
        <v>3.2845243811607361E-2</v>
      </c>
      <c r="AO241">
        <v>3.1590841710567474E-2</v>
      </c>
      <c r="AP241">
        <v>3.0723622068762779E-2</v>
      </c>
      <c r="AQ241">
        <v>3.0310798436403275E-2</v>
      </c>
      <c r="AR241">
        <v>3.1186314299702644E-2</v>
      </c>
      <c r="AS241">
        <v>3.4030567854642868E-2</v>
      </c>
    </row>
    <row r="242" spans="4:45" x14ac:dyDescent="0.25">
      <c r="D242">
        <v>32000</v>
      </c>
      <c r="AG242">
        <v>8.8586784899234772E-2</v>
      </c>
      <c r="AH242">
        <v>6.1816193163394928E-2</v>
      </c>
      <c r="AI242">
        <v>5.2795324474573135E-2</v>
      </c>
      <c r="AJ242">
        <v>4.7364655882120132E-2</v>
      </c>
      <c r="AK242">
        <v>4.3143950402736664E-2</v>
      </c>
      <c r="AL242">
        <v>3.9574075490236282E-2</v>
      </c>
      <c r="AM242">
        <v>3.6739207804203033E-2</v>
      </c>
      <c r="AN242">
        <v>3.4801192581653595E-2</v>
      </c>
      <c r="AO242">
        <v>3.3215675503015518E-2</v>
      </c>
      <c r="AP242">
        <v>3.1678400933742523E-2</v>
      </c>
      <c r="AQ242">
        <v>3.2052997499704361E-2</v>
      </c>
      <c r="AR242">
        <v>3.214685246348381E-2</v>
      </c>
      <c r="AS242">
        <v>3.5841334611177444E-2</v>
      </c>
    </row>
    <row r="243" spans="4:45" x14ac:dyDescent="0.25">
      <c r="D243">
        <v>33000</v>
      </c>
      <c r="AH243">
        <v>7.7309161424636841E-2</v>
      </c>
      <c r="AI243">
        <v>5.7252507656812668E-2</v>
      </c>
      <c r="AJ243">
        <v>5.1092501729726791E-2</v>
      </c>
      <c r="AK243">
        <v>4.6227730810642242E-2</v>
      </c>
      <c r="AL243">
        <v>4.2791005223989487E-2</v>
      </c>
      <c r="AM243">
        <v>3.9300985634326935E-2</v>
      </c>
      <c r="AN243">
        <v>3.6289032548666E-2</v>
      </c>
      <c r="AO243">
        <v>3.4794718027114868E-2</v>
      </c>
      <c r="AP243">
        <v>3.3681806176900864E-2</v>
      </c>
      <c r="AQ243">
        <v>3.2943680882453918E-2</v>
      </c>
      <c r="AR243">
        <v>3.438602015376091E-2</v>
      </c>
      <c r="AS243">
        <v>3.7072725594043732E-2</v>
      </c>
    </row>
    <row r="244" spans="4:45" x14ac:dyDescent="0.25">
      <c r="D244">
        <v>34000</v>
      </c>
      <c r="AI244">
        <v>6.8972967565059662E-2</v>
      </c>
      <c r="AJ244">
        <v>5.4750613868236542E-2</v>
      </c>
      <c r="AK244">
        <v>4.9191705882549286E-2</v>
      </c>
      <c r="AL244">
        <v>4.490850493311882E-2</v>
      </c>
      <c r="AM244">
        <v>4.1651483625173569E-2</v>
      </c>
      <c r="AN244">
        <v>3.9248686283826828E-2</v>
      </c>
      <c r="AO244">
        <v>3.670768067240715E-2</v>
      </c>
      <c r="AP244">
        <v>3.496185690164566E-2</v>
      </c>
      <c r="AQ244">
        <v>3.5388674587011337E-2</v>
      </c>
      <c r="AR244">
        <v>3.5336267203092575E-2</v>
      </c>
      <c r="AS244">
        <v>4.0226221084594727E-2</v>
      </c>
    </row>
    <row r="245" spans="4:45" x14ac:dyDescent="0.25">
      <c r="D245">
        <v>35000</v>
      </c>
      <c r="AJ245">
        <v>6.3543453812599182E-2</v>
      </c>
      <c r="AK245">
        <v>5.3482916206121445E-2</v>
      </c>
      <c r="AL245">
        <v>4.8165790736675262E-2</v>
      </c>
      <c r="AM245">
        <v>4.4115688651800156E-2</v>
      </c>
      <c r="AN245">
        <v>4.092804342508316E-2</v>
      </c>
      <c r="AO245">
        <v>3.9262030273675919E-2</v>
      </c>
      <c r="AP245">
        <v>3.7250198423862457E-2</v>
      </c>
      <c r="AQ245">
        <v>3.6573488265275955E-2</v>
      </c>
      <c r="AR245">
        <v>3.8233678787946701E-2</v>
      </c>
      <c r="AS245">
        <v>4.1559655219316483E-2</v>
      </c>
    </row>
    <row r="246" spans="4:45" x14ac:dyDescent="0.25">
      <c r="D246">
        <v>36000</v>
      </c>
      <c r="AL246">
        <v>5.3072832524776459E-2</v>
      </c>
      <c r="AM246">
        <v>4.7764725983142853E-2</v>
      </c>
      <c r="AN246">
        <v>4.3726436793804169E-2</v>
      </c>
      <c r="AO246">
        <v>4.1369307786226273E-2</v>
      </c>
      <c r="AP246">
        <v>3.9453987032175064E-2</v>
      </c>
      <c r="AQ246">
        <v>3.9332233369350433E-2</v>
      </c>
      <c r="AR246">
        <v>3.9602577686309814E-2</v>
      </c>
      <c r="AS246">
        <v>4.5004740357398987E-2</v>
      </c>
    </row>
    <row r="247" spans="4:45" x14ac:dyDescent="0.25">
      <c r="D247">
        <v>37000</v>
      </c>
      <c r="AN247">
        <v>4.7720476984977722E-2</v>
      </c>
      <c r="AO247">
        <v>4.4730536639690399E-2</v>
      </c>
      <c r="AP247">
        <v>4.2003121227025986E-2</v>
      </c>
      <c r="AQ247">
        <v>4.155571386218071E-2</v>
      </c>
      <c r="AR247">
        <v>4.2856413871049881E-2</v>
      </c>
    </row>
    <row r="248" spans="4:45" x14ac:dyDescent="0.25">
      <c r="D248">
        <v>38000</v>
      </c>
    </row>
    <row r="249" spans="4:45" x14ac:dyDescent="0.25">
      <c r="D249">
        <v>39000</v>
      </c>
    </row>
    <row r="250" spans="4:45" x14ac:dyDescent="0.25">
      <c r="D250">
        <v>40000</v>
      </c>
    </row>
    <row r="251" spans="4:45" x14ac:dyDescent="0.25">
      <c r="D251">
        <v>41000</v>
      </c>
    </row>
    <row r="252" spans="4:45" x14ac:dyDescent="0.25">
      <c r="D252">
        <v>42000</v>
      </c>
    </row>
    <row r="253" spans="4:45" x14ac:dyDescent="0.25">
      <c r="D253">
        <v>43000</v>
      </c>
    </row>
    <row r="254" spans="4:45" x14ac:dyDescent="0.25">
      <c r="D254">
        <v>44000</v>
      </c>
    </row>
    <row r="255" spans="4:45" x14ac:dyDescent="0.25">
      <c r="D255">
        <v>45000</v>
      </c>
    </row>
    <row r="256" spans="4:45" x14ac:dyDescent="0.25">
      <c r="D256">
        <v>46000</v>
      </c>
    </row>
    <row r="257" spans="3:55" x14ac:dyDescent="0.25">
      <c r="D257">
        <v>47000</v>
      </c>
    </row>
    <row r="258" spans="3:55" x14ac:dyDescent="0.25">
      <c r="D258">
        <v>48000</v>
      </c>
    </row>
    <row r="259" spans="3:55" x14ac:dyDescent="0.25">
      <c r="D259">
        <v>49000</v>
      </c>
    </row>
    <row r="260" spans="3:55" x14ac:dyDescent="0.25">
      <c r="D260">
        <v>50000</v>
      </c>
    </row>
    <row r="261" spans="3:55" x14ac:dyDescent="0.25">
      <c r="C261" t="s">
        <v>138</v>
      </c>
      <c r="D261" t="s">
        <v>133</v>
      </c>
      <c r="E261">
        <v>0</v>
      </c>
      <c r="F261">
        <v>0.02</v>
      </c>
      <c r="G261">
        <v>0.04</v>
      </c>
      <c r="H261">
        <v>0.06</v>
      </c>
      <c r="I261">
        <v>0.08</v>
      </c>
      <c r="J261">
        <v>0.1</v>
      </c>
      <c r="K261">
        <v>0.12</v>
      </c>
      <c r="L261">
        <v>0.14000000000000001</v>
      </c>
      <c r="M261">
        <v>0.16</v>
      </c>
      <c r="N261">
        <v>0.18</v>
      </c>
      <c r="O261">
        <v>0.2</v>
      </c>
      <c r="P261">
        <v>0.22</v>
      </c>
      <c r="Q261">
        <v>0.24</v>
      </c>
      <c r="R261">
        <v>0.26</v>
      </c>
      <c r="S261">
        <v>0.28000000000000003</v>
      </c>
      <c r="T261">
        <v>0.3</v>
      </c>
      <c r="U261">
        <v>0.32</v>
      </c>
      <c r="V261">
        <v>0.34</v>
      </c>
      <c r="W261">
        <v>0.36</v>
      </c>
      <c r="X261">
        <v>0.38</v>
      </c>
      <c r="Y261">
        <v>0.4</v>
      </c>
      <c r="Z261">
        <v>0.42</v>
      </c>
      <c r="AA261">
        <v>0.44</v>
      </c>
      <c r="AB261">
        <v>0.46</v>
      </c>
      <c r="AC261">
        <v>0.48</v>
      </c>
      <c r="AD261">
        <v>0.5</v>
      </c>
      <c r="AE261">
        <v>0.52</v>
      </c>
      <c r="AF261">
        <v>0.54</v>
      </c>
      <c r="AG261">
        <v>0.56000000000000005</v>
      </c>
      <c r="AH261">
        <v>0.57999999999999996</v>
      </c>
      <c r="AI261">
        <v>0.6</v>
      </c>
      <c r="AJ261">
        <v>0.62</v>
      </c>
      <c r="AK261">
        <v>0.64</v>
      </c>
      <c r="AL261">
        <v>0.66</v>
      </c>
      <c r="AM261">
        <v>0.68</v>
      </c>
      <c r="AN261">
        <v>0.7</v>
      </c>
      <c r="AO261">
        <v>0.72</v>
      </c>
      <c r="AP261">
        <v>0.74</v>
      </c>
      <c r="AQ261">
        <v>0.76</v>
      </c>
      <c r="AR261">
        <v>0.78</v>
      </c>
      <c r="AS261">
        <v>0.8</v>
      </c>
      <c r="AT261">
        <v>0.82</v>
      </c>
      <c r="AU261">
        <v>0.84</v>
      </c>
      <c r="AV261">
        <v>0.86</v>
      </c>
      <c r="AW261">
        <v>0.88</v>
      </c>
      <c r="AX261">
        <v>0.9</v>
      </c>
      <c r="AY261">
        <v>0.92</v>
      </c>
      <c r="AZ261">
        <v>0.94</v>
      </c>
      <c r="BA261">
        <v>0.96</v>
      </c>
      <c r="BB261">
        <v>0.98</v>
      </c>
      <c r="BC261">
        <v>1</v>
      </c>
    </row>
    <row r="262" spans="3:55" x14ac:dyDescent="0.25">
      <c r="D262">
        <v>0</v>
      </c>
      <c r="R262">
        <v>35944.67578125</v>
      </c>
      <c r="S262">
        <v>17481.916015625</v>
      </c>
      <c r="T262">
        <v>9027.4794921875</v>
      </c>
      <c r="U262">
        <v>7514.52001953125</v>
      </c>
      <c r="V262">
        <v>7144.18115234375</v>
      </c>
      <c r="W262">
        <v>7001.72265625</v>
      </c>
      <c r="X262">
        <v>6991.77734375</v>
      </c>
      <c r="Y262">
        <v>7019.55322265625</v>
      </c>
      <c r="Z262">
        <v>7270.05908203125</v>
      </c>
      <c r="AA262">
        <v>7499.904296875</v>
      </c>
      <c r="AB262">
        <v>7720.2802734375</v>
      </c>
      <c r="AC262">
        <v>8088.35546875</v>
      </c>
      <c r="AD262">
        <v>8438.150390625</v>
      </c>
      <c r="AE262">
        <v>8904.9482421875</v>
      </c>
      <c r="AF262">
        <v>9311.08984375</v>
      </c>
      <c r="AG262">
        <v>9888.8232421875</v>
      </c>
      <c r="AH262">
        <v>10405.8017578125</v>
      </c>
      <c r="AI262">
        <v>10984.8408203125</v>
      </c>
      <c r="AJ262">
        <v>11680.84375</v>
      </c>
      <c r="AK262">
        <v>12484.259765625</v>
      </c>
    </row>
    <row r="263" spans="3:55" x14ac:dyDescent="0.25">
      <c r="D263">
        <v>1000</v>
      </c>
      <c r="S263">
        <v>21092.005859375</v>
      </c>
      <c r="T263">
        <v>10485.689453125</v>
      </c>
      <c r="U263">
        <v>7879.70751953125</v>
      </c>
      <c r="V263">
        <v>7302.9892578125</v>
      </c>
      <c r="W263">
        <v>6993.802734375</v>
      </c>
      <c r="X263">
        <v>6907.8662109375</v>
      </c>
      <c r="Y263">
        <v>6931.20068359375</v>
      </c>
      <c r="Z263">
        <v>7111.36669921875</v>
      </c>
      <c r="AA263">
        <v>7334.7763671875</v>
      </c>
      <c r="AB263">
        <v>7634.27685546875</v>
      </c>
      <c r="AC263">
        <v>7966.69287109375</v>
      </c>
      <c r="AD263">
        <v>8251.4462890625</v>
      </c>
      <c r="AE263">
        <v>8743.20703125</v>
      </c>
      <c r="AF263">
        <v>9097.58203125</v>
      </c>
      <c r="AG263">
        <v>9583.6943359375</v>
      </c>
      <c r="AH263">
        <v>10140.5234375</v>
      </c>
      <c r="AI263">
        <v>10667.5546875</v>
      </c>
      <c r="AJ263">
        <v>11311.48828125</v>
      </c>
      <c r="AK263">
        <v>12099.1162109375</v>
      </c>
      <c r="AL263">
        <v>12852.548828125</v>
      </c>
    </row>
    <row r="264" spans="3:55" x14ac:dyDescent="0.25">
      <c r="D264">
        <v>2000</v>
      </c>
      <c r="S264">
        <v>25315.876953125</v>
      </c>
      <c r="T264">
        <v>12539.01953125</v>
      </c>
      <c r="U264">
        <v>7911.07861328125</v>
      </c>
      <c r="V264">
        <v>7355.78271484375</v>
      </c>
      <c r="W264">
        <v>7143.79248046875</v>
      </c>
      <c r="X264">
        <v>6950.0595703125</v>
      </c>
      <c r="Y264">
        <v>6886.69482421875</v>
      </c>
      <c r="Z264">
        <v>7015.30078125</v>
      </c>
      <c r="AA264">
        <v>7263.83203125</v>
      </c>
      <c r="AB264">
        <v>7597.2001953125</v>
      </c>
      <c r="AC264">
        <v>7766.27685546875</v>
      </c>
      <c r="AD264">
        <v>8122.6796875</v>
      </c>
      <c r="AE264">
        <v>8485.751953125</v>
      </c>
      <c r="AF264">
        <v>8928.0205078125</v>
      </c>
      <c r="AG264">
        <v>9322.3935546875</v>
      </c>
      <c r="AH264">
        <v>9876.1611328125</v>
      </c>
      <c r="AI264">
        <v>10375.4716796875</v>
      </c>
      <c r="AJ264">
        <v>10967.6953125</v>
      </c>
      <c r="AK264">
        <v>11633.138671875</v>
      </c>
      <c r="AL264">
        <v>12451.4384765625</v>
      </c>
    </row>
    <row r="265" spans="3:55" x14ac:dyDescent="0.25">
      <c r="D265">
        <v>3000</v>
      </c>
      <c r="S265">
        <v>30171.796875</v>
      </c>
      <c r="T265">
        <v>15202.546875</v>
      </c>
      <c r="U265">
        <v>8484.912109375</v>
      </c>
      <c r="V265">
        <v>7505.12451171875</v>
      </c>
      <c r="W265">
        <v>7122.7255859375</v>
      </c>
      <c r="X265">
        <v>6995.25390625</v>
      </c>
      <c r="Y265">
        <v>7024.8720703125</v>
      </c>
      <c r="Z265">
        <v>7037.57763671875</v>
      </c>
      <c r="AA265">
        <v>7208.18896484375</v>
      </c>
      <c r="AB265">
        <v>7387.82470703125</v>
      </c>
      <c r="AC265">
        <v>7650.515625</v>
      </c>
      <c r="AD265">
        <v>8017.966796875</v>
      </c>
      <c r="AE265">
        <v>8286.8154296875</v>
      </c>
      <c r="AF265">
        <v>8772.330078125</v>
      </c>
      <c r="AG265">
        <v>9105.5771484375</v>
      </c>
      <c r="AH265">
        <v>9569.736328125</v>
      </c>
      <c r="AI265">
        <v>10108.826171875</v>
      </c>
      <c r="AJ265">
        <v>10649.638671875</v>
      </c>
      <c r="AK265">
        <v>11264.0087890625</v>
      </c>
      <c r="AL265">
        <v>11947.0068359375</v>
      </c>
      <c r="AM265">
        <v>12789.8212890625</v>
      </c>
    </row>
    <row r="266" spans="3:55" x14ac:dyDescent="0.25">
      <c r="D266">
        <v>4000</v>
      </c>
      <c r="S266">
        <v>35679.40234375</v>
      </c>
      <c r="T266">
        <v>18492.546875</v>
      </c>
      <c r="U266">
        <v>9661.453125</v>
      </c>
      <c r="V266">
        <v>7714.43701171875</v>
      </c>
      <c r="W266">
        <v>7321.79296875</v>
      </c>
      <c r="X266">
        <v>7000.25439453125</v>
      </c>
      <c r="Y266">
        <v>6889.9384765625</v>
      </c>
      <c r="Z266">
        <v>6892.65771484375</v>
      </c>
      <c r="AA266">
        <v>7046.8408203125</v>
      </c>
      <c r="AB266">
        <v>7275.041015625</v>
      </c>
      <c r="AC266">
        <v>7621.0908203125</v>
      </c>
      <c r="AD266">
        <v>7791.8388671875</v>
      </c>
      <c r="AE266">
        <v>8147.43017578125</v>
      </c>
      <c r="AF266">
        <v>8507.33984375</v>
      </c>
      <c r="AG266">
        <v>8933.9658203125</v>
      </c>
      <c r="AH266">
        <v>9308.4013671875</v>
      </c>
      <c r="AI266">
        <v>9827.6865234375</v>
      </c>
      <c r="AJ266">
        <v>10357.5361328125</v>
      </c>
      <c r="AK266">
        <v>10921.177734375</v>
      </c>
      <c r="AL266">
        <v>11553.697265625</v>
      </c>
      <c r="AM266">
        <v>12385.076171875</v>
      </c>
    </row>
    <row r="267" spans="3:55" x14ac:dyDescent="0.25">
      <c r="D267">
        <v>5000</v>
      </c>
      <c r="T267">
        <v>22426.650390625</v>
      </c>
      <c r="U267">
        <v>11454.212890625</v>
      </c>
      <c r="V267">
        <v>7856.85400390625</v>
      </c>
      <c r="W267">
        <v>7332.26513671875</v>
      </c>
      <c r="X267">
        <v>7123.78369140625</v>
      </c>
      <c r="Y267">
        <v>6981.49267578125</v>
      </c>
      <c r="Z267">
        <v>6912.91650390625</v>
      </c>
      <c r="AA267">
        <v>7005.77294921875</v>
      </c>
      <c r="AB267">
        <v>7259.1796875</v>
      </c>
      <c r="AC267">
        <v>7428.27880859375</v>
      </c>
      <c r="AD267">
        <v>7648.02978515625</v>
      </c>
      <c r="AE267">
        <v>8051.88623046875</v>
      </c>
      <c r="AF267">
        <v>8301.05859375</v>
      </c>
      <c r="AG267">
        <v>8767.033203125</v>
      </c>
      <c r="AH267">
        <v>9089.427734375</v>
      </c>
      <c r="AI267">
        <v>9523.6474609375</v>
      </c>
      <c r="AJ267">
        <v>10090.66015625</v>
      </c>
      <c r="AK267">
        <v>10602.7626953125</v>
      </c>
      <c r="AL267">
        <v>11183.94921875</v>
      </c>
      <c r="AM267">
        <v>11829.6748046875</v>
      </c>
      <c r="AN267">
        <v>12513.552734375</v>
      </c>
    </row>
    <row r="268" spans="3:55" x14ac:dyDescent="0.25">
      <c r="D268">
        <v>6000</v>
      </c>
      <c r="T268">
        <v>27024.109375</v>
      </c>
      <c r="U268">
        <v>13880.587890625</v>
      </c>
      <c r="V268">
        <v>8281.6162109375</v>
      </c>
      <c r="W268">
        <v>7504.482421875</v>
      </c>
      <c r="X268">
        <v>7133.6484375</v>
      </c>
      <c r="Y268">
        <v>6960.9697265625</v>
      </c>
      <c r="Z268">
        <v>6944.7392578125</v>
      </c>
      <c r="AA268">
        <v>6947.134765625</v>
      </c>
      <c r="AB268">
        <v>7087.39794921875</v>
      </c>
      <c r="AC268">
        <v>7287.2900390625</v>
      </c>
      <c r="AD268">
        <v>7589.37158203125</v>
      </c>
      <c r="AE268">
        <v>7814.65234375</v>
      </c>
      <c r="AF268">
        <v>8158.99072265625</v>
      </c>
      <c r="AG268">
        <v>8502.365234375</v>
      </c>
      <c r="AH268">
        <v>8922.1640625</v>
      </c>
      <c r="AI268">
        <v>9266.94921875</v>
      </c>
      <c r="AJ268">
        <v>9788.03125</v>
      </c>
      <c r="AK268">
        <v>10314.2216796875</v>
      </c>
      <c r="AL268">
        <v>10845.7529296875</v>
      </c>
      <c r="AM268">
        <v>11442.091796875</v>
      </c>
      <c r="AN268">
        <v>12097.9853515625</v>
      </c>
    </row>
    <row r="269" spans="3:55" x14ac:dyDescent="0.25">
      <c r="D269">
        <v>7000</v>
      </c>
      <c r="U269">
        <v>16956.36328125</v>
      </c>
      <c r="V269">
        <v>9333.521484375</v>
      </c>
      <c r="W269">
        <v>7687.76953125</v>
      </c>
      <c r="X269">
        <v>7296.36279296875</v>
      </c>
      <c r="Y269">
        <v>7039.9033203125</v>
      </c>
      <c r="Z269">
        <v>6898.52490234375</v>
      </c>
      <c r="AA269">
        <v>6877.171875</v>
      </c>
      <c r="AB269">
        <v>7002.0576171875</v>
      </c>
      <c r="AC269">
        <v>7247.33837890625</v>
      </c>
      <c r="AD269">
        <v>7451.9033203125</v>
      </c>
      <c r="AE269">
        <v>7661.96728515625</v>
      </c>
      <c r="AF269">
        <v>8057.11083984375</v>
      </c>
      <c r="AG269">
        <v>8299.525390625</v>
      </c>
      <c r="AH269">
        <v>8736.513671875</v>
      </c>
      <c r="AI269">
        <v>9057.3681640625</v>
      </c>
      <c r="AJ269">
        <v>9491.2685546875</v>
      </c>
      <c r="AK269">
        <v>10052.59375</v>
      </c>
      <c r="AL269">
        <v>10534.736328125</v>
      </c>
      <c r="AM269">
        <v>11082.0478515625</v>
      </c>
      <c r="AN269">
        <v>11688.0146484375</v>
      </c>
      <c r="AO269">
        <v>12574.4189453125</v>
      </c>
    </row>
    <row r="270" spans="3:55" x14ac:dyDescent="0.25">
      <c r="D270">
        <v>8000</v>
      </c>
      <c r="U270">
        <v>20699.861328125</v>
      </c>
      <c r="V270">
        <v>11027.5693359375</v>
      </c>
      <c r="W270">
        <v>7853.87255859375</v>
      </c>
      <c r="X270">
        <v>7365.39794921875</v>
      </c>
      <c r="Y270">
        <v>7085.4208984375</v>
      </c>
      <c r="Z270">
        <v>7046.0107421875</v>
      </c>
      <c r="AA270">
        <v>7002.8896484375</v>
      </c>
      <c r="AB270">
        <v>7012.55712890625</v>
      </c>
      <c r="AC270">
        <v>7121.9150390625</v>
      </c>
      <c r="AD270">
        <v>7291.40625</v>
      </c>
      <c r="AE270">
        <v>7595.50634765625</v>
      </c>
      <c r="AF270">
        <v>7816.3623046875</v>
      </c>
      <c r="AG270">
        <v>8159.63720703125</v>
      </c>
      <c r="AH270">
        <v>8476.6806640625</v>
      </c>
      <c r="AI270">
        <v>8895.7119140625</v>
      </c>
      <c r="AJ270">
        <v>9242.3095703125</v>
      </c>
      <c r="AK270">
        <v>9723.8115234375</v>
      </c>
      <c r="AL270">
        <v>10251.15234375</v>
      </c>
      <c r="AM270">
        <v>10749.7421875</v>
      </c>
      <c r="AN270">
        <v>11306.25390625</v>
      </c>
      <c r="AO270">
        <v>12050.0390625</v>
      </c>
    </row>
    <row r="271" spans="3:55" x14ac:dyDescent="0.25">
      <c r="D271">
        <v>9000</v>
      </c>
      <c r="V271">
        <v>13380.123046875</v>
      </c>
      <c r="W271">
        <v>8279.302734375</v>
      </c>
      <c r="X271">
        <v>7491.10693359375</v>
      </c>
      <c r="Y271">
        <v>7202.84423828125</v>
      </c>
      <c r="Z271">
        <v>6959.625</v>
      </c>
      <c r="AA271">
        <v>6887.8076171875</v>
      </c>
      <c r="AB271">
        <v>6875.0703125</v>
      </c>
      <c r="AC271">
        <v>7004.93798828125</v>
      </c>
      <c r="AD271">
        <v>7234.8583984375</v>
      </c>
      <c r="AE271">
        <v>7467.73046875</v>
      </c>
      <c r="AF271">
        <v>7662.6357421875</v>
      </c>
      <c r="AG271">
        <v>8032.1904296875</v>
      </c>
      <c r="AH271">
        <v>8280.5244140625</v>
      </c>
      <c r="AI271">
        <v>8672.640625</v>
      </c>
      <c r="AJ271">
        <v>9041.92578125</v>
      </c>
      <c r="AK271">
        <v>9437.8564453125</v>
      </c>
      <c r="AL271">
        <v>9959.33203125</v>
      </c>
      <c r="AM271">
        <v>10445.408203125</v>
      </c>
      <c r="AN271">
        <v>10952.8818359375</v>
      </c>
      <c r="AO271">
        <v>11643.984375</v>
      </c>
      <c r="AP271">
        <v>12403.1123046875</v>
      </c>
    </row>
    <row r="272" spans="3:55" x14ac:dyDescent="0.25">
      <c r="D272">
        <v>10000</v>
      </c>
      <c r="V272">
        <v>16408.462890625</v>
      </c>
      <c r="W272">
        <v>9358.5517578125</v>
      </c>
      <c r="X272">
        <v>7774.87744140625</v>
      </c>
      <c r="Y272">
        <v>7264.130859375</v>
      </c>
      <c r="Z272">
        <v>7172.66796875</v>
      </c>
      <c r="AA272">
        <v>6976.23388671875</v>
      </c>
      <c r="AB272">
        <v>6935.83056640625</v>
      </c>
      <c r="AC272">
        <v>7014.5322265625</v>
      </c>
      <c r="AD272">
        <v>7132.287109375</v>
      </c>
      <c r="AE272">
        <v>7298.5380859375</v>
      </c>
      <c r="AF272">
        <v>7595.23779296875</v>
      </c>
      <c r="AG272">
        <v>7792.953125</v>
      </c>
      <c r="AH272">
        <v>8143.59765625</v>
      </c>
      <c r="AI272">
        <v>8418.091796875</v>
      </c>
      <c r="AJ272">
        <v>8890.1708984375</v>
      </c>
      <c r="AK272">
        <v>9199.466796875</v>
      </c>
      <c r="AL272">
        <v>9635.9384765625</v>
      </c>
      <c r="AM272">
        <v>10165.453125</v>
      </c>
      <c r="AN272">
        <v>10628.1201171875</v>
      </c>
      <c r="AO272">
        <v>11269.2255859375</v>
      </c>
      <c r="AP272">
        <v>11978.26171875</v>
      </c>
    </row>
    <row r="273" spans="4:45" x14ac:dyDescent="0.25">
      <c r="D273">
        <v>11000</v>
      </c>
      <c r="V273">
        <v>20133.615234375</v>
      </c>
      <c r="W273">
        <v>11110.0771484375</v>
      </c>
      <c r="X273">
        <v>7885.2216796875</v>
      </c>
      <c r="Y273">
        <v>7472.08544921875</v>
      </c>
      <c r="Z273">
        <v>7094.75927734375</v>
      </c>
      <c r="AA273">
        <v>6955.64599609375</v>
      </c>
      <c r="AB273">
        <v>6902.51806640625</v>
      </c>
      <c r="AC273">
        <v>6878.021484375</v>
      </c>
      <c r="AD273">
        <v>6998.7685546875</v>
      </c>
      <c r="AE273">
        <v>7238.60693359375</v>
      </c>
      <c r="AF273">
        <v>7457.5673828125</v>
      </c>
      <c r="AG273">
        <v>7648.716796875</v>
      </c>
      <c r="AH273">
        <v>7976.80615234375</v>
      </c>
      <c r="AI273">
        <v>8227.0673828125</v>
      </c>
      <c r="AJ273">
        <v>8621.1865234375</v>
      </c>
      <c r="AK273">
        <v>9015.4443359375</v>
      </c>
      <c r="AL273">
        <v>9368.0537109375</v>
      </c>
      <c r="AM273">
        <v>9839.3154296875</v>
      </c>
      <c r="AN273">
        <v>10335.1875</v>
      </c>
      <c r="AO273">
        <v>10924.6689453125</v>
      </c>
      <c r="AP273">
        <v>11581.833984375</v>
      </c>
    </row>
    <row r="274" spans="4:45" x14ac:dyDescent="0.25">
      <c r="D274">
        <v>12000</v>
      </c>
      <c r="W274">
        <v>13549.6806640625</v>
      </c>
      <c r="X274">
        <v>8461.1015625</v>
      </c>
      <c r="Y274">
        <v>7523.76220703125</v>
      </c>
      <c r="Z274">
        <v>7324.4833984375</v>
      </c>
      <c r="AA274">
        <v>7052.5185546875</v>
      </c>
      <c r="AB274">
        <v>6923.1533203125</v>
      </c>
      <c r="AC274">
        <v>6904.513671875</v>
      </c>
      <c r="AD274">
        <v>6999.439453125</v>
      </c>
      <c r="AE274">
        <v>7143.6005859375</v>
      </c>
      <c r="AF274">
        <v>7294.46142578125</v>
      </c>
      <c r="AG274">
        <v>7595.8662109375</v>
      </c>
      <c r="AH274">
        <v>7757.39404296875</v>
      </c>
      <c r="AI274">
        <v>8098.37646484375</v>
      </c>
      <c r="AJ274">
        <v>8383.7080078125</v>
      </c>
      <c r="AK274">
        <v>8835.7724609375</v>
      </c>
      <c r="AL274">
        <v>9150.802734375</v>
      </c>
      <c r="AM274">
        <v>9539.734375</v>
      </c>
      <c r="AN274">
        <v>10037.7998046875</v>
      </c>
      <c r="AO274">
        <v>10609.439453125</v>
      </c>
      <c r="AP274">
        <v>11215.2158203125</v>
      </c>
      <c r="AQ274">
        <v>12104.6826171875</v>
      </c>
    </row>
    <row r="275" spans="4:45" x14ac:dyDescent="0.25">
      <c r="D275">
        <v>13000</v>
      </c>
      <c r="W275">
        <v>16696.4140625</v>
      </c>
      <c r="X275">
        <v>9722.298828125</v>
      </c>
      <c r="Y275">
        <v>7860.087890625</v>
      </c>
      <c r="Z275">
        <v>7316.2294921875</v>
      </c>
      <c r="AA275">
        <v>7077.974609375</v>
      </c>
      <c r="AB275">
        <v>6978.47265625</v>
      </c>
      <c r="AC275">
        <v>6918.71826171875</v>
      </c>
      <c r="AD275">
        <v>6875.38623046875</v>
      </c>
      <c r="AE275">
        <v>7007.333984375</v>
      </c>
      <c r="AF275">
        <v>7241.515625</v>
      </c>
      <c r="AG275">
        <v>7427.7412109375</v>
      </c>
      <c r="AH275">
        <v>7630.3076171875</v>
      </c>
      <c r="AI275">
        <v>7904.34228515625</v>
      </c>
      <c r="AJ275">
        <v>8209.3623046875</v>
      </c>
      <c r="AK275">
        <v>8554.9306640625</v>
      </c>
      <c r="AL275">
        <v>8985.08984375</v>
      </c>
      <c r="AM275">
        <v>9291.556640625</v>
      </c>
      <c r="AN275">
        <v>9707.8798828125</v>
      </c>
      <c r="AO275">
        <v>10323.8359375</v>
      </c>
      <c r="AP275">
        <v>10878.6474609375</v>
      </c>
      <c r="AQ275">
        <v>11707.3916015625</v>
      </c>
    </row>
    <row r="276" spans="4:45" x14ac:dyDescent="0.25">
      <c r="D276">
        <v>14000</v>
      </c>
      <c r="X276">
        <v>11686.197265625</v>
      </c>
      <c r="Y276">
        <v>8024.26806640625</v>
      </c>
      <c r="Z276">
        <v>7490.2080078125</v>
      </c>
      <c r="AA276">
        <v>7246.55419921875</v>
      </c>
      <c r="AB276">
        <v>6996.79833984375</v>
      </c>
      <c r="AC276">
        <v>6899.36962890625</v>
      </c>
      <c r="AD276">
        <v>6887.0908203125</v>
      </c>
      <c r="AE276">
        <v>7009.31884765625</v>
      </c>
      <c r="AF276">
        <v>7132.45263671875</v>
      </c>
      <c r="AG276">
        <v>7279.6875</v>
      </c>
      <c r="AH276">
        <v>7597.50830078125</v>
      </c>
      <c r="AI276">
        <v>7707.744140625</v>
      </c>
      <c r="AJ276">
        <v>8099.39208984375</v>
      </c>
      <c r="AK276">
        <v>8338.0947265625</v>
      </c>
      <c r="AL276">
        <v>8734.32421875</v>
      </c>
      <c r="AM276">
        <v>9095.6630859375</v>
      </c>
      <c r="AN276">
        <v>9430.23828125</v>
      </c>
      <c r="AO276">
        <v>9976.703125</v>
      </c>
      <c r="AP276">
        <v>10572.4091796875</v>
      </c>
      <c r="AQ276">
        <v>11341.2431640625</v>
      </c>
      <c r="AR276">
        <v>12403.5498046875</v>
      </c>
    </row>
    <row r="277" spans="4:45" x14ac:dyDescent="0.25">
      <c r="D277">
        <v>15000</v>
      </c>
      <c r="X277">
        <v>14369.8173828125</v>
      </c>
      <c r="Y277">
        <v>8878.3984375</v>
      </c>
      <c r="Z277">
        <v>7741.697265625</v>
      </c>
      <c r="AA277">
        <v>7265.748046875</v>
      </c>
      <c r="AB277">
        <v>7089.50146484375</v>
      </c>
      <c r="AC277">
        <v>6992.17724609375</v>
      </c>
      <c r="AD277">
        <v>6915.12939453125</v>
      </c>
      <c r="AE277">
        <v>6879.5107421875</v>
      </c>
      <c r="AF277">
        <v>7007.0654296875</v>
      </c>
      <c r="AG277">
        <v>7243.6533203125</v>
      </c>
      <c r="AH277">
        <v>7379.349609375</v>
      </c>
      <c r="AI277">
        <v>7606.484375</v>
      </c>
      <c r="AJ277">
        <v>7858.14111328125</v>
      </c>
      <c r="AK277">
        <v>8185.06201171875</v>
      </c>
      <c r="AL277">
        <v>8475.7880859375</v>
      </c>
      <c r="AM277">
        <v>8913.2998046875</v>
      </c>
      <c r="AN277">
        <v>9205.73828125</v>
      </c>
      <c r="AO277">
        <v>9666.744140625</v>
      </c>
      <c r="AP277">
        <v>10237.974609375</v>
      </c>
      <c r="AQ277">
        <v>11006.49609375</v>
      </c>
      <c r="AR277">
        <v>11991.8427734375</v>
      </c>
    </row>
    <row r="278" spans="4:45" x14ac:dyDescent="0.25">
      <c r="D278">
        <v>16000</v>
      </c>
      <c r="X278">
        <v>17798.419921875</v>
      </c>
      <c r="Y278">
        <v>10439.890625</v>
      </c>
      <c r="Z278">
        <v>7869.25244140625</v>
      </c>
      <c r="AA278">
        <v>7542.599609375</v>
      </c>
      <c r="AB278">
        <v>7172.7470703125</v>
      </c>
      <c r="AC278">
        <v>6970.78515625</v>
      </c>
      <c r="AD278">
        <v>6885.85107421875</v>
      </c>
      <c r="AE278">
        <v>6901.23583984375</v>
      </c>
      <c r="AF278">
        <v>7026.28759765625</v>
      </c>
      <c r="AG278">
        <v>7103.21484375</v>
      </c>
      <c r="AH278">
        <v>7258.9228515625</v>
      </c>
      <c r="AI278">
        <v>7527.87353515625</v>
      </c>
      <c r="AJ278">
        <v>7693.84814453125</v>
      </c>
      <c r="AK278">
        <v>8033.69189453125</v>
      </c>
      <c r="AL278">
        <v>8287.14453125</v>
      </c>
      <c r="AM278">
        <v>8622.1484375</v>
      </c>
      <c r="AN278">
        <v>9036.15234375</v>
      </c>
      <c r="AO278">
        <v>9413.5947265625</v>
      </c>
      <c r="AP278">
        <v>9902.271484375</v>
      </c>
      <c r="AQ278">
        <v>10668.1806640625</v>
      </c>
      <c r="AR278">
        <v>11611.623046875</v>
      </c>
    </row>
    <row r="279" spans="4:45" x14ac:dyDescent="0.25">
      <c r="D279">
        <v>17000</v>
      </c>
      <c r="Y279">
        <v>12727.26953125</v>
      </c>
      <c r="Z279">
        <v>8442.1318359375</v>
      </c>
      <c r="AA279">
        <v>7600.9052734375</v>
      </c>
      <c r="AB279">
        <v>7258.1201171875</v>
      </c>
      <c r="AC279">
        <v>7098.9814453125</v>
      </c>
      <c r="AD279">
        <v>6987.8720703125</v>
      </c>
      <c r="AE279">
        <v>6913.1298828125</v>
      </c>
      <c r="AF279">
        <v>6876.9560546875</v>
      </c>
      <c r="AG279">
        <v>7006.380859375</v>
      </c>
      <c r="AH279">
        <v>7271.40478515625</v>
      </c>
      <c r="AI279">
        <v>7330.9248046875</v>
      </c>
      <c r="AJ279">
        <v>7628.00927734375</v>
      </c>
      <c r="AK279">
        <v>7809.876953125</v>
      </c>
      <c r="AL279">
        <v>8165.8115234375</v>
      </c>
      <c r="AM279">
        <v>8397.9541015625</v>
      </c>
      <c r="AN279">
        <v>8767.8095703125</v>
      </c>
      <c r="AO279">
        <v>9215.4228515625</v>
      </c>
      <c r="AP279">
        <v>9621.5947265625</v>
      </c>
      <c r="AQ279">
        <v>10300.775390625</v>
      </c>
      <c r="AR279">
        <v>11260.9091796875</v>
      </c>
    </row>
    <row r="280" spans="4:45" x14ac:dyDescent="0.25">
      <c r="D280">
        <v>18000</v>
      </c>
      <c r="Y280">
        <v>15761.115234375</v>
      </c>
      <c r="Z280">
        <v>9741.0078125</v>
      </c>
      <c r="AA280">
        <v>7834.53955078125</v>
      </c>
      <c r="AB280">
        <v>7477.9443359375</v>
      </c>
      <c r="AC280">
        <v>7145.26416015625</v>
      </c>
      <c r="AD280">
        <v>6963.73828125</v>
      </c>
      <c r="AE280">
        <v>6902.78173828125</v>
      </c>
      <c r="AF280">
        <v>6931.404296875</v>
      </c>
      <c r="AG280">
        <v>6998.1806640625</v>
      </c>
      <c r="AH280">
        <v>7067.07177734375</v>
      </c>
      <c r="AI280">
        <v>7259.0498046875</v>
      </c>
      <c r="AJ280">
        <v>7467.455078125</v>
      </c>
      <c r="AK280">
        <v>7685.7578125</v>
      </c>
      <c r="AL280">
        <v>7945.166015625</v>
      </c>
      <c r="AM280">
        <v>8242.0107421875</v>
      </c>
      <c r="AN280">
        <v>8515.578125</v>
      </c>
      <c r="AO280">
        <v>9012.4599609375</v>
      </c>
      <c r="AP280">
        <v>9396.8798828125</v>
      </c>
      <c r="AQ280">
        <v>9993.78515625</v>
      </c>
      <c r="AR280">
        <v>10867.5537109375</v>
      </c>
      <c r="AS280">
        <v>12322.3359375</v>
      </c>
    </row>
    <row r="281" spans="4:45" x14ac:dyDescent="0.25">
      <c r="D281">
        <v>19000</v>
      </c>
      <c r="Z281">
        <v>11785.0322265625</v>
      </c>
      <c r="AA281">
        <v>8220.216796875</v>
      </c>
      <c r="AB281">
        <v>7546.869140625</v>
      </c>
      <c r="AC281">
        <v>7256.20263671875</v>
      </c>
      <c r="AD281">
        <v>7088.7861328125</v>
      </c>
      <c r="AE281">
        <v>6974.1171875</v>
      </c>
      <c r="AF281">
        <v>6898.7900390625</v>
      </c>
      <c r="AG281">
        <v>6875.4072265625</v>
      </c>
      <c r="AH281">
        <v>7011.46337890625</v>
      </c>
      <c r="AI281">
        <v>7184.96337890625</v>
      </c>
      <c r="AJ281">
        <v>7317.26171875</v>
      </c>
      <c r="AK281">
        <v>7633.43994140625</v>
      </c>
      <c r="AL281">
        <v>7767.4814453125</v>
      </c>
      <c r="AM281">
        <v>8091.8125</v>
      </c>
      <c r="AN281">
        <v>8337.6748046875</v>
      </c>
      <c r="AO281">
        <v>8724.537109375</v>
      </c>
      <c r="AP281">
        <v>9254.564453125</v>
      </c>
      <c r="AQ281">
        <v>9748.228515625</v>
      </c>
      <c r="AR281">
        <v>10534.4228515625</v>
      </c>
      <c r="AS281">
        <v>11877.5341796875</v>
      </c>
    </row>
    <row r="282" spans="4:45" x14ac:dyDescent="0.25">
      <c r="D282">
        <v>20000</v>
      </c>
      <c r="Z282">
        <v>14594.982421875</v>
      </c>
      <c r="AA282">
        <v>9352.2978515625</v>
      </c>
      <c r="AB282">
        <v>7835.24072265625</v>
      </c>
      <c r="AC282">
        <v>7448.48583984375</v>
      </c>
      <c r="AD282">
        <v>7146.076171875</v>
      </c>
      <c r="AE282">
        <v>6984.40234375</v>
      </c>
      <c r="AF282">
        <v>6936.20458984375</v>
      </c>
      <c r="AG282">
        <v>6985.052734375</v>
      </c>
      <c r="AH282">
        <v>6938.720703125</v>
      </c>
      <c r="AI282">
        <v>7031.2646484375</v>
      </c>
      <c r="AJ282">
        <v>7295.42236328125</v>
      </c>
      <c r="AK282">
        <v>7408.900390625</v>
      </c>
      <c r="AL282">
        <v>7689.35205078125</v>
      </c>
      <c r="AM282">
        <v>7859.931640625</v>
      </c>
      <c r="AN282">
        <v>8235.6513671875</v>
      </c>
      <c r="AO282">
        <v>8510.73828125</v>
      </c>
      <c r="AP282">
        <v>8930.6728515625</v>
      </c>
      <c r="AQ282">
        <v>9566.6025390625</v>
      </c>
      <c r="AR282">
        <v>10272.6552734375</v>
      </c>
      <c r="AS282">
        <v>11501.2236328125</v>
      </c>
    </row>
    <row r="283" spans="4:45" x14ac:dyDescent="0.25">
      <c r="D283">
        <v>21000</v>
      </c>
      <c r="AA283">
        <v>11252.6484375</v>
      </c>
      <c r="AB283">
        <v>8126.96826171875</v>
      </c>
      <c r="AC283">
        <v>7535.541015625</v>
      </c>
      <c r="AD283">
        <v>7248.7158203125</v>
      </c>
      <c r="AE283">
        <v>7079.18505859375</v>
      </c>
      <c r="AF283">
        <v>6950.8408203125</v>
      </c>
      <c r="AG283">
        <v>6886.51025390625</v>
      </c>
      <c r="AH283">
        <v>6889.8251953125</v>
      </c>
      <c r="AI283">
        <v>7031.951171875</v>
      </c>
      <c r="AJ283">
        <v>7122.01708984375</v>
      </c>
      <c r="AK283">
        <v>7318.35986328125</v>
      </c>
      <c r="AL283">
        <v>7526.4677734375</v>
      </c>
      <c r="AM283">
        <v>7738.69189453125</v>
      </c>
      <c r="AN283">
        <v>7965.9853515625</v>
      </c>
      <c r="AO283">
        <v>8377.6513671875</v>
      </c>
      <c r="AP283">
        <v>8689.068359375</v>
      </c>
      <c r="AQ283">
        <v>9299.5087890625</v>
      </c>
      <c r="AR283">
        <v>10084.431640625</v>
      </c>
      <c r="AS283">
        <v>11214.087890625</v>
      </c>
    </row>
    <row r="284" spans="4:45" x14ac:dyDescent="0.25">
      <c r="D284">
        <v>22000</v>
      </c>
      <c r="AA284">
        <v>13941.255859375</v>
      </c>
      <c r="AB284">
        <v>9188.4912109375</v>
      </c>
      <c r="AC284">
        <v>7834.662109375</v>
      </c>
      <c r="AD284">
        <v>7486.63427734375</v>
      </c>
      <c r="AE284">
        <v>7196.33740234375</v>
      </c>
      <c r="AF284">
        <v>7035.0966796875</v>
      </c>
      <c r="AG284">
        <v>7004.3837890625</v>
      </c>
      <c r="AH284">
        <v>6976.07470703125</v>
      </c>
      <c r="AI284">
        <v>6893.876953125</v>
      </c>
      <c r="AJ284">
        <v>7033.9736328125</v>
      </c>
      <c r="AK284">
        <v>7247.77685546875</v>
      </c>
      <c r="AL284">
        <v>7371.70361328125</v>
      </c>
      <c r="AM284">
        <v>7658.71484375</v>
      </c>
      <c r="AN284">
        <v>7801.68359375</v>
      </c>
      <c r="AO284">
        <v>8169.0302734375</v>
      </c>
      <c r="AP284">
        <v>8525.685546875</v>
      </c>
      <c r="AQ284">
        <v>9028.1494140625</v>
      </c>
      <c r="AR284">
        <v>9826.0908203125</v>
      </c>
      <c r="AS284">
        <v>11015.0234375</v>
      </c>
    </row>
    <row r="285" spans="4:45" x14ac:dyDescent="0.25">
      <c r="D285">
        <v>23000</v>
      </c>
      <c r="AB285">
        <v>11040.31640625</v>
      </c>
      <c r="AC285">
        <v>8121.93798828125</v>
      </c>
      <c r="AD285">
        <v>7551.1484375</v>
      </c>
      <c r="AE285">
        <v>7254.38671875</v>
      </c>
      <c r="AF285">
        <v>7073.052734375</v>
      </c>
      <c r="AG285">
        <v>6940.25537109375</v>
      </c>
      <c r="AH285">
        <v>6899.8798828125</v>
      </c>
      <c r="AI285">
        <v>6939.95361328125</v>
      </c>
      <c r="AJ285">
        <v>6996.52392578125</v>
      </c>
      <c r="AK285">
        <v>7078.67138671875</v>
      </c>
      <c r="AL285">
        <v>7352.73828125</v>
      </c>
      <c r="AM285">
        <v>7445.67138671875</v>
      </c>
      <c r="AN285">
        <v>7745.8173828125</v>
      </c>
      <c r="AO285">
        <v>7962.1455078125</v>
      </c>
      <c r="AP285">
        <v>8373.294921875</v>
      </c>
      <c r="AQ285">
        <v>8841.9462890625</v>
      </c>
      <c r="AR285">
        <v>9523.8515625</v>
      </c>
      <c r="AS285">
        <v>10794.1953125</v>
      </c>
    </row>
    <row r="286" spans="4:45" x14ac:dyDescent="0.25">
      <c r="D286">
        <v>24000</v>
      </c>
      <c r="AB286">
        <v>13705.0234375</v>
      </c>
      <c r="AC286">
        <v>9203.9892578125</v>
      </c>
      <c r="AD286">
        <v>7823.30126953125</v>
      </c>
      <c r="AE286">
        <v>7538.2294921875</v>
      </c>
      <c r="AF286">
        <v>7297.2578125</v>
      </c>
      <c r="AG286">
        <v>7134.9169921875</v>
      </c>
      <c r="AH286">
        <v>7011.45166015625</v>
      </c>
      <c r="AI286">
        <v>6905.6591796875</v>
      </c>
      <c r="AJ286">
        <v>6908.81005859375</v>
      </c>
      <c r="AK286">
        <v>7070.98583984375</v>
      </c>
      <c r="AL286">
        <v>7152.9755859375</v>
      </c>
      <c r="AM286">
        <v>7370.28662109375</v>
      </c>
      <c r="AN286">
        <v>7529.60546875</v>
      </c>
      <c r="AO286">
        <v>7865.40478515625</v>
      </c>
      <c r="AP286">
        <v>8127.94921875</v>
      </c>
      <c r="AQ286">
        <v>8729.6904296875</v>
      </c>
      <c r="AR286">
        <v>9319.51171875</v>
      </c>
      <c r="AS286">
        <v>10455.8134765625</v>
      </c>
    </row>
    <row r="287" spans="4:45" x14ac:dyDescent="0.25">
      <c r="D287">
        <v>25000</v>
      </c>
      <c r="AC287">
        <v>11100.2568359375</v>
      </c>
      <c r="AD287">
        <v>8208.4677734375</v>
      </c>
      <c r="AE287">
        <v>7623.326171875</v>
      </c>
      <c r="AF287">
        <v>7286.16259765625</v>
      </c>
      <c r="AG287">
        <v>7096.09912109375</v>
      </c>
      <c r="AH287">
        <v>6966.04833984375</v>
      </c>
      <c r="AI287">
        <v>6945.72216796875</v>
      </c>
      <c r="AJ287">
        <v>7015.51416015625</v>
      </c>
      <c r="AK287">
        <v>6942.27099609375</v>
      </c>
      <c r="AL287">
        <v>7073.77099609375</v>
      </c>
      <c r="AM287">
        <v>7246.03125</v>
      </c>
      <c r="AN287">
        <v>7394.029296875</v>
      </c>
      <c r="AO287">
        <v>7692.58203125</v>
      </c>
      <c r="AP287">
        <v>7992.06982421875</v>
      </c>
      <c r="AQ287">
        <v>8437.6728515625</v>
      </c>
      <c r="AR287">
        <v>9215.2138671875</v>
      </c>
      <c r="AS287">
        <v>10245.3037109375</v>
      </c>
    </row>
    <row r="288" spans="4:45" x14ac:dyDescent="0.25">
      <c r="D288">
        <v>26000</v>
      </c>
      <c r="AC288">
        <v>13839.2392578125</v>
      </c>
      <c r="AD288">
        <v>9430.8740234375</v>
      </c>
      <c r="AE288">
        <v>7839.607421875</v>
      </c>
      <c r="AF288">
        <v>7490.5439453125</v>
      </c>
      <c r="AG288">
        <v>7281.54736328125</v>
      </c>
      <c r="AH288">
        <v>7102.23046875</v>
      </c>
      <c r="AI288">
        <v>6943.09521484375</v>
      </c>
      <c r="AJ288">
        <v>6903.09228515625</v>
      </c>
      <c r="AK288">
        <v>6991.46240234375</v>
      </c>
      <c r="AL288">
        <v>7022.6064453125</v>
      </c>
      <c r="AM288">
        <v>7104.59814453125</v>
      </c>
      <c r="AN288">
        <v>7350.0107421875</v>
      </c>
      <c r="AO288">
        <v>7512.451171875</v>
      </c>
      <c r="AP288">
        <v>7857.8916015625</v>
      </c>
      <c r="AQ288">
        <v>8256.3505859375</v>
      </c>
      <c r="AR288">
        <v>8916.166015625</v>
      </c>
      <c r="AS288">
        <v>10166.251953125</v>
      </c>
    </row>
    <row r="289" spans="4:45" x14ac:dyDescent="0.25">
      <c r="D289">
        <v>27000</v>
      </c>
      <c r="AD289">
        <v>11513.1494140625</v>
      </c>
      <c r="AE289">
        <v>8404.353515625</v>
      </c>
      <c r="AF289">
        <v>7782.78466796875</v>
      </c>
      <c r="AG289">
        <v>7388.74462890625</v>
      </c>
      <c r="AH289">
        <v>7196.12939453125</v>
      </c>
      <c r="AI289">
        <v>7089.0126953125</v>
      </c>
      <c r="AJ289">
        <v>7037.6142578125</v>
      </c>
      <c r="AK289">
        <v>6930.767578125</v>
      </c>
      <c r="AL289">
        <v>6965.20458984375</v>
      </c>
      <c r="AM289">
        <v>7131.759765625</v>
      </c>
      <c r="AN289">
        <v>7155.63916015625</v>
      </c>
      <c r="AO289">
        <v>7469.86962890625</v>
      </c>
      <c r="AP289">
        <v>7637.24365234375</v>
      </c>
      <c r="AQ289">
        <v>8193.919921875</v>
      </c>
      <c r="AR289">
        <v>8721.5166015625</v>
      </c>
      <c r="AS289">
        <v>9896.7138671875</v>
      </c>
    </row>
    <row r="290" spans="4:45" x14ac:dyDescent="0.25">
      <c r="D290">
        <v>28000</v>
      </c>
      <c r="AD290">
        <v>14480.9599609375</v>
      </c>
      <c r="AE290">
        <v>9835.7509765625</v>
      </c>
      <c r="AF290">
        <v>7922.57958984375</v>
      </c>
      <c r="AG290">
        <v>7509.49462890625</v>
      </c>
      <c r="AH290">
        <v>7256.86669921875</v>
      </c>
      <c r="AI290">
        <v>7084.4794921875</v>
      </c>
      <c r="AJ290">
        <v>6986.57373046875</v>
      </c>
      <c r="AK290">
        <v>6990.1103515625</v>
      </c>
      <c r="AL290">
        <v>7006.5205078125</v>
      </c>
      <c r="AM290">
        <v>6979.2783203125</v>
      </c>
      <c r="AN290">
        <v>7142.0712890625</v>
      </c>
      <c r="AO290">
        <v>7285.57763671875</v>
      </c>
      <c r="AP290">
        <v>7556.365234375</v>
      </c>
      <c r="AQ290">
        <v>7934.59765625</v>
      </c>
      <c r="AR290">
        <v>8659.392578125</v>
      </c>
      <c r="AS290">
        <v>9715.5869140625</v>
      </c>
    </row>
    <row r="291" spans="4:45" x14ac:dyDescent="0.25">
      <c r="D291">
        <v>29000</v>
      </c>
      <c r="AE291">
        <v>12158.6240234375</v>
      </c>
      <c r="AF291">
        <v>8759.2734375</v>
      </c>
      <c r="AG291">
        <v>7849.8125</v>
      </c>
      <c r="AH291">
        <v>7528.7529296875</v>
      </c>
      <c r="AI291">
        <v>7302.87744140625</v>
      </c>
      <c r="AJ291">
        <v>7121.60302734375</v>
      </c>
      <c r="AK291">
        <v>6975.51220703125</v>
      </c>
      <c r="AL291">
        <v>6944.64990234375</v>
      </c>
      <c r="AM291">
        <v>7097.21435546875</v>
      </c>
      <c r="AN291">
        <v>7010.91064453125</v>
      </c>
      <c r="AO291">
        <v>7218.8203125</v>
      </c>
      <c r="AP291">
        <v>7421.22216796875</v>
      </c>
      <c r="AQ291">
        <v>7825.37353515625</v>
      </c>
      <c r="AR291">
        <v>8401.6162109375</v>
      </c>
      <c r="AS291">
        <v>9731.92578125</v>
      </c>
    </row>
    <row r="292" spans="4:45" x14ac:dyDescent="0.25">
      <c r="D292">
        <v>30000</v>
      </c>
      <c r="AF292">
        <v>10494.7373046875</v>
      </c>
      <c r="AG292">
        <v>8143.474609375</v>
      </c>
      <c r="AH292">
        <v>7667.76904296875</v>
      </c>
      <c r="AI292">
        <v>7357.12646484375</v>
      </c>
      <c r="AJ292">
        <v>7210.8193359375</v>
      </c>
      <c r="AK292">
        <v>7166.775390625</v>
      </c>
      <c r="AL292">
        <v>7025.1259765625</v>
      </c>
      <c r="AM292">
        <v>6939.5419921875</v>
      </c>
      <c r="AN292">
        <v>7023.8359375</v>
      </c>
      <c r="AO292">
        <v>7143.458984375</v>
      </c>
      <c r="AP292">
        <v>7308.37841796875</v>
      </c>
      <c r="AQ292">
        <v>7730.16796875</v>
      </c>
      <c r="AR292">
        <v>8280.7294921875</v>
      </c>
      <c r="AS292">
        <v>9516.9970703125</v>
      </c>
    </row>
    <row r="293" spans="4:45" x14ac:dyDescent="0.25">
      <c r="D293">
        <v>31000</v>
      </c>
      <c r="AF293">
        <v>13157.572265625</v>
      </c>
      <c r="AG293">
        <v>9347.5947265625</v>
      </c>
      <c r="AH293">
        <v>7875.7392578125</v>
      </c>
      <c r="AI293">
        <v>7501.60205078125</v>
      </c>
      <c r="AJ293">
        <v>7277.1845703125</v>
      </c>
      <c r="AK293">
        <v>7131.26513671875</v>
      </c>
      <c r="AL293">
        <v>7066.18212890625</v>
      </c>
      <c r="AM293">
        <v>7099.73876953125</v>
      </c>
      <c r="AN293">
        <v>6967.53076171875</v>
      </c>
      <c r="AO293">
        <v>7089.8408203125</v>
      </c>
      <c r="AP293">
        <v>7283.60107421875</v>
      </c>
      <c r="AQ293">
        <v>7579.40087890625</v>
      </c>
      <c r="AR293">
        <v>8214.16796875</v>
      </c>
      <c r="AS293">
        <v>9428.8662109375</v>
      </c>
    </row>
    <row r="294" spans="4:45" x14ac:dyDescent="0.25">
      <c r="D294">
        <v>32000</v>
      </c>
      <c r="AG294">
        <v>11486.5849609375</v>
      </c>
      <c r="AH294">
        <v>8598.1337890625</v>
      </c>
      <c r="AI294">
        <v>7858.5771484375</v>
      </c>
      <c r="AJ294">
        <v>7528.0712890625</v>
      </c>
      <c r="AK294">
        <v>7306.77587890625</v>
      </c>
      <c r="AL294">
        <v>7127.62060546875</v>
      </c>
      <c r="AM294">
        <v>7024.146484375</v>
      </c>
      <c r="AN294">
        <v>7050.763671875</v>
      </c>
      <c r="AO294">
        <v>7119.57421875</v>
      </c>
      <c r="AP294">
        <v>7172.5341796875</v>
      </c>
      <c r="AQ294">
        <v>7654.939453125</v>
      </c>
      <c r="AR294">
        <v>8086.7421875</v>
      </c>
      <c r="AS294">
        <v>9484.404296875</v>
      </c>
    </row>
    <row r="295" spans="4:45" x14ac:dyDescent="0.25">
      <c r="D295">
        <v>33000</v>
      </c>
      <c r="AH295">
        <v>10265.8349609375</v>
      </c>
      <c r="AI295">
        <v>8135.87646484375</v>
      </c>
      <c r="AJ295">
        <v>7752.60888671875</v>
      </c>
      <c r="AK295">
        <v>7474.28857421875</v>
      </c>
      <c r="AL295">
        <v>7357.79541015625</v>
      </c>
      <c r="AM295">
        <v>7173.458984375</v>
      </c>
      <c r="AN295">
        <v>7019.05810546875</v>
      </c>
      <c r="AO295">
        <v>7120.09326171875</v>
      </c>
      <c r="AP295">
        <v>7280.5830078125</v>
      </c>
      <c r="AQ295">
        <v>7511.154296875</v>
      </c>
      <c r="AR295">
        <v>8258.068359375</v>
      </c>
      <c r="AS295">
        <v>9365.734375</v>
      </c>
    </row>
    <row r="296" spans="4:45" x14ac:dyDescent="0.25">
      <c r="D296">
        <v>34000</v>
      </c>
      <c r="AI296">
        <v>9353.47265625</v>
      </c>
      <c r="AJ296">
        <v>7928.00341796875</v>
      </c>
      <c r="AK296">
        <v>7590.0263671875</v>
      </c>
      <c r="AL296">
        <v>7368.98876953125</v>
      </c>
      <c r="AM296">
        <v>7255.03857421875</v>
      </c>
      <c r="AN296">
        <v>7244.5703125</v>
      </c>
      <c r="AO296">
        <v>7168.25390625</v>
      </c>
      <c r="AP296">
        <v>7211.89453125</v>
      </c>
      <c r="AQ296">
        <v>7699.861328125</v>
      </c>
      <c r="AR296">
        <v>8098.43896484375</v>
      </c>
      <c r="AS296">
        <v>9697.9658203125</v>
      </c>
    </row>
    <row r="297" spans="4:45" x14ac:dyDescent="0.25">
      <c r="D297">
        <v>35000</v>
      </c>
      <c r="AJ297">
        <v>8777.064453125</v>
      </c>
      <c r="AK297">
        <v>7871.72802734375</v>
      </c>
      <c r="AL297">
        <v>7539.13671875</v>
      </c>
      <c r="AM297">
        <v>7330.033203125</v>
      </c>
      <c r="AN297">
        <v>7206.29638671875</v>
      </c>
      <c r="AO297">
        <v>7313.626953125</v>
      </c>
      <c r="AP297">
        <v>7329.71435546875</v>
      </c>
      <c r="AQ297">
        <v>7590.81884765625</v>
      </c>
      <c r="AR297">
        <v>8358.5380859375</v>
      </c>
      <c r="AS297">
        <v>9557.55859375</v>
      </c>
    </row>
    <row r="298" spans="4:45" x14ac:dyDescent="0.25">
      <c r="D298">
        <v>36000</v>
      </c>
      <c r="AL298">
        <v>7920.91064453125</v>
      </c>
      <c r="AM298">
        <v>7567.28466796875</v>
      </c>
      <c r="AN298">
        <v>7340.99853515625</v>
      </c>
      <c r="AO298">
        <v>7347.81494140625</v>
      </c>
      <c r="AP298">
        <v>7402.34521484375</v>
      </c>
      <c r="AQ298">
        <v>7783.78369140625</v>
      </c>
      <c r="AR298">
        <v>8255.2001953125</v>
      </c>
      <c r="AS298">
        <v>9868.546875</v>
      </c>
    </row>
    <row r="299" spans="4:45" x14ac:dyDescent="0.25">
      <c r="D299">
        <v>37000</v>
      </c>
      <c r="AN299">
        <v>7636.86328125</v>
      </c>
      <c r="AO299">
        <v>7573.267578125</v>
      </c>
      <c r="AP299">
        <v>7512.06201171875</v>
      </c>
      <c r="AQ299">
        <v>7839.20654296875</v>
      </c>
      <c r="AR299">
        <v>8515.677734375</v>
      </c>
    </row>
    <row r="300" spans="4:45" x14ac:dyDescent="0.25">
      <c r="D300">
        <v>38000</v>
      </c>
    </row>
    <row r="301" spans="4:45" x14ac:dyDescent="0.25">
      <c r="D301">
        <v>39000</v>
      </c>
    </row>
    <row r="302" spans="4:45" x14ac:dyDescent="0.25">
      <c r="D302">
        <v>40000</v>
      </c>
    </row>
    <row r="303" spans="4:45" x14ac:dyDescent="0.25">
      <c r="D303">
        <v>41000</v>
      </c>
    </row>
    <row r="304" spans="4:45" x14ac:dyDescent="0.25">
      <c r="D304">
        <v>42000</v>
      </c>
    </row>
    <row r="305" spans="3:55" x14ac:dyDescent="0.25">
      <c r="D305">
        <v>43000</v>
      </c>
    </row>
    <row r="306" spans="3:55" x14ac:dyDescent="0.25">
      <c r="D306">
        <v>44000</v>
      </c>
    </row>
    <row r="307" spans="3:55" x14ac:dyDescent="0.25">
      <c r="D307">
        <v>45000</v>
      </c>
    </row>
    <row r="308" spans="3:55" x14ac:dyDescent="0.25">
      <c r="D308">
        <v>46000</v>
      </c>
    </row>
    <row r="309" spans="3:55" x14ac:dyDescent="0.25">
      <c r="D309">
        <v>47000</v>
      </c>
    </row>
    <row r="310" spans="3:55" x14ac:dyDescent="0.25">
      <c r="D310">
        <v>48000</v>
      </c>
    </row>
    <row r="311" spans="3:55" x14ac:dyDescent="0.25">
      <c r="D311">
        <v>49000</v>
      </c>
    </row>
    <row r="312" spans="3:55" x14ac:dyDescent="0.25">
      <c r="D312">
        <v>50000</v>
      </c>
    </row>
    <row r="313" spans="3:55" x14ac:dyDescent="0.25">
      <c r="C313" t="s">
        <v>139</v>
      </c>
      <c r="D313" t="s">
        <v>133</v>
      </c>
      <c r="E313">
        <v>0</v>
      </c>
      <c r="F313">
        <v>0.02</v>
      </c>
      <c r="G313">
        <v>0.04</v>
      </c>
      <c r="H313">
        <v>0.06</v>
      </c>
      <c r="I313">
        <v>0.08</v>
      </c>
      <c r="J313">
        <v>0.1</v>
      </c>
      <c r="K313">
        <v>0.12</v>
      </c>
      <c r="L313">
        <v>0.14000000000000001</v>
      </c>
      <c r="M313">
        <v>0.16</v>
      </c>
      <c r="N313">
        <v>0.18</v>
      </c>
      <c r="O313">
        <v>0.2</v>
      </c>
      <c r="P313">
        <v>0.22</v>
      </c>
      <c r="Q313">
        <v>0.24</v>
      </c>
      <c r="R313">
        <v>0.26</v>
      </c>
      <c r="S313">
        <v>0.28000000000000003</v>
      </c>
      <c r="T313">
        <v>0.3</v>
      </c>
      <c r="U313">
        <v>0.32</v>
      </c>
      <c r="V313">
        <v>0.34</v>
      </c>
      <c r="W313">
        <v>0.36</v>
      </c>
      <c r="X313">
        <v>0.38</v>
      </c>
      <c r="Y313">
        <v>0.4</v>
      </c>
      <c r="Z313">
        <v>0.42</v>
      </c>
      <c r="AA313">
        <v>0.44</v>
      </c>
      <c r="AB313">
        <v>0.46</v>
      </c>
      <c r="AC313">
        <v>0.48</v>
      </c>
      <c r="AD313">
        <v>0.5</v>
      </c>
      <c r="AE313">
        <v>0.52</v>
      </c>
      <c r="AF313">
        <v>0.54</v>
      </c>
      <c r="AG313">
        <v>0.56000000000000005</v>
      </c>
      <c r="AH313">
        <v>0.57999999999999996</v>
      </c>
      <c r="AI313">
        <v>0.6</v>
      </c>
      <c r="AJ313">
        <v>0.62</v>
      </c>
      <c r="AK313">
        <v>0.64</v>
      </c>
      <c r="AL313">
        <v>0.66</v>
      </c>
      <c r="AM313">
        <v>0.68</v>
      </c>
      <c r="AN313">
        <v>0.7</v>
      </c>
      <c r="AO313">
        <v>0.72</v>
      </c>
      <c r="AP313">
        <v>0.74</v>
      </c>
      <c r="AQ313">
        <v>0.76</v>
      </c>
      <c r="AR313">
        <v>0.78</v>
      </c>
      <c r="AS313">
        <v>0.8</v>
      </c>
      <c r="AT313">
        <v>0.82</v>
      </c>
      <c r="AU313">
        <v>0.84</v>
      </c>
      <c r="AV313">
        <v>0.86</v>
      </c>
      <c r="AW313">
        <v>0.88</v>
      </c>
      <c r="AX313">
        <v>0.9</v>
      </c>
      <c r="AY313">
        <v>0.92</v>
      </c>
      <c r="AZ313">
        <v>0.94</v>
      </c>
      <c r="BA313">
        <v>0.96</v>
      </c>
      <c r="BB313">
        <v>0.98</v>
      </c>
      <c r="BC313">
        <v>1</v>
      </c>
    </row>
    <row r="314" spans="3:55" x14ac:dyDescent="0.25">
      <c r="D314">
        <v>0</v>
      </c>
      <c r="R314">
        <v>3.3412458896636963</v>
      </c>
      <c r="S314">
        <v>6.8699564933776855</v>
      </c>
      <c r="T314">
        <v>13.303824424743652</v>
      </c>
      <c r="U314">
        <v>15.982390403747559</v>
      </c>
      <c r="V314">
        <v>16.810882568359375</v>
      </c>
      <c r="W314">
        <v>17.152919769287109</v>
      </c>
      <c r="X314">
        <v>17.17732048034668</v>
      </c>
      <c r="Y314">
        <v>17.109350204467773</v>
      </c>
      <c r="Z314">
        <v>16.519811630249023</v>
      </c>
      <c r="AA314">
        <v>16.01353645324707</v>
      </c>
      <c r="AB314">
        <v>15.556429862976074</v>
      </c>
      <c r="AC314">
        <v>14.848505973815918</v>
      </c>
      <c r="AD314">
        <v>14.232977867126465</v>
      </c>
      <c r="AE314">
        <v>13.486883163452148</v>
      </c>
      <c r="AF314">
        <v>12.898597717285156</v>
      </c>
      <c r="AG314">
        <v>12.145024299621582</v>
      </c>
      <c r="AH314">
        <v>11.541638374328613</v>
      </c>
      <c r="AI314">
        <v>10.933249473571777</v>
      </c>
      <c r="AJ314">
        <v>10.281791687011719</v>
      </c>
      <c r="AK314">
        <v>9.6201133728027344</v>
      </c>
    </row>
    <row r="315" spans="3:55" x14ac:dyDescent="0.25">
      <c r="D315">
        <v>1000</v>
      </c>
      <c r="S315">
        <v>5.6940999031066895</v>
      </c>
      <c r="T315">
        <v>11.453704833984375</v>
      </c>
      <c r="U315">
        <v>15.241682052612305</v>
      </c>
      <c r="V315">
        <v>16.445320129394531</v>
      </c>
      <c r="W315">
        <v>17.172346115112305</v>
      </c>
      <c r="X315">
        <v>17.385976791381836</v>
      </c>
      <c r="Y315">
        <v>17.327444076538086</v>
      </c>
      <c r="Z315">
        <v>16.888454437255859</v>
      </c>
      <c r="AA315">
        <v>16.374050140380859</v>
      </c>
      <c r="AB315">
        <v>15.731680870056152</v>
      </c>
      <c r="AC315">
        <v>15.075263977050781</v>
      </c>
      <c r="AD315">
        <v>14.555024147033691</v>
      </c>
      <c r="AE315">
        <v>13.73637866973877</v>
      </c>
      <c r="AF315">
        <v>13.201310157775879</v>
      </c>
      <c r="AG315">
        <v>12.531702041625977</v>
      </c>
      <c r="AH315">
        <v>11.843569755554199</v>
      </c>
      <c r="AI315">
        <v>11.258437156677246</v>
      </c>
      <c r="AJ315">
        <v>10.617523193359375</v>
      </c>
      <c r="AK315">
        <v>9.9263448715209961</v>
      </c>
      <c r="AL315">
        <v>9.3444499969482422</v>
      </c>
    </row>
    <row r="316" spans="3:55" x14ac:dyDescent="0.25">
      <c r="D316">
        <v>2000</v>
      </c>
      <c r="S316">
        <v>4.7440581321716309</v>
      </c>
      <c r="T316">
        <v>9.5781011581420898</v>
      </c>
      <c r="U316">
        <v>15.181241989135742</v>
      </c>
      <c r="V316">
        <v>16.327289581298828</v>
      </c>
      <c r="W316">
        <v>16.811798095703125</v>
      </c>
      <c r="X316">
        <v>17.280427932739258</v>
      </c>
      <c r="Y316">
        <v>17.439424514770508</v>
      </c>
      <c r="Z316">
        <v>17.119722366333008</v>
      </c>
      <c r="AA316">
        <v>16.533971786499023</v>
      </c>
      <c r="AB316">
        <v>15.808454513549805</v>
      </c>
      <c r="AC316">
        <v>15.464295387268066</v>
      </c>
      <c r="AD316">
        <v>14.785760879516602</v>
      </c>
      <c r="AE316">
        <v>14.153136253356934</v>
      </c>
      <c r="AF316">
        <v>13.452031135559082</v>
      </c>
      <c r="AG316">
        <v>12.882956504821777</v>
      </c>
      <c r="AH316">
        <v>12.160594940185547</v>
      </c>
      <c r="AI316">
        <v>11.575376510620117</v>
      </c>
      <c r="AJ316">
        <v>10.95034122467041</v>
      </c>
      <c r="AK316">
        <v>10.323955535888672</v>
      </c>
      <c r="AL316">
        <v>9.645472526550293</v>
      </c>
    </row>
    <row r="317" spans="3:55" x14ac:dyDescent="0.25">
      <c r="D317">
        <v>3000</v>
      </c>
      <c r="S317">
        <v>3.9805383682250977</v>
      </c>
      <c r="T317">
        <v>7.8999919891357422</v>
      </c>
      <c r="U317">
        <v>14.154536247253418</v>
      </c>
      <c r="V317">
        <v>16.002399444580078</v>
      </c>
      <c r="W317">
        <v>16.861522674560547</v>
      </c>
      <c r="X317">
        <v>17.168783187866211</v>
      </c>
      <c r="Y317">
        <v>17.096397399902344</v>
      </c>
      <c r="Z317">
        <v>17.065530776977539</v>
      </c>
      <c r="AA317">
        <v>16.661605834960938</v>
      </c>
      <c r="AB317">
        <v>16.256477355957031</v>
      </c>
      <c r="AC317">
        <v>15.698287963867188</v>
      </c>
      <c r="AD317">
        <v>14.978859901428223</v>
      </c>
      <c r="AE317">
        <v>14.492900848388672</v>
      </c>
      <c r="AF317">
        <v>13.690774917602539</v>
      </c>
      <c r="AG317">
        <v>13.189719200134277</v>
      </c>
      <c r="AH317">
        <v>12.549980163574219</v>
      </c>
      <c r="AI317">
        <v>11.880706787109375</v>
      </c>
      <c r="AJ317">
        <v>11.277378082275391</v>
      </c>
      <c r="AK317">
        <v>10.662278175354004</v>
      </c>
      <c r="AL317">
        <v>10.052726745605469</v>
      </c>
      <c r="AM317">
        <v>9.3902797698974609</v>
      </c>
    </row>
    <row r="318" spans="3:55" x14ac:dyDescent="0.25">
      <c r="D318">
        <v>4000</v>
      </c>
      <c r="S318">
        <v>3.3660876750946045</v>
      </c>
      <c r="T318">
        <v>6.4945082664489746</v>
      </c>
      <c r="U318">
        <v>12.430841445922852</v>
      </c>
      <c r="V318">
        <v>15.56821346282959</v>
      </c>
      <c r="W318">
        <v>16.403085708618164</v>
      </c>
      <c r="X318">
        <v>17.156518936157227</v>
      </c>
      <c r="Y318">
        <v>17.431215286254883</v>
      </c>
      <c r="Z318">
        <v>17.424339294433594</v>
      </c>
      <c r="AA318">
        <v>17.043098449707031</v>
      </c>
      <c r="AB318">
        <v>16.50849723815918</v>
      </c>
      <c r="AC318">
        <v>15.75889778137207</v>
      </c>
      <c r="AD318">
        <v>15.413562774658203</v>
      </c>
      <c r="AE318">
        <v>14.7408447265625</v>
      </c>
      <c r="AF318">
        <v>14.117219924926758</v>
      </c>
      <c r="AG318">
        <v>13.44307804107666</v>
      </c>
      <c r="AH318">
        <v>12.902323722839355</v>
      </c>
      <c r="AI318">
        <v>12.220577239990234</v>
      </c>
      <c r="AJ318">
        <v>11.59542179107666</v>
      </c>
      <c r="AK318">
        <v>10.996982574462891</v>
      </c>
      <c r="AL318">
        <v>10.394941329956055</v>
      </c>
      <c r="AM318">
        <v>9.6971540451049805</v>
      </c>
    </row>
    <row r="319" spans="3:55" x14ac:dyDescent="0.25">
      <c r="D319">
        <v>5000</v>
      </c>
      <c r="T319">
        <v>5.3552355766296387</v>
      </c>
      <c r="U319">
        <v>10.485224723815918</v>
      </c>
      <c r="V319">
        <v>15.286016464233398</v>
      </c>
      <c r="W319">
        <v>16.379657745361328</v>
      </c>
      <c r="X319">
        <v>16.859018325805664</v>
      </c>
      <c r="Y319">
        <v>17.202625274658203</v>
      </c>
      <c r="Z319">
        <v>17.373275756835938</v>
      </c>
      <c r="AA319">
        <v>17.14300537109375</v>
      </c>
      <c r="AB319">
        <v>16.54456901550293</v>
      </c>
      <c r="AC319">
        <v>16.167943954467773</v>
      </c>
      <c r="AD319">
        <v>15.703392028808594</v>
      </c>
      <c r="AE319">
        <v>14.915760040283203</v>
      </c>
      <c r="AF319">
        <v>14.468034744262695</v>
      </c>
      <c r="AG319">
        <v>13.699047088623047</v>
      </c>
      <c r="AH319">
        <v>13.213152885437012</v>
      </c>
      <c r="AI319">
        <v>12.610713958740234</v>
      </c>
      <c r="AJ319">
        <v>11.902095794677734</v>
      </c>
      <c r="AK319">
        <v>11.327236175537109</v>
      </c>
      <c r="AL319">
        <v>10.738603591918945</v>
      </c>
      <c r="AM319">
        <v>10.152434349060059</v>
      </c>
      <c r="AN319">
        <v>9.5975942611694336</v>
      </c>
    </row>
    <row r="320" spans="3:55" x14ac:dyDescent="0.25">
      <c r="D320">
        <v>6000</v>
      </c>
      <c r="T320">
        <v>4.4441800117492676</v>
      </c>
      <c r="U320">
        <v>8.6523714065551758</v>
      </c>
      <c r="V320">
        <v>14.50200080871582</v>
      </c>
      <c r="W320">
        <v>16.003768920898438</v>
      </c>
      <c r="X320">
        <v>16.835704803466797</v>
      </c>
      <c r="Y320">
        <v>17.25334358215332</v>
      </c>
      <c r="Z320">
        <v>17.293664932250977</v>
      </c>
      <c r="AA320">
        <v>17.287702560424805</v>
      </c>
      <c r="AB320">
        <v>16.94556999206543</v>
      </c>
      <c r="AC320">
        <v>16.480749130249023</v>
      </c>
      <c r="AD320">
        <v>15.824762344360352</v>
      </c>
      <c r="AE320">
        <v>15.368566513061523</v>
      </c>
      <c r="AF320">
        <v>14.71995735168457</v>
      </c>
      <c r="AG320">
        <v>14.125480651855469</v>
      </c>
      <c r="AH320">
        <v>13.460859298706055</v>
      </c>
      <c r="AI320">
        <v>12.960037231445313</v>
      </c>
      <c r="AJ320">
        <v>12.270087242126465</v>
      </c>
      <c r="AK320">
        <v>11.64411735534668</v>
      </c>
      <c r="AL320">
        <v>11.073458671569824</v>
      </c>
      <c r="AM320">
        <v>10.496332168579102</v>
      </c>
      <c r="AN320">
        <v>9.9272727966308594</v>
      </c>
    </row>
    <row r="321" spans="4:45" x14ac:dyDescent="0.25">
      <c r="D321">
        <v>7000</v>
      </c>
      <c r="U321">
        <v>7.0828871726989746</v>
      </c>
      <c r="V321">
        <v>12.867597579956055</v>
      </c>
      <c r="W321">
        <v>15.62221622467041</v>
      </c>
      <c r="X321">
        <v>16.460256576538086</v>
      </c>
      <c r="Y321">
        <v>17.059894561767578</v>
      </c>
      <c r="Z321">
        <v>17.409519195556641</v>
      </c>
      <c r="AA321">
        <v>17.46357536315918</v>
      </c>
      <c r="AB321">
        <v>17.152101516723633</v>
      </c>
      <c r="AC321">
        <v>16.571601867675781</v>
      </c>
      <c r="AD321">
        <v>16.116687774658203</v>
      </c>
      <c r="AE321">
        <v>15.674824714660645</v>
      </c>
      <c r="AF321">
        <v>14.906087875366211</v>
      </c>
      <c r="AG321">
        <v>14.470707893371582</v>
      </c>
      <c r="AH321">
        <v>13.746902465820313</v>
      </c>
      <c r="AI321">
        <v>13.259922981262207</v>
      </c>
      <c r="AJ321">
        <v>12.653735160827637</v>
      </c>
      <c r="AK321">
        <v>11.947164535522461</v>
      </c>
      <c r="AL321">
        <v>11.400381088256836</v>
      </c>
      <c r="AM321">
        <v>10.837346076965332</v>
      </c>
      <c r="AN321">
        <v>10.275483131408691</v>
      </c>
      <c r="AO321">
        <v>9.5511369705200195</v>
      </c>
    </row>
    <row r="322" spans="4:45" x14ac:dyDescent="0.25">
      <c r="D322">
        <v>8000</v>
      </c>
      <c r="U322">
        <v>5.8019709587097168</v>
      </c>
      <c r="V322">
        <v>10.890885353088379</v>
      </c>
      <c r="W322">
        <v>15.29181957244873</v>
      </c>
      <c r="X322">
        <v>16.305976867675781</v>
      </c>
      <c r="Y322">
        <v>16.950300216674805</v>
      </c>
      <c r="Z322">
        <v>17.045106887817383</v>
      </c>
      <c r="AA322">
        <v>17.150062561035156</v>
      </c>
      <c r="AB322">
        <v>17.126420974731445</v>
      </c>
      <c r="AC322">
        <v>16.863441467285156</v>
      </c>
      <c r="AD322">
        <v>16.471445083618164</v>
      </c>
      <c r="AE322">
        <v>15.811980247497559</v>
      </c>
      <c r="AF322">
        <v>15.365204811096191</v>
      </c>
      <c r="AG322">
        <v>14.718791961669922</v>
      </c>
      <c r="AH322">
        <v>14.168281555175781</v>
      </c>
      <c r="AI322">
        <v>13.500887870788574</v>
      </c>
      <c r="AJ322">
        <v>12.994587898254395</v>
      </c>
      <c r="AK322">
        <v>12.351123809814453</v>
      </c>
      <c r="AL322">
        <v>11.715755462646484</v>
      </c>
      <c r="AM322">
        <v>11.172360420227051</v>
      </c>
      <c r="AN322">
        <v>10.622440338134766</v>
      </c>
      <c r="AO322">
        <v>9.9667720794677734</v>
      </c>
    </row>
    <row r="323" spans="4:45" x14ac:dyDescent="0.25">
      <c r="D323">
        <v>9000</v>
      </c>
      <c r="V323">
        <v>8.9760017395019531</v>
      </c>
      <c r="W323">
        <v>14.50605297088623</v>
      </c>
      <c r="X323">
        <v>16.032342910766602</v>
      </c>
      <c r="Y323">
        <v>16.673969268798828</v>
      </c>
      <c r="Z323">
        <v>17.256675720214844</v>
      </c>
      <c r="AA323">
        <v>17.436607360839844</v>
      </c>
      <c r="AB323">
        <v>17.468912124633789</v>
      </c>
      <c r="AC323">
        <v>17.145048141479492</v>
      </c>
      <c r="AD323">
        <v>16.600185394287109</v>
      </c>
      <c r="AE323">
        <v>16.082529067993164</v>
      </c>
      <c r="AF323">
        <v>15.673458099365234</v>
      </c>
      <c r="AG323">
        <v>14.952335357666016</v>
      </c>
      <c r="AH323">
        <v>14.503912925720215</v>
      </c>
      <c r="AI323">
        <v>13.848146438598633</v>
      </c>
      <c r="AJ323">
        <v>13.28256893157959</v>
      </c>
      <c r="AK323">
        <v>12.725347518920898</v>
      </c>
      <c r="AL323">
        <v>12.059041023254395</v>
      </c>
      <c r="AM323">
        <v>11.497875213623047</v>
      </c>
      <c r="AN323">
        <v>10.965150833129883</v>
      </c>
      <c r="AO323">
        <v>10.314338684082031</v>
      </c>
      <c r="AP323">
        <v>9.6830539703369141</v>
      </c>
    </row>
    <row r="324" spans="4:45" x14ac:dyDescent="0.25">
      <c r="D324">
        <v>10000</v>
      </c>
      <c r="V324">
        <v>7.3193931579589844</v>
      </c>
      <c r="W324">
        <v>12.833183288574219</v>
      </c>
      <c r="X324">
        <v>15.447189331054688</v>
      </c>
      <c r="Y324">
        <v>16.533292770385742</v>
      </c>
      <c r="Z324">
        <v>16.744117736816406</v>
      </c>
      <c r="AA324">
        <v>17.215593338012695</v>
      </c>
      <c r="AB324">
        <v>17.315877914428711</v>
      </c>
      <c r="AC324">
        <v>17.121597290039063</v>
      </c>
      <c r="AD324">
        <v>16.838918685913086</v>
      </c>
      <c r="AE324">
        <v>16.455350875854492</v>
      </c>
      <c r="AF324">
        <v>15.812540054321289</v>
      </c>
      <c r="AG324">
        <v>15.411359786987305</v>
      </c>
      <c r="AH324">
        <v>14.747780799865723</v>
      </c>
      <c r="AI324">
        <v>14.266891479492188</v>
      </c>
      <c r="AJ324">
        <v>13.50930118560791</v>
      </c>
      <c r="AK324">
        <v>13.055105209350586</v>
      </c>
      <c r="AL324">
        <v>12.46375846862793</v>
      </c>
      <c r="AM324">
        <v>11.814525604248047</v>
      </c>
      <c r="AN324">
        <v>11.300210952758789</v>
      </c>
      <c r="AO324">
        <v>10.657342910766602</v>
      </c>
      <c r="AP324">
        <v>10.026496887207031</v>
      </c>
    </row>
    <row r="325" spans="4:45" x14ac:dyDescent="0.25">
      <c r="D325">
        <v>11000</v>
      </c>
      <c r="V325">
        <v>5.9651484489440918</v>
      </c>
      <c r="W325">
        <v>10.810006141662598</v>
      </c>
      <c r="X325">
        <v>15.231024742126465</v>
      </c>
      <c r="Y325">
        <v>16.073156356811523</v>
      </c>
      <c r="Z325">
        <v>16.927988052368164</v>
      </c>
      <c r="AA325">
        <v>17.266548156738281</v>
      </c>
      <c r="AB325">
        <v>17.399448394775391</v>
      </c>
      <c r="AC325">
        <v>17.461416244506836</v>
      </c>
      <c r="AD325">
        <v>17.160161972045898</v>
      </c>
      <c r="AE325">
        <v>16.591590881347656</v>
      </c>
      <c r="AF325">
        <v>16.104446411132813</v>
      </c>
      <c r="AG325">
        <v>15.701980590820313</v>
      </c>
      <c r="AH325">
        <v>15.056151390075684</v>
      </c>
      <c r="AI325">
        <v>14.598154067993164</v>
      </c>
      <c r="AJ325">
        <v>13.93079662322998</v>
      </c>
      <c r="AK325">
        <v>13.32158374786377</v>
      </c>
      <c r="AL325">
        <v>12.82016658782959</v>
      </c>
      <c r="AM325">
        <v>12.206134796142578</v>
      </c>
      <c r="AN325">
        <v>11.620495796203613</v>
      </c>
      <c r="AO325">
        <v>10.993468284606934</v>
      </c>
      <c r="AP325">
        <v>10.369688034057617</v>
      </c>
    </row>
    <row r="326" spans="4:45" x14ac:dyDescent="0.25">
      <c r="D326">
        <v>12000</v>
      </c>
      <c r="W326">
        <v>8.863677978515625</v>
      </c>
      <c r="X326">
        <v>14.194369316101074</v>
      </c>
      <c r="Y326">
        <v>15.962759017944336</v>
      </c>
      <c r="Z326">
        <v>16.397060394287109</v>
      </c>
      <c r="AA326">
        <v>17.029376983642578</v>
      </c>
      <c r="AB326">
        <v>17.347585678100586</v>
      </c>
      <c r="AC326">
        <v>17.394418716430664</v>
      </c>
      <c r="AD326">
        <v>17.158515930175781</v>
      </c>
      <c r="AE326">
        <v>16.812250137329102</v>
      </c>
      <c r="AF326">
        <v>16.464546203613281</v>
      </c>
      <c r="AG326">
        <v>15.811230659484863</v>
      </c>
      <c r="AH326">
        <v>15.482003211975098</v>
      </c>
      <c r="AI326">
        <v>14.830133438110352</v>
      </c>
      <c r="AJ326">
        <v>14.325404167175293</v>
      </c>
      <c r="AK326">
        <v>13.592473983764648</v>
      </c>
      <c r="AL326">
        <v>13.124530792236328</v>
      </c>
      <c r="AM326">
        <v>12.589447975158691</v>
      </c>
      <c r="AN326">
        <v>11.964773178100586</v>
      </c>
      <c r="AO326">
        <v>11.320107460021973</v>
      </c>
      <c r="AP326">
        <v>10.70866584777832</v>
      </c>
      <c r="AQ326">
        <v>9.9217805862426758</v>
      </c>
    </row>
    <row r="327" spans="4:45" x14ac:dyDescent="0.25">
      <c r="D327">
        <v>13000</v>
      </c>
      <c r="W327">
        <v>7.1931614875793457</v>
      </c>
      <c r="X327">
        <v>12.353044509887695</v>
      </c>
      <c r="Y327">
        <v>15.279727935791016</v>
      </c>
      <c r="Z327">
        <v>16.415559768676758</v>
      </c>
      <c r="AA327">
        <v>16.968130111694336</v>
      </c>
      <c r="AB327">
        <v>17.21006965637207</v>
      </c>
      <c r="AC327">
        <v>17.358705520629883</v>
      </c>
      <c r="AD327">
        <v>17.468111038208008</v>
      </c>
      <c r="AE327">
        <v>17.139186859130859</v>
      </c>
      <c r="AF327">
        <v>16.584926605224609</v>
      </c>
      <c r="AG327">
        <v>16.16911506652832</v>
      </c>
      <c r="AH327">
        <v>15.739863395690918</v>
      </c>
      <c r="AI327">
        <v>15.194181442260742</v>
      </c>
      <c r="AJ327">
        <v>14.629637718200684</v>
      </c>
      <c r="AK327">
        <v>14.038687705993652</v>
      </c>
      <c r="AL327">
        <v>13.366588592529297</v>
      </c>
      <c r="AM327">
        <v>12.925713539123535</v>
      </c>
      <c r="AN327">
        <v>12.371394157409668</v>
      </c>
      <c r="AO327">
        <v>11.633272171020508</v>
      </c>
      <c r="AP327">
        <v>11.039976119995117</v>
      </c>
      <c r="AQ327">
        <v>10.258475303649902</v>
      </c>
    </row>
    <row r="328" spans="4:45" x14ac:dyDescent="0.25">
      <c r="D328">
        <v>14000</v>
      </c>
      <c r="X328">
        <v>10.277081489562988</v>
      </c>
      <c r="Y328">
        <v>14.967097282409668</v>
      </c>
      <c r="Z328">
        <v>16.034267425537109</v>
      </c>
      <c r="AA328">
        <v>16.573394775390625</v>
      </c>
      <c r="AB328">
        <v>17.164995193481445</v>
      </c>
      <c r="AC328">
        <v>17.407386779785156</v>
      </c>
      <c r="AD328">
        <v>17.438423156738281</v>
      </c>
      <c r="AE328">
        <v>17.134332656860352</v>
      </c>
      <c r="AF328">
        <v>16.838527679443359</v>
      </c>
      <c r="AG328">
        <v>16.497961044311523</v>
      </c>
      <c r="AH328">
        <v>15.80781364440918</v>
      </c>
      <c r="AI328">
        <v>15.581731796264648</v>
      </c>
      <c r="AJ328">
        <v>14.828273773193359</v>
      </c>
      <c r="AK328">
        <v>14.403770446777344</v>
      </c>
      <c r="AL328">
        <v>13.750349044799805</v>
      </c>
      <c r="AM328">
        <v>13.204094886779785</v>
      </c>
      <c r="AN328">
        <v>12.735628128051758</v>
      </c>
      <c r="AO328">
        <v>12.038044929504395</v>
      </c>
      <c r="AP328">
        <v>11.359757423400879</v>
      </c>
      <c r="AQ328">
        <v>10.589667320251465</v>
      </c>
      <c r="AR328">
        <v>9.6827116012573242</v>
      </c>
    </row>
    <row r="329" spans="4:45" x14ac:dyDescent="0.25">
      <c r="D329">
        <v>15000</v>
      </c>
      <c r="X329">
        <v>8.3577957153320313</v>
      </c>
      <c r="Y329">
        <v>13.527214050292969</v>
      </c>
      <c r="Z329">
        <v>15.513394355773926</v>
      </c>
      <c r="AA329">
        <v>16.529611587524414</v>
      </c>
      <c r="AB329">
        <v>16.940542221069336</v>
      </c>
      <c r="AC329">
        <v>17.176338195800781</v>
      </c>
      <c r="AD329">
        <v>17.367715835571289</v>
      </c>
      <c r="AE329">
        <v>17.457637786865234</v>
      </c>
      <c r="AF329">
        <v>17.139842987060547</v>
      </c>
      <c r="AG329">
        <v>16.580032348632813</v>
      </c>
      <c r="AH329">
        <v>16.275146484375</v>
      </c>
      <c r="AI329">
        <v>15.789159774780273</v>
      </c>
      <c r="AJ329">
        <v>15.283512115478516</v>
      </c>
      <c r="AK329">
        <v>14.67307186126709</v>
      </c>
      <c r="AL329">
        <v>14.169773101806641</v>
      </c>
      <c r="AM329">
        <v>13.474246025085449</v>
      </c>
      <c r="AN329">
        <v>13.046211242675781</v>
      </c>
      <c r="AO329">
        <v>12.424037933349609</v>
      </c>
      <c r="AP329">
        <v>11.730835914611816</v>
      </c>
      <c r="AQ329">
        <v>10.911738395690918</v>
      </c>
      <c r="AR329">
        <v>10.015140533447266</v>
      </c>
    </row>
    <row r="330" spans="4:45" x14ac:dyDescent="0.25">
      <c r="D330">
        <v>16000</v>
      </c>
      <c r="X330">
        <v>6.7477898597717285</v>
      </c>
      <c r="Y330">
        <v>11.503952026367188</v>
      </c>
      <c r="Z330">
        <v>15.261932373046875</v>
      </c>
      <c r="AA330">
        <v>15.922891616821289</v>
      </c>
      <c r="AB330">
        <v>16.743932723999023</v>
      </c>
      <c r="AC330">
        <v>17.229047775268555</v>
      </c>
      <c r="AD330">
        <v>17.441562652587891</v>
      </c>
      <c r="AE330">
        <v>17.402681350708008</v>
      </c>
      <c r="AF330">
        <v>17.092952728271484</v>
      </c>
      <c r="AG330">
        <v>16.9078369140625</v>
      </c>
      <c r="AH330">
        <v>16.545154571533203</v>
      </c>
      <c r="AI330">
        <v>15.954041481018066</v>
      </c>
      <c r="AJ330">
        <v>15.609874725341797</v>
      </c>
      <c r="AK330">
        <v>14.949540138244629</v>
      </c>
      <c r="AL330">
        <v>14.492325782775879</v>
      </c>
      <c r="AM330">
        <v>13.929243087768555</v>
      </c>
      <c r="AN330">
        <v>13.291055679321289</v>
      </c>
      <c r="AO330">
        <v>12.758143424987793</v>
      </c>
      <c r="AP330">
        <v>12.12852954864502</v>
      </c>
      <c r="AQ330">
        <v>11.257777214050293</v>
      </c>
      <c r="AR330">
        <v>10.343084335327148</v>
      </c>
    </row>
    <row r="331" spans="4:45" x14ac:dyDescent="0.25">
      <c r="D331">
        <v>17000</v>
      </c>
      <c r="Y331">
        <v>9.4364309310913086</v>
      </c>
      <c r="Z331">
        <v>14.226263999938965</v>
      </c>
      <c r="AA331">
        <v>15.800748825073242</v>
      </c>
      <c r="AB331">
        <v>16.54698371887207</v>
      </c>
      <c r="AC331">
        <v>16.91792106628418</v>
      </c>
      <c r="AD331">
        <v>17.186920166015625</v>
      </c>
      <c r="AE331">
        <v>17.372737884521484</v>
      </c>
      <c r="AF331">
        <v>17.464122772216797</v>
      </c>
      <c r="AG331">
        <v>17.141517639160156</v>
      </c>
      <c r="AH331">
        <v>16.516754150390625</v>
      </c>
      <c r="AI331">
        <v>16.382654190063477</v>
      </c>
      <c r="AJ331">
        <v>15.744606018066406</v>
      </c>
      <c r="AK331">
        <v>15.377963066101074</v>
      </c>
      <c r="AL331">
        <v>14.707662582397461</v>
      </c>
      <c r="AM331">
        <v>14.301102638244629</v>
      </c>
      <c r="AN331">
        <v>13.697834968566895</v>
      </c>
      <c r="AO331">
        <v>13.032500267028809</v>
      </c>
      <c r="AP331">
        <v>12.48233699798584</v>
      </c>
      <c r="AQ331">
        <v>11.659316062927246</v>
      </c>
      <c r="AR331">
        <v>10.665213584899902</v>
      </c>
    </row>
    <row r="332" spans="4:45" x14ac:dyDescent="0.25">
      <c r="D332">
        <v>18000</v>
      </c>
      <c r="Y332">
        <v>7.6200189590454102</v>
      </c>
      <c r="Z332">
        <v>12.329319000244141</v>
      </c>
      <c r="AA332">
        <v>15.329554557800293</v>
      </c>
      <c r="AB332">
        <v>16.060564041137695</v>
      </c>
      <c r="AC332">
        <v>16.80833625793457</v>
      </c>
      <c r="AD332">
        <v>17.246482849121094</v>
      </c>
      <c r="AE332">
        <v>17.398782730102539</v>
      </c>
      <c r="AF332">
        <v>17.326934814453125</v>
      </c>
      <c r="AG332">
        <v>17.161603927612305</v>
      </c>
      <c r="AH332">
        <v>16.994308471679688</v>
      </c>
      <c r="AI332">
        <v>16.544866561889648</v>
      </c>
      <c r="AJ332">
        <v>16.083122253417969</v>
      </c>
      <c r="AK332">
        <v>15.626306533813477</v>
      </c>
      <c r="AL332">
        <v>15.116109848022461</v>
      </c>
      <c r="AM332">
        <v>14.571687698364258</v>
      </c>
      <c r="AN332">
        <v>14.103564262390137</v>
      </c>
      <c r="AO332">
        <v>13.325995445251465</v>
      </c>
      <c r="AP332">
        <v>12.780838012695313</v>
      </c>
      <c r="AQ332">
        <v>12.017468452453613</v>
      </c>
      <c r="AR332">
        <v>11.05124568939209</v>
      </c>
      <c r="AS332">
        <v>9.7465286254882813</v>
      </c>
    </row>
    <row r="333" spans="4:45" x14ac:dyDescent="0.25">
      <c r="D333">
        <v>19000</v>
      </c>
      <c r="Z333">
        <v>10.190893173217773</v>
      </c>
      <c r="AA333">
        <v>14.610321044921875</v>
      </c>
      <c r="AB333">
        <v>15.913884162902832</v>
      </c>
      <c r="AC333">
        <v>16.551357269287109</v>
      </c>
      <c r="AD333">
        <v>16.942251205444336</v>
      </c>
      <c r="AE333">
        <v>17.220817565917969</v>
      </c>
      <c r="AF333">
        <v>17.408851623535156</v>
      </c>
      <c r="AG333">
        <v>17.468055725097656</v>
      </c>
      <c r="AH333">
        <v>17.129091262817383</v>
      </c>
      <c r="AI333">
        <v>16.715463638305664</v>
      </c>
      <c r="AJ333">
        <v>16.413244247436523</v>
      </c>
      <c r="AK333">
        <v>15.733404159545898</v>
      </c>
      <c r="AL333">
        <v>15.461896896362305</v>
      </c>
      <c r="AM333">
        <v>14.842162132263184</v>
      </c>
      <c r="AN333">
        <v>14.404495239257813</v>
      </c>
      <c r="AO333">
        <v>13.765773773193359</v>
      </c>
      <c r="AP333">
        <v>12.977380752563477</v>
      </c>
      <c r="AQ333">
        <v>12.320186614990234</v>
      </c>
      <c r="AR333">
        <v>11.400718688964844</v>
      </c>
      <c r="AS333">
        <v>10.111527442932129</v>
      </c>
    </row>
    <row r="334" spans="4:45" x14ac:dyDescent="0.25">
      <c r="D334">
        <v>20000</v>
      </c>
      <c r="Z334">
        <v>8.2288551330566406</v>
      </c>
      <c r="AA334">
        <v>12.841763496398926</v>
      </c>
      <c r="AB334">
        <v>15.328182220458984</v>
      </c>
      <c r="AC334">
        <v>16.124082565307617</v>
      </c>
      <c r="AD334">
        <v>16.806425094604492</v>
      </c>
      <c r="AE334">
        <v>17.195459365844727</v>
      </c>
      <c r="AF334">
        <v>17.314945220947266</v>
      </c>
      <c r="AG334">
        <v>17.193857192993164</v>
      </c>
      <c r="AH334">
        <v>17.308664321899414</v>
      </c>
      <c r="AI334">
        <v>17.080854415893555</v>
      </c>
      <c r="AJ334">
        <v>16.462377548217773</v>
      </c>
      <c r="AK334">
        <v>16.210233688354492</v>
      </c>
      <c r="AL334">
        <v>15.619000434875488</v>
      </c>
      <c r="AM334">
        <v>15.280030250549316</v>
      </c>
      <c r="AN334">
        <v>14.582938194274902</v>
      </c>
      <c r="AO334">
        <v>14.111584663391113</v>
      </c>
      <c r="AP334">
        <v>13.44803524017334</v>
      </c>
      <c r="AQ334">
        <v>12.554091453552246</v>
      </c>
      <c r="AR334">
        <v>11.691231727600098</v>
      </c>
      <c r="AS334">
        <v>10.442368507385254</v>
      </c>
    </row>
    <row r="335" spans="4:45" x14ac:dyDescent="0.25">
      <c r="D335">
        <v>21000</v>
      </c>
      <c r="AA335">
        <v>10.673043251037598</v>
      </c>
      <c r="AB335">
        <v>14.777958869934082</v>
      </c>
      <c r="AC335">
        <v>15.937806129455566</v>
      </c>
      <c r="AD335">
        <v>16.568452835083008</v>
      </c>
      <c r="AE335">
        <v>16.965229034423828</v>
      </c>
      <c r="AF335">
        <v>17.278484344482422</v>
      </c>
      <c r="AG335">
        <v>17.43989372253418</v>
      </c>
      <c r="AH335">
        <v>17.431501388549805</v>
      </c>
      <c r="AI335">
        <v>17.079185485839844</v>
      </c>
      <c r="AJ335">
        <v>16.863201141357422</v>
      </c>
      <c r="AK335">
        <v>16.41077995300293</v>
      </c>
      <c r="AL335">
        <v>15.957021713256836</v>
      </c>
      <c r="AM335">
        <v>15.519418716430664</v>
      </c>
      <c r="AN335">
        <v>15.076602935791016</v>
      </c>
      <c r="AO335">
        <v>14.335760116577148</v>
      </c>
      <c r="AP335">
        <v>13.821966171264648</v>
      </c>
      <c r="AQ335">
        <v>12.914661407470703</v>
      </c>
      <c r="AR335">
        <v>11.909445762634277</v>
      </c>
      <c r="AS335">
        <v>10.709743499755859</v>
      </c>
    </row>
    <row r="336" spans="4:45" x14ac:dyDescent="0.25">
      <c r="D336">
        <v>22000</v>
      </c>
      <c r="AA336">
        <v>8.6147193908691406</v>
      </c>
      <c r="AB336">
        <v>13.070698738098145</v>
      </c>
      <c r="AC336">
        <v>15.329314231872559</v>
      </c>
      <c r="AD336">
        <v>16.041921615600586</v>
      </c>
      <c r="AE336">
        <v>16.689044952392578</v>
      </c>
      <c r="AF336">
        <v>17.071550369262695</v>
      </c>
      <c r="AG336">
        <v>17.146404266357422</v>
      </c>
      <c r="AH336">
        <v>17.215986251831055</v>
      </c>
      <c r="AI336">
        <v>17.421257019042969</v>
      </c>
      <c r="AJ336">
        <v>17.074275970458984</v>
      </c>
      <c r="AK336">
        <v>16.570598602294922</v>
      </c>
      <c r="AL336">
        <v>16.292028427124023</v>
      </c>
      <c r="AM336">
        <v>15.68148136138916</v>
      </c>
      <c r="AN336">
        <v>15.394112586975098</v>
      </c>
      <c r="AO336">
        <v>14.701868057250977</v>
      </c>
      <c r="AP336">
        <v>14.086844444274902</v>
      </c>
      <c r="AQ336">
        <v>13.302836418151855</v>
      </c>
      <c r="AR336">
        <v>12.222561836242676</v>
      </c>
      <c r="AS336">
        <v>10.903290748596191</v>
      </c>
    </row>
    <row r="337" spans="4:45" x14ac:dyDescent="0.25">
      <c r="D337">
        <v>23000</v>
      </c>
      <c r="AB337">
        <v>10.878311157226563</v>
      </c>
      <c r="AC337">
        <v>14.787111282348633</v>
      </c>
      <c r="AD337">
        <v>15.904866218566895</v>
      </c>
      <c r="AE337">
        <v>16.555500030517578</v>
      </c>
      <c r="AF337">
        <v>16.979938507080078</v>
      </c>
      <c r="AG337">
        <v>17.304838180541992</v>
      </c>
      <c r="AH337">
        <v>17.406099319458008</v>
      </c>
      <c r="AI337">
        <v>17.305591583251953</v>
      </c>
      <c r="AJ337">
        <v>17.165666580200195</v>
      </c>
      <c r="AK337">
        <v>16.966461181640625</v>
      </c>
      <c r="AL337">
        <v>16.334051132202148</v>
      </c>
      <c r="AM337">
        <v>16.130178451538086</v>
      </c>
      <c r="AN337">
        <v>15.505142211914063</v>
      </c>
      <c r="AO337">
        <v>15.083873748779297</v>
      </c>
      <c r="AP337">
        <v>14.343218803405762</v>
      </c>
      <c r="AQ337">
        <v>13.582982063293457</v>
      </c>
      <c r="AR337">
        <v>12.610445022583008</v>
      </c>
      <c r="AS337">
        <v>11.126351356506348</v>
      </c>
    </row>
    <row r="338" spans="4:45" x14ac:dyDescent="0.25">
      <c r="D338">
        <v>24000</v>
      </c>
      <c r="AB338">
        <v>8.7632102966308594</v>
      </c>
      <c r="AC338">
        <v>13.048688888549805</v>
      </c>
      <c r="AD338">
        <v>15.35157585144043</v>
      </c>
      <c r="AE338">
        <v>15.932123184204102</v>
      </c>
      <c r="AF338">
        <v>16.458236694335938</v>
      </c>
      <c r="AG338">
        <v>16.832712173461914</v>
      </c>
      <c r="AH338">
        <v>17.129119873046875</v>
      </c>
      <c r="AI338">
        <v>17.391532897949219</v>
      </c>
      <c r="AJ338">
        <v>17.383602142333984</v>
      </c>
      <c r="AK338">
        <v>16.984901428222656</v>
      </c>
      <c r="AL338">
        <v>16.790216445922852</v>
      </c>
      <c r="AM338">
        <v>16.295160293579102</v>
      </c>
      <c r="AN338">
        <v>15.950370788574219</v>
      </c>
      <c r="AO338">
        <v>15.26939868927002</v>
      </c>
      <c r="AP338">
        <v>14.776174545288086</v>
      </c>
      <c r="AQ338">
        <v>13.757646560668945</v>
      </c>
      <c r="AR338">
        <v>12.886941909790039</v>
      </c>
      <c r="AS338">
        <v>11.486433029174805</v>
      </c>
    </row>
    <row r="339" spans="4:45" x14ac:dyDescent="0.25">
      <c r="D339">
        <v>25000</v>
      </c>
      <c r="AC339">
        <v>10.81956958770752</v>
      </c>
      <c r="AD339">
        <v>14.631232261657715</v>
      </c>
      <c r="AE339">
        <v>15.754278182983398</v>
      </c>
      <c r="AF339">
        <v>16.483299255371094</v>
      </c>
      <c r="AG339">
        <v>16.924793243408203</v>
      </c>
      <c r="AH339">
        <v>17.240764617919922</v>
      </c>
      <c r="AI339">
        <v>17.291217803955078</v>
      </c>
      <c r="AJ339">
        <v>17.11920166015625</v>
      </c>
      <c r="AK339">
        <v>17.299816131591797</v>
      </c>
      <c r="AL339">
        <v>16.978214263916016</v>
      </c>
      <c r="AM339">
        <v>16.574590682983398</v>
      </c>
      <c r="AN339">
        <v>16.242835998535156</v>
      </c>
      <c r="AO339">
        <v>15.612442970275879</v>
      </c>
      <c r="AP339">
        <v>15.027396202087402</v>
      </c>
      <c r="AQ339">
        <v>14.233782768249512</v>
      </c>
      <c r="AR339">
        <v>13.032795906066895</v>
      </c>
      <c r="AS339">
        <v>11.722444534301758</v>
      </c>
    </row>
    <row r="340" spans="4:45" x14ac:dyDescent="0.25">
      <c r="D340">
        <v>26000</v>
      </c>
      <c r="AC340">
        <v>8.67822265625</v>
      </c>
      <c r="AD340">
        <v>12.734768867492676</v>
      </c>
      <c r="AE340">
        <v>15.319644927978516</v>
      </c>
      <c r="AF340">
        <v>16.033548355102539</v>
      </c>
      <c r="AG340">
        <v>16.493747711181641</v>
      </c>
      <c r="AH340">
        <v>16.910181045532227</v>
      </c>
      <c r="AI340">
        <v>17.297760009765625</v>
      </c>
      <c r="AJ340">
        <v>17.397998809814453</v>
      </c>
      <c r="AK340">
        <v>17.178094863891602</v>
      </c>
      <c r="AL340">
        <v>17.101913452148438</v>
      </c>
      <c r="AM340">
        <v>16.904544830322266</v>
      </c>
      <c r="AN340">
        <v>16.340112686157227</v>
      </c>
      <c r="AO340">
        <v>15.986793518066406</v>
      </c>
      <c r="AP340">
        <v>15.283998489379883</v>
      </c>
      <c r="AQ340">
        <v>14.546379089355469</v>
      </c>
      <c r="AR340">
        <v>13.469915390014648</v>
      </c>
      <c r="AS340">
        <v>11.813597679138184</v>
      </c>
    </row>
    <row r="341" spans="4:45" x14ac:dyDescent="0.25">
      <c r="D341">
        <v>27000</v>
      </c>
      <c r="AD341">
        <v>10.431550025939941</v>
      </c>
      <c r="AE341">
        <v>14.290212631225586</v>
      </c>
      <c r="AF341">
        <v>15.431493759155273</v>
      </c>
      <c r="AG341">
        <v>16.254451751708984</v>
      </c>
      <c r="AH341">
        <v>16.68952751159668</v>
      </c>
      <c r="AI341">
        <v>16.941709518432617</v>
      </c>
      <c r="AJ341">
        <v>17.06544303894043</v>
      </c>
      <c r="AK341">
        <v>17.328527450561523</v>
      </c>
      <c r="AL341">
        <v>17.242853164672852</v>
      </c>
      <c r="AM341">
        <v>16.840164184570313</v>
      </c>
      <c r="AN341">
        <v>16.783964157104492</v>
      </c>
      <c r="AO341">
        <v>16.077924728393555</v>
      </c>
      <c r="AP341">
        <v>15.725567817687988</v>
      </c>
      <c r="AQ341">
        <v>14.657209396362305</v>
      </c>
      <c r="AR341">
        <v>13.770540237426758</v>
      </c>
      <c r="AS341">
        <v>12.135340690612793</v>
      </c>
    </row>
    <row r="342" spans="4:45" x14ac:dyDescent="0.25">
      <c r="D342">
        <v>28000</v>
      </c>
      <c r="AD342">
        <v>8.2936487197875977</v>
      </c>
      <c r="AE342">
        <v>12.210556983947754</v>
      </c>
      <c r="AF342">
        <v>15.15920352935791</v>
      </c>
      <c r="AG342">
        <v>15.993086814880371</v>
      </c>
      <c r="AH342">
        <v>16.549842834472656</v>
      </c>
      <c r="AI342">
        <v>16.952550888061523</v>
      </c>
      <c r="AJ342">
        <v>17.190114974975586</v>
      </c>
      <c r="AK342">
        <v>17.181417465209961</v>
      </c>
      <c r="AL342">
        <v>17.141176223754883</v>
      </c>
      <c r="AM342">
        <v>17.208084106445313</v>
      </c>
      <c r="AN342">
        <v>16.815849304199219</v>
      </c>
      <c r="AO342">
        <v>16.484622955322266</v>
      </c>
      <c r="AP342">
        <v>15.893885612487793</v>
      </c>
      <c r="AQ342">
        <v>15.136242866516113</v>
      </c>
      <c r="AR342">
        <v>13.869333267211914</v>
      </c>
      <c r="AS342">
        <v>12.361578941345215</v>
      </c>
    </row>
    <row r="343" spans="4:45" x14ac:dyDescent="0.25">
      <c r="D343">
        <v>29000</v>
      </c>
      <c r="AE343">
        <v>9.8777627944946289</v>
      </c>
      <c r="AF343">
        <v>13.711182594299316</v>
      </c>
      <c r="AG343">
        <v>15.299727439880371</v>
      </c>
      <c r="AH343">
        <v>15.952177047729492</v>
      </c>
      <c r="AI343">
        <v>16.445571899414063</v>
      </c>
      <c r="AJ343">
        <v>16.864179611206055</v>
      </c>
      <c r="AK343">
        <v>17.217372894287109</v>
      </c>
      <c r="AL343">
        <v>17.293888092041016</v>
      </c>
      <c r="AM343">
        <v>16.92213249206543</v>
      </c>
      <c r="AN343">
        <v>17.130441665649414</v>
      </c>
      <c r="AO343">
        <v>16.637067794799805</v>
      </c>
      <c r="AP343">
        <v>16.183319091796875</v>
      </c>
      <c r="AQ343">
        <v>15.34751033782959</v>
      </c>
      <c r="AR343">
        <v>14.294867515563965</v>
      </c>
      <c r="AS343">
        <v>12.340826034545898</v>
      </c>
    </row>
    <row r="344" spans="4:45" x14ac:dyDescent="0.25">
      <c r="D344">
        <v>30000</v>
      </c>
      <c r="AF344">
        <v>11.443830490112305</v>
      </c>
      <c r="AG344">
        <v>14.748004913330078</v>
      </c>
      <c r="AH344">
        <v>15.662964820861816</v>
      </c>
      <c r="AI344">
        <v>16.324308395385742</v>
      </c>
      <c r="AJ344">
        <v>16.655527114868164</v>
      </c>
      <c r="AK344">
        <v>16.757884979248047</v>
      </c>
      <c r="AL344">
        <v>17.095779418945313</v>
      </c>
      <c r="AM344">
        <v>17.306617736816406</v>
      </c>
      <c r="AN344">
        <v>17.098917007446289</v>
      </c>
      <c r="AO344">
        <v>16.812583923339844</v>
      </c>
      <c r="AP344">
        <v>16.433195114135742</v>
      </c>
      <c r="AQ344">
        <v>15.536532402038574</v>
      </c>
      <c r="AR344">
        <v>14.50355339050293</v>
      </c>
      <c r="AS344">
        <v>12.619526863098145</v>
      </c>
    </row>
    <row r="345" spans="4:45" x14ac:dyDescent="0.25">
      <c r="D345">
        <v>31000</v>
      </c>
      <c r="AF345">
        <v>9.1278238296508789</v>
      </c>
      <c r="AG345">
        <v>12.848224639892578</v>
      </c>
      <c r="AH345">
        <v>15.249361038208008</v>
      </c>
      <c r="AI345">
        <v>16.009914398193359</v>
      </c>
      <c r="AJ345">
        <v>16.503635406494141</v>
      </c>
      <c r="AK345">
        <v>16.841331481933594</v>
      </c>
      <c r="AL345">
        <v>16.996448516845703</v>
      </c>
      <c r="AM345">
        <v>16.916114807128906</v>
      </c>
      <c r="AN345">
        <v>17.237096786499023</v>
      </c>
      <c r="AO345">
        <v>16.939729690551758</v>
      </c>
      <c r="AP345">
        <v>16.489095687866211</v>
      </c>
      <c r="AQ345">
        <v>15.845580101013184</v>
      </c>
      <c r="AR345">
        <v>14.621079444885254</v>
      </c>
      <c r="AS345">
        <v>12.737480163574219</v>
      </c>
    </row>
    <row r="346" spans="4:45" x14ac:dyDescent="0.25">
      <c r="D346">
        <v>32000</v>
      </c>
      <c r="AG346">
        <v>10.45567512512207</v>
      </c>
      <c r="AH346">
        <v>13.968147277832031</v>
      </c>
      <c r="AI346">
        <v>15.28266429901123</v>
      </c>
      <c r="AJ346">
        <v>15.953621864318848</v>
      </c>
      <c r="AK346">
        <v>16.436798095703125</v>
      </c>
      <c r="AL346">
        <v>16.849943161010742</v>
      </c>
      <c r="AM346">
        <v>17.098163604736328</v>
      </c>
      <c r="AN346">
        <v>17.033615112304688</v>
      </c>
      <c r="AO346">
        <v>16.868986129760742</v>
      </c>
      <c r="AP346">
        <v>16.744430541992188</v>
      </c>
      <c r="AQ346">
        <v>15.689216613769531</v>
      </c>
      <c r="AR346">
        <v>14.851468086242676</v>
      </c>
      <c r="AS346">
        <v>12.66289234161377</v>
      </c>
    </row>
    <row r="347" spans="4:45" x14ac:dyDescent="0.25">
      <c r="D347">
        <v>33000</v>
      </c>
      <c r="AH347">
        <v>11.698999404907227</v>
      </c>
      <c r="AI347">
        <v>14.761777877807617</v>
      </c>
      <c r="AJ347">
        <v>15.491558074951172</v>
      </c>
      <c r="AK347">
        <v>16.068418502807617</v>
      </c>
      <c r="AL347">
        <v>16.322824478149414</v>
      </c>
      <c r="AM347">
        <v>16.742271423339844</v>
      </c>
      <c r="AN347">
        <v>17.110557556152344</v>
      </c>
      <c r="AO347">
        <v>16.867757797241211</v>
      </c>
      <c r="AP347">
        <v>16.495931625366211</v>
      </c>
      <c r="AQ347">
        <v>15.989553451538086</v>
      </c>
      <c r="AR347">
        <v>14.543351173400879</v>
      </c>
      <c r="AS347">
        <v>12.823339462280273</v>
      </c>
    </row>
    <row r="348" spans="4:45" x14ac:dyDescent="0.25">
      <c r="D348">
        <v>34000</v>
      </c>
      <c r="AI348">
        <v>12.840150833129883</v>
      </c>
      <c r="AJ348">
        <v>15.148833274841309</v>
      </c>
      <c r="AK348">
        <v>15.823397636413574</v>
      </c>
      <c r="AL348">
        <v>16.298030853271484</v>
      </c>
      <c r="AM348">
        <v>16.554012298583984</v>
      </c>
      <c r="AN348">
        <v>16.577934265136719</v>
      </c>
      <c r="AO348">
        <v>16.754428863525391</v>
      </c>
      <c r="AP348">
        <v>16.653043746948242</v>
      </c>
      <c r="AQ348">
        <v>15.597682952880859</v>
      </c>
      <c r="AR348">
        <v>14.830018043518066</v>
      </c>
      <c r="AS348">
        <v>12.384040832519531</v>
      </c>
    </row>
    <row r="349" spans="4:45" x14ac:dyDescent="0.25">
      <c r="D349">
        <v>35000</v>
      </c>
      <c r="AJ349">
        <v>13.683390617370605</v>
      </c>
      <c r="AK349">
        <v>15.257133483886719</v>
      </c>
      <c r="AL349">
        <v>15.930205345153809</v>
      </c>
      <c r="AM349">
        <v>16.384645462036133</v>
      </c>
      <c r="AN349">
        <v>16.665981292724609</v>
      </c>
      <c r="AO349">
        <v>16.42140007019043</v>
      </c>
      <c r="AP349">
        <v>16.385356903076172</v>
      </c>
      <c r="AQ349">
        <v>15.821745872497559</v>
      </c>
      <c r="AR349">
        <v>14.36854076385498</v>
      </c>
      <c r="AS349">
        <v>12.565971374511719</v>
      </c>
    </row>
    <row r="350" spans="4:45" x14ac:dyDescent="0.25">
      <c r="D350">
        <v>36000</v>
      </c>
      <c r="AL350">
        <v>15.162397384643555</v>
      </c>
      <c r="AM350">
        <v>15.870950698852539</v>
      </c>
      <c r="AN350">
        <v>16.360172271728516</v>
      </c>
      <c r="AO350">
        <v>16.344995498657227</v>
      </c>
      <c r="AP350">
        <v>16.224588394165039</v>
      </c>
      <c r="AQ350">
        <v>15.429512977600098</v>
      </c>
      <c r="AR350">
        <v>14.548405647277832</v>
      </c>
      <c r="AS350">
        <v>12.169978141784668</v>
      </c>
    </row>
    <row r="351" spans="4:45" x14ac:dyDescent="0.25">
      <c r="D351">
        <v>37000</v>
      </c>
      <c r="AN351">
        <v>15.726350784301758</v>
      </c>
      <c r="AO351">
        <v>15.858412742614746</v>
      </c>
      <c r="AP351">
        <v>15.98762035369873</v>
      </c>
      <c r="AQ351">
        <v>15.320427894592285</v>
      </c>
      <c r="AR351">
        <v>14.103400230407715</v>
      </c>
    </row>
    <row r="352" spans="4:45" x14ac:dyDescent="0.25">
      <c r="D352">
        <v>38000</v>
      </c>
    </row>
    <row r="353" spans="3:55" x14ac:dyDescent="0.25">
      <c r="D353">
        <v>39000</v>
      </c>
    </row>
    <row r="354" spans="3:55" x14ac:dyDescent="0.25">
      <c r="D354">
        <v>40000</v>
      </c>
    </row>
    <row r="355" spans="3:55" x14ac:dyDescent="0.25">
      <c r="D355">
        <v>41000</v>
      </c>
    </row>
    <row r="356" spans="3:55" x14ac:dyDescent="0.25">
      <c r="D356">
        <v>42000</v>
      </c>
    </row>
    <row r="357" spans="3:55" x14ac:dyDescent="0.25">
      <c r="D357">
        <v>43000</v>
      </c>
    </row>
    <row r="358" spans="3:55" x14ac:dyDescent="0.25">
      <c r="D358">
        <v>44000</v>
      </c>
    </row>
    <row r="359" spans="3:55" x14ac:dyDescent="0.25">
      <c r="D359">
        <v>45000</v>
      </c>
    </row>
    <row r="360" spans="3:55" x14ac:dyDescent="0.25">
      <c r="D360">
        <v>46000</v>
      </c>
    </row>
    <row r="361" spans="3:55" x14ac:dyDescent="0.25">
      <c r="D361">
        <v>47000</v>
      </c>
    </row>
    <row r="362" spans="3:55" x14ac:dyDescent="0.25">
      <c r="D362">
        <v>48000</v>
      </c>
    </row>
    <row r="363" spans="3:55" x14ac:dyDescent="0.25">
      <c r="D363">
        <v>49000</v>
      </c>
    </row>
    <row r="364" spans="3:55" x14ac:dyDescent="0.25">
      <c r="D364">
        <v>50000</v>
      </c>
    </row>
    <row r="365" spans="3:55" x14ac:dyDescent="0.25">
      <c r="C365" t="s">
        <v>140</v>
      </c>
      <c r="D365" t="s">
        <v>133</v>
      </c>
      <c r="E365">
        <v>0</v>
      </c>
      <c r="F365">
        <v>0.02</v>
      </c>
      <c r="G365">
        <v>0.04</v>
      </c>
      <c r="H365">
        <v>0.06</v>
      </c>
      <c r="I365">
        <v>0.08</v>
      </c>
      <c r="J365">
        <v>0.1</v>
      </c>
      <c r="K365">
        <v>0.12</v>
      </c>
      <c r="L365">
        <v>0.14000000000000001</v>
      </c>
      <c r="M365">
        <v>0.16</v>
      </c>
      <c r="N365">
        <v>0.18</v>
      </c>
      <c r="O365">
        <v>0.2</v>
      </c>
      <c r="P365">
        <v>0.22</v>
      </c>
      <c r="Q365">
        <v>0.24</v>
      </c>
      <c r="R365">
        <v>0.26</v>
      </c>
      <c r="S365">
        <v>0.28000000000000003</v>
      </c>
      <c r="T365">
        <v>0.3</v>
      </c>
      <c r="U365">
        <v>0.32</v>
      </c>
      <c r="V365">
        <v>0.34</v>
      </c>
      <c r="W365">
        <v>0.36</v>
      </c>
      <c r="X365">
        <v>0.38</v>
      </c>
      <c r="Y365">
        <v>0.4</v>
      </c>
      <c r="Z365">
        <v>0.42</v>
      </c>
      <c r="AA365">
        <v>0.44</v>
      </c>
      <c r="AB365">
        <v>0.46</v>
      </c>
      <c r="AC365">
        <v>0.48</v>
      </c>
      <c r="AD365">
        <v>0.5</v>
      </c>
      <c r="AE365">
        <v>0.52</v>
      </c>
      <c r="AF365">
        <v>0.54</v>
      </c>
      <c r="AG365">
        <v>0.56000000000000005</v>
      </c>
      <c r="AH365">
        <v>0.57999999999999996</v>
      </c>
      <c r="AI365">
        <v>0.6</v>
      </c>
      <c r="AJ365">
        <v>0.62</v>
      </c>
      <c r="AK365">
        <v>0.64</v>
      </c>
      <c r="AL365">
        <v>0.66</v>
      </c>
      <c r="AM365">
        <v>0.68</v>
      </c>
      <c r="AN365">
        <v>0.7</v>
      </c>
      <c r="AO365">
        <v>0.72</v>
      </c>
      <c r="AP365">
        <v>0.74</v>
      </c>
      <c r="AQ365">
        <v>0.76</v>
      </c>
      <c r="AR365">
        <v>0.78</v>
      </c>
      <c r="AS365">
        <v>0.8</v>
      </c>
      <c r="AT365">
        <v>0.82</v>
      </c>
      <c r="AU365">
        <v>0.84</v>
      </c>
      <c r="AV365">
        <v>0.86</v>
      </c>
      <c r="AW365">
        <v>0.88</v>
      </c>
      <c r="AX365">
        <v>0.9</v>
      </c>
      <c r="AY365">
        <v>0.92</v>
      </c>
      <c r="AZ365">
        <v>0.94</v>
      </c>
      <c r="BA365">
        <v>0.96</v>
      </c>
      <c r="BB365">
        <v>0.98</v>
      </c>
      <c r="BC365">
        <v>1</v>
      </c>
    </row>
    <row r="366" spans="3:55" x14ac:dyDescent="0.25">
      <c r="D366">
        <v>0</v>
      </c>
      <c r="R366">
        <v>0.86872392892837524</v>
      </c>
      <c r="S366">
        <v>1.9235877990722656</v>
      </c>
      <c r="T366">
        <v>3.9911472797393799</v>
      </c>
      <c r="U366">
        <v>5.1143651008605957</v>
      </c>
      <c r="V366">
        <v>5.7157001495361328</v>
      </c>
      <c r="W366">
        <v>6.175051212310791</v>
      </c>
      <c r="X366">
        <v>6.5273818969726563</v>
      </c>
      <c r="Y366">
        <v>6.8437399864196777</v>
      </c>
      <c r="Z366">
        <v>6.9383211135864258</v>
      </c>
      <c r="AA366">
        <v>7.0459561347961426</v>
      </c>
      <c r="AB366">
        <v>7.1559576988220215</v>
      </c>
      <c r="AC366">
        <v>7.1272830963134766</v>
      </c>
      <c r="AD366">
        <v>7.1164889335632324</v>
      </c>
      <c r="AE366">
        <v>7.0131793022155762</v>
      </c>
      <c r="AF366">
        <v>6.965242862701416</v>
      </c>
      <c r="AG366">
        <v>6.8012137413024902</v>
      </c>
      <c r="AH366">
        <v>6.694150447845459</v>
      </c>
      <c r="AI366">
        <v>6.5599498748779297</v>
      </c>
      <c r="AJ366">
        <v>6.3747110366821289</v>
      </c>
      <c r="AK366">
        <v>6.1568727493286133</v>
      </c>
    </row>
    <row r="367" spans="3:55" x14ac:dyDescent="0.25">
      <c r="D367">
        <v>1000</v>
      </c>
      <c r="S367">
        <v>1.5943479537963867</v>
      </c>
      <c r="T367">
        <v>3.4361114501953125</v>
      </c>
      <c r="U367">
        <v>4.8773384094238281</v>
      </c>
      <c r="V367">
        <v>5.5914087295532227</v>
      </c>
      <c r="W367">
        <v>6.182044506072998</v>
      </c>
      <c r="X367">
        <v>6.6066713333129883</v>
      </c>
      <c r="Y367">
        <v>6.9309778213500977</v>
      </c>
      <c r="Z367">
        <v>7.0931510925292969</v>
      </c>
      <c r="AA367">
        <v>7.2045822143554688</v>
      </c>
      <c r="AB367">
        <v>7.2365732192993164</v>
      </c>
      <c r="AC367">
        <v>7.2361268997192383</v>
      </c>
      <c r="AD367">
        <v>7.2775120735168457</v>
      </c>
      <c r="AE367">
        <v>7.1429166793823242</v>
      </c>
      <c r="AF367">
        <v>7.1287074089050293</v>
      </c>
      <c r="AG367">
        <v>7.0177531242370605</v>
      </c>
      <c r="AH367">
        <v>6.8692703247070313</v>
      </c>
      <c r="AI367">
        <v>6.7550621032714844</v>
      </c>
      <c r="AJ367">
        <v>6.5828642845153809</v>
      </c>
      <c r="AK367">
        <v>6.3528609275817871</v>
      </c>
      <c r="AL367">
        <v>6.1673369407653809</v>
      </c>
    </row>
    <row r="368" spans="3:55" x14ac:dyDescent="0.25">
      <c r="D368">
        <v>2000</v>
      </c>
      <c r="S368">
        <v>1.328336238861084</v>
      </c>
      <c r="T368">
        <v>2.8734302520751953</v>
      </c>
      <c r="U368">
        <v>4.8579974174499512</v>
      </c>
      <c r="V368">
        <v>5.5512785911560059</v>
      </c>
      <c r="W368">
        <v>6.0522475242614746</v>
      </c>
      <c r="X368">
        <v>6.5665626525878906</v>
      </c>
      <c r="Y368">
        <v>6.9757699966430664</v>
      </c>
      <c r="Z368">
        <v>7.1902832984924316</v>
      </c>
      <c r="AA368">
        <v>7.2749476432800293</v>
      </c>
      <c r="AB368">
        <v>7.2718892097473145</v>
      </c>
      <c r="AC368">
        <v>7.4228615760803223</v>
      </c>
      <c r="AD368">
        <v>7.3928804397583008</v>
      </c>
      <c r="AE368">
        <v>7.3596310615539551</v>
      </c>
      <c r="AF368">
        <v>7.264096736907959</v>
      </c>
      <c r="AG368">
        <v>7.2144556045532227</v>
      </c>
      <c r="AH368">
        <v>7.0531449317932129</v>
      </c>
      <c r="AI368">
        <v>6.945225715637207</v>
      </c>
      <c r="AJ368">
        <v>6.7892117500305176</v>
      </c>
      <c r="AK368">
        <v>6.6073317527770996</v>
      </c>
      <c r="AL368">
        <v>6.3660120964050293</v>
      </c>
    </row>
    <row r="369" spans="4:45" x14ac:dyDescent="0.25">
      <c r="D369">
        <v>3000</v>
      </c>
      <c r="S369">
        <v>1.1145507097244263</v>
      </c>
      <c r="T369">
        <v>2.369997501373291</v>
      </c>
      <c r="U369">
        <v>4.5294513702392578</v>
      </c>
      <c r="V369">
        <v>5.4408159255981445</v>
      </c>
      <c r="W369">
        <v>6.0701479911804199</v>
      </c>
      <c r="X369">
        <v>6.5241374969482422</v>
      </c>
      <c r="Y369">
        <v>6.8385591506958008</v>
      </c>
      <c r="Z369">
        <v>7.1675229072570801</v>
      </c>
      <c r="AA369">
        <v>7.3311066627502441</v>
      </c>
      <c r="AB369">
        <v>7.4779796600341797</v>
      </c>
      <c r="AC369">
        <v>7.5351781845092773</v>
      </c>
      <c r="AD369">
        <v>7.4894299507141113</v>
      </c>
      <c r="AE369">
        <v>7.5363082885742188</v>
      </c>
      <c r="AF369">
        <v>7.3930182456970215</v>
      </c>
      <c r="AG369">
        <v>7.3862428665161133</v>
      </c>
      <c r="AH369">
        <v>7.2789883613586426</v>
      </c>
      <c r="AI369">
        <v>7.1284241676330566</v>
      </c>
      <c r="AJ369">
        <v>6.9919743537902832</v>
      </c>
      <c r="AK369">
        <v>6.8238582611083984</v>
      </c>
      <c r="AL369">
        <v>6.6347994804382324</v>
      </c>
      <c r="AM369">
        <v>6.3853902816772461</v>
      </c>
    </row>
    <row r="370" spans="4:45" x14ac:dyDescent="0.25">
      <c r="D370">
        <v>4000</v>
      </c>
      <c r="S370">
        <v>0.94250452518463135</v>
      </c>
      <c r="T370">
        <v>1.9483524560928345</v>
      </c>
      <c r="U370">
        <v>3.9778692722320557</v>
      </c>
      <c r="V370">
        <v>5.2931923866271973</v>
      </c>
      <c r="W370">
        <v>5.9051108360290527</v>
      </c>
      <c r="X370">
        <v>6.519477367401123</v>
      </c>
      <c r="Y370">
        <v>6.9724860191345215</v>
      </c>
      <c r="Z370">
        <v>7.3182225227355957</v>
      </c>
      <c r="AA370">
        <v>7.4989633560180664</v>
      </c>
      <c r="AB370">
        <v>7.5939087867736816</v>
      </c>
      <c r="AC370">
        <v>7.5642709732055664</v>
      </c>
      <c r="AD370">
        <v>7.7067813873291016</v>
      </c>
      <c r="AE370">
        <v>7.6652393341064453</v>
      </c>
      <c r="AF370">
        <v>7.6232986450195313</v>
      </c>
      <c r="AG370">
        <v>7.5281238555908203</v>
      </c>
      <c r="AH370">
        <v>7.4833478927612305</v>
      </c>
      <c r="AI370">
        <v>7.3323464393615723</v>
      </c>
      <c r="AJ370">
        <v>7.1891613006591797</v>
      </c>
      <c r="AK370">
        <v>7.0380687713623047</v>
      </c>
      <c r="AL370">
        <v>6.860661506652832</v>
      </c>
      <c r="AM370">
        <v>6.5940647125244141</v>
      </c>
    </row>
    <row r="371" spans="4:45" x14ac:dyDescent="0.25">
      <c r="D371">
        <v>5000</v>
      </c>
      <c r="T371">
        <v>1.6065707206726074</v>
      </c>
      <c r="U371">
        <v>3.3552718162536621</v>
      </c>
      <c r="V371">
        <v>5.1972455978393555</v>
      </c>
      <c r="W371">
        <v>5.8966770172119141</v>
      </c>
      <c r="X371">
        <v>6.4064269065856934</v>
      </c>
      <c r="Y371">
        <v>6.8810501098632813</v>
      </c>
      <c r="Z371">
        <v>7.2967758178710938</v>
      </c>
      <c r="AA371">
        <v>7.5429224967956543</v>
      </c>
      <c r="AB371">
        <v>7.610501766204834</v>
      </c>
      <c r="AC371">
        <v>7.760612964630127</v>
      </c>
      <c r="AD371">
        <v>7.8516960144042969</v>
      </c>
      <c r="AE371">
        <v>7.756195068359375</v>
      </c>
      <c r="AF371">
        <v>7.8127388954162598</v>
      </c>
      <c r="AG371">
        <v>7.6714663505554199</v>
      </c>
      <c r="AH371">
        <v>7.6636285781860352</v>
      </c>
      <c r="AI371">
        <v>7.5664281845092773</v>
      </c>
      <c r="AJ371">
        <v>7.3792991638183594</v>
      </c>
      <c r="AK371">
        <v>7.2494311332702637</v>
      </c>
      <c r="AL371">
        <v>7.0874781608581543</v>
      </c>
      <c r="AM371">
        <v>6.9036555290222168</v>
      </c>
      <c r="AN371">
        <v>6.7183160781860352</v>
      </c>
    </row>
    <row r="372" spans="4:45" x14ac:dyDescent="0.25">
      <c r="D372">
        <v>6000</v>
      </c>
      <c r="T372">
        <v>1.3332539796829224</v>
      </c>
      <c r="U372">
        <v>2.7687587738037109</v>
      </c>
      <c r="V372">
        <v>4.9306802749633789</v>
      </c>
      <c r="W372">
        <v>5.7613568305969238</v>
      </c>
      <c r="X372">
        <v>6.3975677490234375</v>
      </c>
      <c r="Y372">
        <v>6.9013376235961914</v>
      </c>
      <c r="Z372">
        <v>7.2633390426635742</v>
      </c>
      <c r="AA372">
        <v>7.6065893173217773</v>
      </c>
      <c r="AB372">
        <v>7.7949624061584473</v>
      </c>
      <c r="AC372">
        <v>7.910759449005127</v>
      </c>
      <c r="AD372">
        <v>7.9123811721801758</v>
      </c>
      <c r="AE372">
        <v>7.9916543960571289</v>
      </c>
      <c r="AF372">
        <v>7.9487771987915039</v>
      </c>
      <c r="AG372">
        <v>7.9102692604064941</v>
      </c>
      <c r="AH372">
        <v>7.8072981834411621</v>
      </c>
      <c r="AI372">
        <v>7.7760224342346191</v>
      </c>
      <c r="AJ372">
        <v>7.6074542999267578</v>
      </c>
      <c r="AK372">
        <v>7.452235221862793</v>
      </c>
      <c r="AL372">
        <v>7.3084826469421387</v>
      </c>
      <c r="AM372">
        <v>7.1375060081481934</v>
      </c>
      <c r="AN372">
        <v>6.9490909576416016</v>
      </c>
    </row>
    <row r="373" spans="4:45" x14ac:dyDescent="0.25">
      <c r="D373">
        <v>7000</v>
      </c>
      <c r="U373">
        <v>2.2665238380432129</v>
      </c>
      <c r="V373">
        <v>4.3749833106994629</v>
      </c>
      <c r="W373">
        <v>5.623997688293457</v>
      </c>
      <c r="X373">
        <v>6.2548975944519043</v>
      </c>
      <c r="Y373">
        <v>6.8239579200744629</v>
      </c>
      <c r="Z373">
        <v>7.3119978904724121</v>
      </c>
      <c r="AA373">
        <v>7.6839733123779297</v>
      </c>
      <c r="AB373">
        <v>7.8899664878845215</v>
      </c>
      <c r="AC373">
        <v>7.954369068145752</v>
      </c>
      <c r="AD373">
        <v>8.0583438873291016</v>
      </c>
      <c r="AE373">
        <v>8.1509084701538086</v>
      </c>
      <c r="AF373">
        <v>8.0492877960205078</v>
      </c>
      <c r="AG373">
        <v>8.1035966873168945</v>
      </c>
      <c r="AH373">
        <v>7.9732036590576172</v>
      </c>
      <c r="AI373">
        <v>7.9559535980224609</v>
      </c>
      <c r="AJ373">
        <v>7.8453159332275391</v>
      </c>
      <c r="AK373">
        <v>7.6461853981018066</v>
      </c>
      <c r="AL373">
        <v>7.5242514610290527</v>
      </c>
      <c r="AM373">
        <v>7.3693952560424805</v>
      </c>
      <c r="AN373">
        <v>7.192838191986084</v>
      </c>
      <c r="AO373">
        <v>6.8768186569213867</v>
      </c>
    </row>
    <row r="374" spans="4:45" x14ac:dyDescent="0.25">
      <c r="D374">
        <v>8000</v>
      </c>
      <c r="U374">
        <v>1.8566306829452515</v>
      </c>
      <c r="V374">
        <v>3.7029011249542236</v>
      </c>
      <c r="W374">
        <v>5.5050549507141113</v>
      </c>
      <c r="X374">
        <v>6.1962714195251465</v>
      </c>
      <c r="Y374">
        <v>6.7801198959350586</v>
      </c>
      <c r="Z374">
        <v>7.1589450836181641</v>
      </c>
      <c r="AA374">
        <v>7.546027660369873</v>
      </c>
      <c r="AB374">
        <v>7.8781538009643555</v>
      </c>
      <c r="AC374">
        <v>8.094451904296875</v>
      </c>
      <c r="AD374">
        <v>8.235722541809082</v>
      </c>
      <c r="AE374">
        <v>8.2222299575805664</v>
      </c>
      <c r="AF374">
        <v>8.297210693359375</v>
      </c>
      <c r="AG374">
        <v>8.242523193359375</v>
      </c>
      <c r="AH374">
        <v>8.2176036834716797</v>
      </c>
      <c r="AI374">
        <v>8.1005325317382813</v>
      </c>
      <c r="AJ374">
        <v>8.0566444396972656</v>
      </c>
      <c r="AK374">
        <v>7.904719352722168</v>
      </c>
      <c r="AL374">
        <v>7.732398509979248</v>
      </c>
      <c r="AM374">
        <v>7.5972051620483398</v>
      </c>
      <c r="AN374">
        <v>7.4357080459594727</v>
      </c>
      <c r="AO374">
        <v>7.1760759353637695</v>
      </c>
    </row>
    <row r="375" spans="4:45" x14ac:dyDescent="0.25">
      <c r="D375">
        <v>9000</v>
      </c>
      <c r="V375">
        <v>3.0518405437469482</v>
      </c>
      <c r="W375">
        <v>5.2221789360046387</v>
      </c>
      <c r="X375">
        <v>6.0922904014587402</v>
      </c>
      <c r="Y375">
        <v>6.6695876121520996</v>
      </c>
      <c r="Z375">
        <v>7.2478036880493164</v>
      </c>
      <c r="AA375">
        <v>7.6721072196960449</v>
      </c>
      <c r="AB375">
        <v>8.0356998443603516</v>
      </c>
      <c r="AC375">
        <v>8.2296228408813477</v>
      </c>
      <c r="AD375">
        <v>8.3000926971435547</v>
      </c>
      <c r="AE375">
        <v>8.3629150390625</v>
      </c>
      <c r="AF375">
        <v>8.4636669158935547</v>
      </c>
      <c r="AG375">
        <v>8.3733081817626953</v>
      </c>
      <c r="AH375">
        <v>8.4122695922851563</v>
      </c>
      <c r="AI375">
        <v>8.3088874816894531</v>
      </c>
      <c r="AJ375">
        <v>8.2351922988891602</v>
      </c>
      <c r="AK375">
        <v>8.1442222595214844</v>
      </c>
      <c r="AL375">
        <v>7.9589672088623047</v>
      </c>
      <c r="AM375">
        <v>7.8185553550720215</v>
      </c>
      <c r="AN375">
        <v>7.6756057739257813</v>
      </c>
      <c r="AO375">
        <v>7.4263238906860352</v>
      </c>
      <c r="AP375">
        <v>7.1654601097106934</v>
      </c>
    </row>
    <row r="376" spans="4:45" x14ac:dyDescent="0.25">
      <c r="D376">
        <v>10000</v>
      </c>
      <c r="V376">
        <v>2.488593578338623</v>
      </c>
      <c r="W376">
        <v>4.6199460029602051</v>
      </c>
      <c r="X376">
        <v>5.8699321746826172</v>
      </c>
      <c r="Y376">
        <v>6.6133170127868652</v>
      </c>
      <c r="Z376">
        <v>7.032529354095459</v>
      </c>
      <c r="AA376">
        <v>7.5748610496520996</v>
      </c>
      <c r="AB376">
        <v>7.965303897857666</v>
      </c>
      <c r="AC376">
        <v>8.2183666229248047</v>
      </c>
      <c r="AD376">
        <v>8.419459342956543</v>
      </c>
      <c r="AE376">
        <v>8.5567827224731445</v>
      </c>
      <c r="AF376">
        <v>8.5387716293334961</v>
      </c>
      <c r="AG376">
        <v>8.6303615570068359</v>
      </c>
      <c r="AH376">
        <v>8.5537128448486328</v>
      </c>
      <c r="AI376">
        <v>8.5601348876953125</v>
      </c>
      <c r="AJ376">
        <v>8.3757667541503906</v>
      </c>
      <c r="AK376">
        <v>8.3552675247192383</v>
      </c>
      <c r="AL376">
        <v>8.2260808944702148</v>
      </c>
      <c r="AM376">
        <v>8.0338773727416992</v>
      </c>
      <c r="AN376">
        <v>7.9101476669311523</v>
      </c>
      <c r="AO376">
        <v>7.6732869148254395</v>
      </c>
      <c r="AP376">
        <v>7.4196076393127441</v>
      </c>
    </row>
    <row r="377" spans="4:45" x14ac:dyDescent="0.25">
      <c r="D377">
        <v>11000</v>
      </c>
      <c r="V377">
        <v>2.0281505584716797</v>
      </c>
      <c r="W377">
        <v>3.8916022777557373</v>
      </c>
      <c r="X377">
        <v>5.7877893447875977</v>
      </c>
      <c r="Y377">
        <v>6.429262638092041</v>
      </c>
      <c r="Z377">
        <v>7.1097550392150879</v>
      </c>
      <c r="AA377">
        <v>7.5972809791564941</v>
      </c>
      <c r="AB377">
        <v>8.0037460327148438</v>
      </c>
      <c r="AC377">
        <v>8.3814802169799805</v>
      </c>
      <c r="AD377">
        <v>8.5800809860229492</v>
      </c>
      <c r="AE377">
        <v>8.6276273727416992</v>
      </c>
      <c r="AF377">
        <v>8.6964006423950195</v>
      </c>
      <c r="AG377">
        <v>8.7931089401245117</v>
      </c>
      <c r="AH377">
        <v>8.7325677871704102</v>
      </c>
      <c r="AI377">
        <v>8.7588920593261719</v>
      </c>
      <c r="AJ377">
        <v>8.6370935440063477</v>
      </c>
      <c r="AK377">
        <v>8.5258140563964844</v>
      </c>
      <c r="AL377">
        <v>8.4613103866577148</v>
      </c>
      <c r="AM377">
        <v>8.3001718521118164</v>
      </c>
      <c r="AN377">
        <v>8.1343469619750977</v>
      </c>
      <c r="AO377">
        <v>7.9152970314025879</v>
      </c>
      <c r="AP377">
        <v>7.6735692024230957</v>
      </c>
    </row>
    <row r="378" spans="4:45" x14ac:dyDescent="0.25">
      <c r="D378">
        <v>12000</v>
      </c>
      <c r="W378">
        <v>3.1909241676330566</v>
      </c>
      <c r="X378">
        <v>5.3938603401184082</v>
      </c>
      <c r="Y378">
        <v>6.385103702545166</v>
      </c>
      <c r="Z378">
        <v>6.8867654800415039</v>
      </c>
      <c r="AA378">
        <v>7.4929256439208984</v>
      </c>
      <c r="AB378">
        <v>7.9798893928527832</v>
      </c>
      <c r="AC378">
        <v>8.3493213653564453</v>
      </c>
      <c r="AD378">
        <v>8.5792579650878906</v>
      </c>
      <c r="AE378">
        <v>8.7423696517944336</v>
      </c>
      <c r="AF378">
        <v>8.8908548355102539</v>
      </c>
      <c r="AG378">
        <v>8.8542890548706055</v>
      </c>
      <c r="AH378">
        <v>8.9795618057250977</v>
      </c>
      <c r="AI378">
        <v>8.8980798721313477</v>
      </c>
      <c r="AJ378">
        <v>8.8817501068115234</v>
      </c>
      <c r="AK378">
        <v>8.699183464050293</v>
      </c>
      <c r="AL378">
        <v>8.6621904373168945</v>
      </c>
      <c r="AM378">
        <v>8.5608243942260742</v>
      </c>
      <c r="AN378">
        <v>8.3753414154052734</v>
      </c>
      <c r="AO378">
        <v>8.150477409362793</v>
      </c>
      <c r="AP378">
        <v>7.924412727355957</v>
      </c>
      <c r="AQ378">
        <v>7.540553092956543</v>
      </c>
    </row>
    <row r="379" spans="4:45" x14ac:dyDescent="0.25">
      <c r="D379">
        <v>13000</v>
      </c>
      <c r="W379">
        <v>2.5895380973815918</v>
      </c>
      <c r="X379">
        <v>4.6941571235656738</v>
      </c>
      <c r="Y379">
        <v>6.1118912696838379</v>
      </c>
      <c r="Z379">
        <v>6.8945350646972656</v>
      </c>
      <c r="AA379">
        <v>7.4659771919250488</v>
      </c>
      <c r="AB379">
        <v>7.9166321754455566</v>
      </c>
      <c r="AC379">
        <v>8.332179069519043</v>
      </c>
      <c r="AD379">
        <v>8.7340555191040039</v>
      </c>
      <c r="AE379">
        <v>8.9123773574829102</v>
      </c>
      <c r="AF379">
        <v>8.9558601379394531</v>
      </c>
      <c r="AG379">
        <v>9.0547046661376953</v>
      </c>
      <c r="AH379">
        <v>9.1291208267211914</v>
      </c>
      <c r="AI379">
        <v>9.1165084838867188</v>
      </c>
      <c r="AJ379">
        <v>9.0703754425048828</v>
      </c>
      <c r="AK379">
        <v>8.9847602844238281</v>
      </c>
      <c r="AL379">
        <v>8.8219480514526367</v>
      </c>
      <c r="AM379">
        <v>8.789484977722168</v>
      </c>
      <c r="AN379">
        <v>8.6599760055541992</v>
      </c>
      <c r="AO379">
        <v>8.3759555816650391</v>
      </c>
      <c r="AP379">
        <v>8.1695823669433594</v>
      </c>
      <c r="AQ379">
        <v>7.7964410781860352</v>
      </c>
    </row>
    <row r="380" spans="4:45" x14ac:dyDescent="0.25">
      <c r="D380">
        <v>14000</v>
      </c>
      <c r="X380">
        <v>3.9052910804748535</v>
      </c>
      <c r="Y380">
        <v>5.9868388175964355</v>
      </c>
      <c r="Z380">
        <v>6.7343921661376953</v>
      </c>
      <c r="AA380">
        <v>7.2922935485839844</v>
      </c>
      <c r="AB380">
        <v>7.8958978652954102</v>
      </c>
      <c r="AC380">
        <v>8.3555459976196289</v>
      </c>
      <c r="AD380">
        <v>8.7192115783691406</v>
      </c>
      <c r="AE380">
        <v>8.9098529815673828</v>
      </c>
      <c r="AF380">
        <v>9.0928049087524414</v>
      </c>
      <c r="AG380">
        <v>9.2388582229614258</v>
      </c>
      <c r="AH380">
        <v>9.1685323715209961</v>
      </c>
      <c r="AI380">
        <v>9.3490390777587891</v>
      </c>
      <c r="AJ380">
        <v>9.1935300827026367</v>
      </c>
      <c r="AK380">
        <v>9.2184133529663086</v>
      </c>
      <c r="AL380">
        <v>9.075230598449707</v>
      </c>
      <c r="AM380">
        <v>8.9787845611572266</v>
      </c>
      <c r="AN380">
        <v>8.9149398803710938</v>
      </c>
      <c r="AO380">
        <v>8.6673927307128906</v>
      </c>
      <c r="AP380">
        <v>8.4062204360961914</v>
      </c>
      <c r="AQ380">
        <v>8.0481472015380859</v>
      </c>
      <c r="AR380">
        <v>7.5525150299072266</v>
      </c>
    </row>
    <row r="381" spans="4:45" x14ac:dyDescent="0.25">
      <c r="D381">
        <v>15000</v>
      </c>
      <c r="X381">
        <v>3.1759624481201172</v>
      </c>
      <c r="Y381">
        <v>5.4108858108520508</v>
      </c>
      <c r="Z381">
        <v>6.5156254768371582</v>
      </c>
      <c r="AA381">
        <v>7.2730293273925781</v>
      </c>
      <c r="AB381">
        <v>7.7926492691040039</v>
      </c>
      <c r="AC381">
        <v>8.2446422576904297</v>
      </c>
      <c r="AD381">
        <v>8.6838579177856445</v>
      </c>
      <c r="AE381">
        <v>9.0779714584350586</v>
      </c>
      <c r="AF381">
        <v>9.2555150985717773</v>
      </c>
      <c r="AG381">
        <v>9.2848176956176758</v>
      </c>
      <c r="AH381">
        <v>9.4395847320556641</v>
      </c>
      <c r="AI381">
        <v>9.4734954833984375</v>
      </c>
      <c r="AJ381">
        <v>9.4757776260375977</v>
      </c>
      <c r="AK381">
        <v>9.3907661437988281</v>
      </c>
      <c r="AL381">
        <v>9.3520498275756836</v>
      </c>
      <c r="AM381">
        <v>9.1624870300292969</v>
      </c>
      <c r="AN381">
        <v>9.1323480606079102</v>
      </c>
      <c r="AO381">
        <v>8.945307731628418</v>
      </c>
      <c r="AP381">
        <v>8.6808185577392578</v>
      </c>
      <c r="AQ381">
        <v>8.2929210662841797</v>
      </c>
      <c r="AR381">
        <v>7.8118095397949219</v>
      </c>
    </row>
    <row r="382" spans="4:45" x14ac:dyDescent="0.25">
      <c r="D382">
        <v>16000</v>
      </c>
      <c r="X382">
        <v>2.5641601085662842</v>
      </c>
      <c r="Y382">
        <v>4.6015806198120117</v>
      </c>
      <c r="Z382">
        <v>6.4100117683410645</v>
      </c>
      <c r="AA382">
        <v>7.0060725212097168</v>
      </c>
      <c r="AB382">
        <v>7.7022089958190918</v>
      </c>
      <c r="AC382">
        <v>8.2699432373046875</v>
      </c>
      <c r="AD382">
        <v>8.7207813262939453</v>
      </c>
      <c r="AE382">
        <v>9.0493946075439453</v>
      </c>
      <c r="AF382">
        <v>9.230194091796875</v>
      </c>
      <c r="AG382">
        <v>9.468388557434082</v>
      </c>
      <c r="AH382">
        <v>9.5961894989013672</v>
      </c>
      <c r="AI382">
        <v>9.5724248886108398</v>
      </c>
      <c r="AJ382">
        <v>9.6781225204467773</v>
      </c>
      <c r="AK382">
        <v>9.5677061080932617</v>
      </c>
      <c r="AL382">
        <v>9.5649347305297852</v>
      </c>
      <c r="AM382">
        <v>9.4718856811523438</v>
      </c>
      <c r="AN382">
        <v>9.3037385940551758</v>
      </c>
      <c r="AO382">
        <v>9.1858634948730469</v>
      </c>
      <c r="AP382">
        <v>8.9751119613647461</v>
      </c>
      <c r="AQ382">
        <v>8.5559110641479492</v>
      </c>
      <c r="AR382">
        <v>8.0676059722900391</v>
      </c>
    </row>
    <row r="383" spans="4:45" x14ac:dyDescent="0.25">
      <c r="D383">
        <v>17000</v>
      </c>
      <c r="Y383">
        <v>3.7745723724365234</v>
      </c>
      <c r="Z383">
        <v>5.9750308990478516</v>
      </c>
      <c r="AA383">
        <v>6.9523296356201172</v>
      </c>
      <c r="AB383">
        <v>7.6116123199462891</v>
      </c>
      <c r="AC383">
        <v>8.1206016540527344</v>
      </c>
      <c r="AD383">
        <v>8.5934600830078125</v>
      </c>
      <c r="AE383">
        <v>9.0338239669799805</v>
      </c>
      <c r="AF383">
        <v>9.4306259155273438</v>
      </c>
      <c r="AG383">
        <v>9.5992498397827148</v>
      </c>
      <c r="AH383">
        <v>9.5797176361083984</v>
      </c>
      <c r="AI383">
        <v>9.8295927047729492</v>
      </c>
      <c r="AJ383">
        <v>9.7616558074951172</v>
      </c>
      <c r="AK383">
        <v>9.8418960571289063</v>
      </c>
      <c r="AL383">
        <v>9.707056999206543</v>
      </c>
      <c r="AM383">
        <v>9.7247495651245117</v>
      </c>
      <c r="AN383">
        <v>9.5884847640991211</v>
      </c>
      <c r="AO383">
        <v>9.3833999633789063</v>
      </c>
      <c r="AP383">
        <v>9.2369289398193359</v>
      </c>
      <c r="AQ383">
        <v>8.8610801696777344</v>
      </c>
      <c r="AR383">
        <v>8.3188667297363281</v>
      </c>
    </row>
    <row r="384" spans="4:45" x14ac:dyDescent="0.25">
      <c r="D384">
        <v>18000</v>
      </c>
      <c r="Y384">
        <v>3.0480074882507324</v>
      </c>
      <c r="Z384">
        <v>5.178314208984375</v>
      </c>
      <c r="AA384">
        <v>6.7450041770935059</v>
      </c>
      <c r="AB384">
        <v>7.3878593444824219</v>
      </c>
      <c r="AC384">
        <v>8.0680017471313477</v>
      </c>
      <c r="AD384">
        <v>8.6232414245605469</v>
      </c>
      <c r="AE384">
        <v>9.0473670959472656</v>
      </c>
      <c r="AF384">
        <v>9.3565444946289063</v>
      </c>
      <c r="AG384">
        <v>9.6104984283447266</v>
      </c>
      <c r="AH384">
        <v>9.8566989898681641</v>
      </c>
      <c r="AI384">
        <v>9.9269199371337891</v>
      </c>
      <c r="AJ384">
        <v>9.9715356826782227</v>
      </c>
      <c r="AK384">
        <v>10.000836372375488</v>
      </c>
      <c r="AL384">
        <v>9.9766321182250977</v>
      </c>
      <c r="AM384">
        <v>9.908747673034668</v>
      </c>
      <c r="AN384">
        <v>9.8724946975708008</v>
      </c>
      <c r="AO384">
        <v>9.5947170257568359</v>
      </c>
      <c r="AP384">
        <v>9.457819938659668</v>
      </c>
      <c r="AQ384">
        <v>9.1332759857177734</v>
      </c>
      <c r="AR384">
        <v>8.6199712753295898</v>
      </c>
      <c r="AS384">
        <v>7.7972230911254883</v>
      </c>
    </row>
    <row r="385" spans="4:45" x14ac:dyDescent="0.25">
      <c r="D385">
        <v>19000</v>
      </c>
      <c r="Z385">
        <v>4.2801752090454102</v>
      </c>
      <c r="AA385">
        <v>6.4285411834716797</v>
      </c>
      <c r="AB385">
        <v>7.3203868865966797</v>
      </c>
      <c r="AC385">
        <v>7.9446516036987305</v>
      </c>
      <c r="AD385">
        <v>8.471125602722168</v>
      </c>
      <c r="AE385">
        <v>8.9548254013061523</v>
      </c>
      <c r="AF385">
        <v>9.4007797241210938</v>
      </c>
      <c r="AG385">
        <v>9.7821111679077148</v>
      </c>
      <c r="AH385">
        <v>9.9348726272583008</v>
      </c>
      <c r="AI385">
        <v>10.029277801513672</v>
      </c>
      <c r="AJ385">
        <v>10.176211357116699</v>
      </c>
      <c r="AK385">
        <v>10.069378852844238</v>
      </c>
      <c r="AL385">
        <v>10.204852104187012</v>
      </c>
      <c r="AM385">
        <v>10.092670440673828</v>
      </c>
      <c r="AN385">
        <v>10.083147048950195</v>
      </c>
      <c r="AO385">
        <v>9.9113569259643555</v>
      </c>
      <c r="AP385">
        <v>9.6032619476318359</v>
      </c>
      <c r="AQ385">
        <v>9.36334228515625</v>
      </c>
      <c r="AR385">
        <v>8.8925609588623047</v>
      </c>
      <c r="AS385">
        <v>8.0892219543457031</v>
      </c>
    </row>
    <row r="386" spans="4:45" x14ac:dyDescent="0.25">
      <c r="D386">
        <v>20000</v>
      </c>
      <c r="Z386">
        <v>3.4561190605163574</v>
      </c>
      <c r="AA386">
        <v>5.6503758430480957</v>
      </c>
      <c r="AB386">
        <v>7.0509638786315918</v>
      </c>
      <c r="AC386">
        <v>7.7395596504211426</v>
      </c>
      <c r="AD386">
        <v>8.4032125473022461</v>
      </c>
      <c r="AE386">
        <v>8.9416389465332031</v>
      </c>
      <c r="AF386">
        <v>9.3500699996948242</v>
      </c>
      <c r="AG386">
        <v>9.6285600662231445</v>
      </c>
      <c r="AH386">
        <v>10.03902530670166</v>
      </c>
      <c r="AI386">
        <v>10.248512268066406</v>
      </c>
      <c r="AJ386">
        <v>10.206673622131348</v>
      </c>
      <c r="AK386">
        <v>10.374549865722656</v>
      </c>
      <c r="AL386">
        <v>10.308540344238281</v>
      </c>
      <c r="AM386">
        <v>10.390420913696289</v>
      </c>
      <c r="AN386">
        <v>10.208056449890137</v>
      </c>
      <c r="AO386">
        <v>10.160341262817383</v>
      </c>
      <c r="AP386">
        <v>9.9515457153320313</v>
      </c>
      <c r="AQ386">
        <v>9.5411090850830078</v>
      </c>
      <c r="AR386">
        <v>9.1191606521606445</v>
      </c>
      <c r="AS386">
        <v>8.3538951873779297</v>
      </c>
    </row>
    <row r="387" spans="4:45" x14ac:dyDescent="0.25">
      <c r="D387">
        <v>21000</v>
      </c>
      <c r="AA387">
        <v>4.696138858795166</v>
      </c>
      <c r="AB387">
        <v>6.7978610992431641</v>
      </c>
      <c r="AC387">
        <v>7.6501469612121582</v>
      </c>
      <c r="AD387">
        <v>8.2842264175415039</v>
      </c>
      <c r="AE387">
        <v>8.8219194412231445</v>
      </c>
      <c r="AF387">
        <v>9.3303813934326172</v>
      </c>
      <c r="AG387">
        <v>9.7663402557373047</v>
      </c>
      <c r="AH387">
        <v>10.110270500183105</v>
      </c>
      <c r="AI387">
        <v>10.24751091003418</v>
      </c>
      <c r="AJ387">
        <v>10.455184936523438</v>
      </c>
      <c r="AK387">
        <v>10.502899169921875</v>
      </c>
      <c r="AL387">
        <v>10.531634330749512</v>
      </c>
      <c r="AM387">
        <v>10.553204536437988</v>
      </c>
      <c r="AN387">
        <v>10.553622245788574</v>
      </c>
      <c r="AO387">
        <v>10.321746826171875</v>
      </c>
      <c r="AP387">
        <v>10.228255271911621</v>
      </c>
      <c r="AQ387">
        <v>9.8151426315307617</v>
      </c>
      <c r="AR387">
        <v>9.28936767578125</v>
      </c>
      <c r="AS387">
        <v>8.5677947998046875</v>
      </c>
    </row>
    <row r="388" spans="4:45" x14ac:dyDescent="0.25">
      <c r="D388">
        <v>22000</v>
      </c>
      <c r="AA388">
        <v>3.7904765605926514</v>
      </c>
      <c r="AB388">
        <v>6.0125212669372559</v>
      </c>
      <c r="AC388">
        <v>7.3580708503723145</v>
      </c>
      <c r="AD388">
        <v>8.020960807800293</v>
      </c>
      <c r="AE388">
        <v>8.6783037185668945</v>
      </c>
      <c r="AF388">
        <v>9.2186374664306641</v>
      </c>
      <c r="AG388">
        <v>9.6019859313964844</v>
      </c>
      <c r="AH388">
        <v>9.9852724075317383</v>
      </c>
      <c r="AI388">
        <v>10.452754020690918</v>
      </c>
      <c r="AJ388">
        <v>10.586050987243652</v>
      </c>
      <c r="AK388">
        <v>10.605182647705078</v>
      </c>
      <c r="AL388">
        <v>10.752738952636719</v>
      </c>
      <c r="AM388">
        <v>10.663407325744629</v>
      </c>
      <c r="AN388">
        <v>10.77587890625</v>
      </c>
      <c r="AO388">
        <v>10.585345268249512</v>
      </c>
      <c r="AP388">
        <v>10.424264907836914</v>
      </c>
      <c r="AQ388">
        <v>10.110156059265137</v>
      </c>
      <c r="AR388">
        <v>9.5335979461669922</v>
      </c>
      <c r="AS388">
        <v>8.7226324081420898</v>
      </c>
    </row>
    <row r="389" spans="4:45" x14ac:dyDescent="0.25">
      <c r="D389">
        <v>23000</v>
      </c>
      <c r="AB389">
        <v>5.0040230751037598</v>
      </c>
      <c r="AC389">
        <v>7.097813606262207</v>
      </c>
      <c r="AD389">
        <v>7.9524331092834473</v>
      </c>
      <c r="AE389">
        <v>8.6088600158691406</v>
      </c>
      <c r="AF389">
        <v>9.1691665649414063</v>
      </c>
      <c r="AG389">
        <v>9.690709114074707</v>
      </c>
      <c r="AH389">
        <v>10.095537185668945</v>
      </c>
      <c r="AI389">
        <v>10.383355140686035</v>
      </c>
      <c r="AJ389">
        <v>10.64271354675293</v>
      </c>
      <c r="AK389">
        <v>10.858534812927246</v>
      </c>
      <c r="AL389">
        <v>10.780473709106445</v>
      </c>
      <c r="AM389">
        <v>10.968521118164063</v>
      </c>
      <c r="AN389">
        <v>10.853599548339844</v>
      </c>
      <c r="AO389">
        <v>10.86038875579834</v>
      </c>
      <c r="AP389">
        <v>10.613982200622559</v>
      </c>
      <c r="AQ389">
        <v>10.323066711425781</v>
      </c>
      <c r="AR389">
        <v>9.8361473083496094</v>
      </c>
      <c r="AS389">
        <v>8.9010810852050781</v>
      </c>
    </row>
    <row r="390" spans="4:45" x14ac:dyDescent="0.25">
      <c r="D390">
        <v>24000</v>
      </c>
      <c r="AB390">
        <v>4.0310769081115723</v>
      </c>
      <c r="AC390">
        <v>6.2633705139160156</v>
      </c>
      <c r="AD390">
        <v>7.6757879257202148</v>
      </c>
      <c r="AE390">
        <v>8.2847042083740234</v>
      </c>
      <c r="AF390">
        <v>8.8874473571777344</v>
      </c>
      <c r="AG390">
        <v>9.4263191223144531</v>
      </c>
      <c r="AH390">
        <v>9.9348897933959961</v>
      </c>
      <c r="AI390">
        <v>10.434919357299805</v>
      </c>
      <c r="AJ390">
        <v>10.777832984924316</v>
      </c>
      <c r="AK390">
        <v>10.870336532592773</v>
      </c>
      <c r="AL390">
        <v>11.08154296875</v>
      </c>
      <c r="AM390">
        <v>11.080709457397461</v>
      </c>
      <c r="AN390">
        <v>11.16525936126709</v>
      </c>
      <c r="AO390">
        <v>10.993967056274414</v>
      </c>
      <c r="AP390">
        <v>10.934369087219238</v>
      </c>
      <c r="AQ390">
        <v>10.455811500549316</v>
      </c>
      <c r="AR390">
        <v>10.051815032958984</v>
      </c>
      <c r="AS390">
        <v>9.1891460418701172</v>
      </c>
    </row>
    <row r="391" spans="4:45" x14ac:dyDescent="0.25">
      <c r="D391">
        <v>25000</v>
      </c>
      <c r="AC391">
        <v>5.1933932304382324</v>
      </c>
      <c r="AD391">
        <v>7.3156161308288574</v>
      </c>
      <c r="AE391">
        <v>8.1922245025634766</v>
      </c>
      <c r="AF391">
        <v>8.9009819030761719</v>
      </c>
      <c r="AG391">
        <v>9.4778842926025391</v>
      </c>
      <c r="AH391">
        <v>9.9996433258056641</v>
      </c>
      <c r="AI391">
        <v>10.374731063842773</v>
      </c>
      <c r="AJ391">
        <v>10.61390495300293</v>
      </c>
      <c r="AK391">
        <v>11.071882247924805</v>
      </c>
      <c r="AL391">
        <v>11.205621719360352</v>
      </c>
      <c r="AM391">
        <v>11.270721435546875</v>
      </c>
      <c r="AN391">
        <v>11.369985580444336</v>
      </c>
      <c r="AO391">
        <v>11.240959167480469</v>
      </c>
      <c r="AP391">
        <v>11.120273590087891</v>
      </c>
      <c r="AQ391">
        <v>10.81767463684082</v>
      </c>
      <c r="AR391">
        <v>10.165580749511719</v>
      </c>
      <c r="AS391">
        <v>9.377955436706543</v>
      </c>
    </row>
    <row r="392" spans="4:45" x14ac:dyDescent="0.25">
      <c r="D392">
        <v>26000</v>
      </c>
      <c r="AC392">
        <v>4.1655468940734863</v>
      </c>
      <c r="AD392">
        <v>6.3673844337463379</v>
      </c>
      <c r="AE392">
        <v>7.9662151336669922</v>
      </c>
      <c r="AF392">
        <v>8.658116340637207</v>
      </c>
      <c r="AG392">
        <v>9.2364988327026367</v>
      </c>
      <c r="AH392">
        <v>9.8079051971435547</v>
      </c>
      <c r="AI392">
        <v>10.378656387329102</v>
      </c>
      <c r="AJ392">
        <v>10.786759376525879</v>
      </c>
      <c r="AK392">
        <v>10.993980407714844</v>
      </c>
      <c r="AL392">
        <v>11.287262916564941</v>
      </c>
      <c r="AM392">
        <v>11.495090484619141</v>
      </c>
      <c r="AN392">
        <v>11.438078880310059</v>
      </c>
      <c r="AO392">
        <v>11.510491371154785</v>
      </c>
      <c r="AP392">
        <v>11.310158729553223</v>
      </c>
      <c r="AQ392">
        <v>11.055248260498047</v>
      </c>
      <c r="AR392">
        <v>10.506533622741699</v>
      </c>
      <c r="AS392">
        <v>9.4508781433105469</v>
      </c>
    </row>
    <row r="393" spans="4:45" x14ac:dyDescent="0.25">
      <c r="D393">
        <v>27000</v>
      </c>
      <c r="AD393">
        <v>5.2157750129699707</v>
      </c>
      <c r="AE393">
        <v>7.430910587310791</v>
      </c>
      <c r="AF393">
        <v>8.3330068588256836</v>
      </c>
      <c r="AG393">
        <v>9.1024932861328125</v>
      </c>
      <c r="AH393">
        <v>9.6799259185791016</v>
      </c>
      <c r="AI393">
        <v>10.16502571105957</v>
      </c>
      <c r="AJ393">
        <v>10.580574989318848</v>
      </c>
      <c r="AK393">
        <v>11.09025764465332</v>
      </c>
      <c r="AL393">
        <v>11.380283355712891</v>
      </c>
      <c r="AM393">
        <v>11.451312065124512</v>
      </c>
      <c r="AN393">
        <v>11.748774528503418</v>
      </c>
      <c r="AO393">
        <v>11.576106071472168</v>
      </c>
      <c r="AP393">
        <v>11.636919975280762</v>
      </c>
      <c r="AQ393">
        <v>11.13947868347168</v>
      </c>
      <c r="AR393">
        <v>10.741021156311035</v>
      </c>
      <c r="AS393">
        <v>9.7082729339599609</v>
      </c>
    </row>
    <row r="394" spans="4:45" x14ac:dyDescent="0.25">
      <c r="D394">
        <v>28000</v>
      </c>
      <c r="AD394">
        <v>4.1468243598937988</v>
      </c>
      <c r="AE394">
        <v>6.349489688873291</v>
      </c>
      <c r="AF394">
        <v>8.1859703063964844</v>
      </c>
      <c r="AG394">
        <v>8.9561290740966797</v>
      </c>
      <c r="AH394">
        <v>9.5989084243774414</v>
      </c>
      <c r="AI394">
        <v>10.171530723571777</v>
      </c>
      <c r="AJ394">
        <v>10.657871246337891</v>
      </c>
      <c r="AK394">
        <v>10.99610710144043</v>
      </c>
      <c r="AL394">
        <v>11.313176155090332</v>
      </c>
      <c r="AM394">
        <v>11.701497077941895</v>
      </c>
      <c r="AN394">
        <v>11.77109432220459</v>
      </c>
      <c r="AO394">
        <v>11.868928909301758</v>
      </c>
      <c r="AP394">
        <v>11.761475563049316</v>
      </c>
      <c r="AQ394">
        <v>11.503544807434082</v>
      </c>
      <c r="AR394">
        <v>10.818079948425293</v>
      </c>
      <c r="AS394">
        <v>9.8892631530761719</v>
      </c>
    </row>
    <row r="395" spans="4:45" x14ac:dyDescent="0.25">
      <c r="D395">
        <v>29000</v>
      </c>
      <c r="AE395">
        <v>5.1364364624023438</v>
      </c>
      <c r="AF395">
        <v>7.4040384292602539</v>
      </c>
      <c r="AG395">
        <v>8.5678472518920898</v>
      </c>
      <c r="AH395">
        <v>9.252263069152832</v>
      </c>
      <c r="AI395">
        <v>9.8673429489135742</v>
      </c>
      <c r="AJ395">
        <v>10.455791473388672</v>
      </c>
      <c r="AK395">
        <v>11.019118309020996</v>
      </c>
      <c r="AL395">
        <v>11.413966178894043</v>
      </c>
      <c r="AM395">
        <v>11.507050514221191</v>
      </c>
      <c r="AN395">
        <v>11.99130916595459</v>
      </c>
      <c r="AO395">
        <v>11.978689193725586</v>
      </c>
      <c r="AP395">
        <v>11.975656509399414</v>
      </c>
      <c r="AQ395">
        <v>11.664108276367188</v>
      </c>
      <c r="AR395">
        <v>11.149996757507324</v>
      </c>
      <c r="AS395">
        <v>9.8726606369018555</v>
      </c>
    </row>
    <row r="396" spans="4:45" x14ac:dyDescent="0.25">
      <c r="D396">
        <v>30000</v>
      </c>
      <c r="AF396">
        <v>6.1796684265136719</v>
      </c>
      <c r="AG396">
        <v>8.2588825225830078</v>
      </c>
      <c r="AH396">
        <v>9.0845193862915039</v>
      </c>
      <c r="AI396">
        <v>9.7945852279663086</v>
      </c>
      <c r="AJ396">
        <v>10.32642650604248</v>
      </c>
      <c r="AK396">
        <v>10.725046157836914</v>
      </c>
      <c r="AL396">
        <v>11.283214569091797</v>
      </c>
      <c r="AM396">
        <v>11.768500328063965</v>
      </c>
      <c r="AN396">
        <v>11.969242095947266</v>
      </c>
      <c r="AO396">
        <v>12.105060577392578</v>
      </c>
      <c r="AP396">
        <v>12.160564422607422</v>
      </c>
      <c r="AQ396">
        <v>11.807765007019043</v>
      </c>
      <c r="AR396">
        <v>11.312771797180176</v>
      </c>
      <c r="AS396">
        <v>10.095621109008789</v>
      </c>
    </row>
    <row r="397" spans="4:45" x14ac:dyDescent="0.25">
      <c r="D397">
        <v>31000</v>
      </c>
      <c r="AF397">
        <v>4.9290246963500977</v>
      </c>
      <c r="AG397">
        <v>7.1950058937072754</v>
      </c>
      <c r="AH397">
        <v>8.8446292877197266</v>
      </c>
      <c r="AI397">
        <v>9.6059484481811523</v>
      </c>
      <c r="AJ397">
        <v>10.232254028320313</v>
      </c>
      <c r="AK397">
        <v>10.778451919555664</v>
      </c>
      <c r="AL397">
        <v>11.217656135559082</v>
      </c>
      <c r="AM397">
        <v>11.502958297729492</v>
      </c>
      <c r="AN397">
        <v>12.065967559814453</v>
      </c>
      <c r="AO397">
        <v>12.196605682373047</v>
      </c>
      <c r="AP397">
        <v>12.201930999755859</v>
      </c>
      <c r="AQ397">
        <v>12.042640686035156</v>
      </c>
      <c r="AR397">
        <v>11.404441833496094</v>
      </c>
      <c r="AS397">
        <v>10.189984321594238</v>
      </c>
    </row>
    <row r="398" spans="4:45" x14ac:dyDescent="0.25">
      <c r="D398">
        <v>32000</v>
      </c>
      <c r="AG398">
        <v>5.8551778793334961</v>
      </c>
      <c r="AH398">
        <v>8.1015253067016602</v>
      </c>
      <c r="AI398">
        <v>9.1695985794067383</v>
      </c>
      <c r="AJ398">
        <v>9.8912458419799805</v>
      </c>
      <c r="AK398">
        <v>10.519550323486328</v>
      </c>
      <c r="AL398">
        <v>11.120962142944336</v>
      </c>
      <c r="AM398">
        <v>11.626750946044922</v>
      </c>
      <c r="AN398">
        <v>11.923530578613281</v>
      </c>
      <c r="AO398">
        <v>12.145669937133789</v>
      </c>
      <c r="AP398">
        <v>12.390878677368164</v>
      </c>
      <c r="AQ398">
        <v>11.92380428314209</v>
      </c>
      <c r="AR398">
        <v>11.584145545959473</v>
      </c>
      <c r="AS398">
        <v>10.130313873291016</v>
      </c>
    </row>
    <row r="399" spans="4:45" x14ac:dyDescent="0.25">
      <c r="D399">
        <v>33000</v>
      </c>
      <c r="AH399">
        <v>6.7854194641113281</v>
      </c>
      <c r="AI399">
        <v>8.8570671081542969</v>
      </c>
      <c r="AJ399">
        <v>9.6047658920288086</v>
      </c>
      <c r="AK399">
        <v>10.283787727355957</v>
      </c>
      <c r="AL399">
        <v>10.773064613342285</v>
      </c>
      <c r="AM399">
        <v>11.384744644165039</v>
      </c>
      <c r="AN399">
        <v>11.977390289306641</v>
      </c>
      <c r="AO399">
        <v>12.14478588104248</v>
      </c>
      <c r="AP399">
        <v>12.206989288330078</v>
      </c>
      <c r="AQ399">
        <v>12.152060508728027</v>
      </c>
      <c r="AR399">
        <v>11.343813896179199</v>
      </c>
      <c r="AS399">
        <v>10.258671760559082</v>
      </c>
    </row>
    <row r="400" spans="4:45" x14ac:dyDescent="0.25">
      <c r="D400">
        <v>34000</v>
      </c>
      <c r="AI400">
        <v>7.7040905952453613</v>
      </c>
      <c r="AJ400">
        <v>9.3922767639160156</v>
      </c>
      <c r="AK400">
        <v>10.126974105834961</v>
      </c>
      <c r="AL400">
        <v>10.75670051574707</v>
      </c>
      <c r="AM400">
        <v>11.256728172302246</v>
      </c>
      <c r="AN400">
        <v>11.604554176330566</v>
      </c>
      <c r="AO400">
        <v>12.063188552856445</v>
      </c>
      <c r="AP400">
        <v>12.32325267791748</v>
      </c>
      <c r="AQ400">
        <v>11.854239463806152</v>
      </c>
      <c r="AR400">
        <v>11.567414283752441</v>
      </c>
      <c r="AS400">
        <v>9.9072322845458984</v>
      </c>
    </row>
    <row r="401" spans="4:45" x14ac:dyDescent="0.25">
      <c r="D401">
        <v>35000</v>
      </c>
      <c r="AJ401">
        <v>8.4837017059326172</v>
      </c>
      <c r="AK401">
        <v>9.7645654678344727</v>
      </c>
      <c r="AL401">
        <v>10.513935089111328</v>
      </c>
      <c r="AM401">
        <v>11.141558647155762</v>
      </c>
      <c r="AN401">
        <v>11.666187286376953</v>
      </c>
      <c r="AO401">
        <v>11.823408126831055</v>
      </c>
      <c r="AP401">
        <v>12.125164031982422</v>
      </c>
      <c r="AQ401">
        <v>12.024526596069336</v>
      </c>
      <c r="AR401">
        <v>11.207461357116699</v>
      </c>
      <c r="AS401">
        <v>10.052777290344238</v>
      </c>
    </row>
    <row r="402" spans="4:45" x14ac:dyDescent="0.25">
      <c r="D402">
        <v>36000</v>
      </c>
      <c r="AL402">
        <v>10.007182121276855</v>
      </c>
      <c r="AM402">
        <v>10.79224681854248</v>
      </c>
      <c r="AN402">
        <v>11.452120780944824</v>
      </c>
      <c r="AO402">
        <v>11.768396377563477</v>
      </c>
      <c r="AP402">
        <v>12.006195068359375</v>
      </c>
      <c r="AQ402">
        <v>11.72642993927002</v>
      </c>
      <c r="AR402">
        <v>11.347756385803223</v>
      </c>
      <c r="AS402">
        <v>9.7359828948974609</v>
      </c>
    </row>
    <row r="403" spans="4:45" x14ac:dyDescent="0.25">
      <c r="D403">
        <v>37000</v>
      </c>
      <c r="AN403">
        <v>11.008445739746094</v>
      </c>
      <c r="AO403">
        <v>11.418057441711426</v>
      </c>
      <c r="AP403">
        <v>11.830839157104492</v>
      </c>
      <c r="AQ403">
        <v>11.643525123596191</v>
      </c>
      <c r="AR403">
        <v>11.000652313232422</v>
      </c>
    </row>
    <row r="404" spans="4:45" x14ac:dyDescent="0.25">
      <c r="D404">
        <v>38000</v>
      </c>
    </row>
    <row r="405" spans="4:45" x14ac:dyDescent="0.25">
      <c r="D405">
        <v>39000</v>
      </c>
    </row>
    <row r="406" spans="4:45" x14ac:dyDescent="0.25">
      <c r="D406">
        <v>40000</v>
      </c>
    </row>
    <row r="407" spans="4:45" x14ac:dyDescent="0.25">
      <c r="D407">
        <v>41000</v>
      </c>
    </row>
    <row r="408" spans="4:45" x14ac:dyDescent="0.25">
      <c r="D408">
        <v>42000</v>
      </c>
    </row>
    <row r="409" spans="4:45" x14ac:dyDescent="0.25">
      <c r="D409">
        <v>43000</v>
      </c>
    </row>
    <row r="410" spans="4:45" x14ac:dyDescent="0.25">
      <c r="D410">
        <v>44000</v>
      </c>
    </row>
    <row r="411" spans="4:45" x14ac:dyDescent="0.25">
      <c r="D411">
        <v>45000</v>
      </c>
    </row>
    <row r="412" spans="4:45" x14ac:dyDescent="0.25">
      <c r="D412">
        <v>46000</v>
      </c>
    </row>
    <row r="413" spans="4:45" x14ac:dyDescent="0.25">
      <c r="D413">
        <v>47000</v>
      </c>
    </row>
    <row r="414" spans="4:45" x14ac:dyDescent="0.25">
      <c r="D414">
        <v>48000</v>
      </c>
    </row>
    <row r="415" spans="4:45" x14ac:dyDescent="0.25">
      <c r="D415">
        <v>49000</v>
      </c>
    </row>
    <row r="416" spans="4:45" x14ac:dyDescent="0.25">
      <c r="D416">
        <v>50000</v>
      </c>
    </row>
    <row r="417" spans="3:55" x14ac:dyDescent="0.25">
      <c r="C417" t="s">
        <v>141</v>
      </c>
      <c r="D417" t="s">
        <v>133</v>
      </c>
      <c r="E417">
        <v>0</v>
      </c>
      <c r="F417">
        <v>0.02</v>
      </c>
      <c r="G417">
        <v>0.04</v>
      </c>
      <c r="H417">
        <v>0.06</v>
      </c>
      <c r="I417">
        <v>0.08</v>
      </c>
      <c r="J417">
        <v>0.1</v>
      </c>
      <c r="K417">
        <v>0.12</v>
      </c>
      <c r="L417">
        <v>0.14000000000000001</v>
      </c>
      <c r="M417">
        <v>0.16</v>
      </c>
      <c r="N417">
        <v>0.18</v>
      </c>
      <c r="O417">
        <v>0.2</v>
      </c>
      <c r="P417">
        <v>0.22</v>
      </c>
      <c r="Q417">
        <v>0.24</v>
      </c>
      <c r="R417">
        <v>0.26</v>
      </c>
      <c r="S417">
        <v>0.28000000000000003</v>
      </c>
      <c r="T417">
        <v>0.3</v>
      </c>
      <c r="U417">
        <v>0.32</v>
      </c>
      <c r="V417">
        <v>0.34</v>
      </c>
      <c r="W417">
        <v>0.36</v>
      </c>
      <c r="X417">
        <v>0.38</v>
      </c>
      <c r="Y417">
        <v>0.4</v>
      </c>
      <c r="Z417">
        <v>0.42</v>
      </c>
      <c r="AA417">
        <v>0.44</v>
      </c>
      <c r="AB417">
        <v>0.46</v>
      </c>
      <c r="AC417">
        <v>0.48</v>
      </c>
      <c r="AD417">
        <v>0.5</v>
      </c>
      <c r="AE417">
        <v>0.52</v>
      </c>
      <c r="AF417">
        <v>0.54</v>
      </c>
      <c r="AG417">
        <v>0.56000000000000005</v>
      </c>
      <c r="AH417">
        <v>0.57999999999999996</v>
      </c>
      <c r="AI417">
        <v>0.6</v>
      </c>
      <c r="AJ417">
        <v>0.62</v>
      </c>
      <c r="AK417">
        <v>0.64</v>
      </c>
      <c r="AL417">
        <v>0.66</v>
      </c>
      <c r="AM417">
        <v>0.68</v>
      </c>
      <c r="AN417">
        <v>0.7</v>
      </c>
      <c r="AO417">
        <v>0.72</v>
      </c>
      <c r="AP417">
        <v>0.74</v>
      </c>
      <c r="AQ417">
        <v>0.76</v>
      </c>
      <c r="AR417">
        <v>0.78</v>
      </c>
      <c r="AS417">
        <v>0.8</v>
      </c>
      <c r="AT417">
        <v>0.82</v>
      </c>
      <c r="AU417">
        <v>0.84</v>
      </c>
      <c r="AV417">
        <v>0.86</v>
      </c>
      <c r="AW417">
        <v>0.88</v>
      </c>
      <c r="AX417">
        <v>0.9</v>
      </c>
      <c r="AY417">
        <v>0.92</v>
      </c>
      <c r="AZ417">
        <v>0.94</v>
      </c>
      <c r="BA417">
        <v>0.96</v>
      </c>
      <c r="BB417">
        <v>0.98</v>
      </c>
      <c r="BC417">
        <v>1</v>
      </c>
    </row>
    <row r="418" spans="3:55" x14ac:dyDescent="0.25">
      <c r="D418">
        <v>0</v>
      </c>
      <c r="R418">
        <v>0.93727397918701172</v>
      </c>
      <c r="S418">
        <v>0.85237693786621094</v>
      </c>
      <c r="T418">
        <v>0.67616868019104004</v>
      </c>
      <c r="U418">
        <v>0.56118756532669067</v>
      </c>
      <c r="V418">
        <v>0.48347657918930054</v>
      </c>
      <c r="W418">
        <v>0.41432619094848633</v>
      </c>
      <c r="X418">
        <v>0.35230234265327454</v>
      </c>
      <c r="Y418">
        <v>0.29155600070953369</v>
      </c>
      <c r="Z418">
        <v>0.25154390931129456</v>
      </c>
      <c r="AA418">
        <v>0.20979300141334534</v>
      </c>
      <c r="AB418">
        <v>0.16740474104881287</v>
      </c>
      <c r="AC418">
        <v>0.1413666158914566</v>
      </c>
      <c r="AD418">
        <v>0.11389292031526566</v>
      </c>
      <c r="AE418">
        <v>9.5433466136455536E-2</v>
      </c>
      <c r="AF418">
        <v>7.0783115923404694E-2</v>
      </c>
      <c r="AG418">
        <v>6.2827736139297485E-2</v>
      </c>
      <c r="AH418">
        <v>4.8476859927177429E-2</v>
      </c>
      <c r="AI418">
        <v>3.9291944354772568E-2</v>
      </c>
      <c r="AJ418">
        <v>3.2394178211688995E-2</v>
      </c>
      <c r="AK418">
        <v>3.2415192574262619E-2</v>
      </c>
    </row>
    <row r="419" spans="3:55" x14ac:dyDescent="0.25">
      <c r="D419">
        <v>1000</v>
      </c>
      <c r="S419">
        <v>0.88164085149765015</v>
      </c>
      <c r="T419">
        <v>0.73037475347518921</v>
      </c>
      <c r="U419">
        <v>0.59528166055679321</v>
      </c>
      <c r="V419">
        <v>0.51130771636962891</v>
      </c>
      <c r="W419">
        <v>0.43291002511978149</v>
      </c>
      <c r="X419">
        <v>0.3659379780292511</v>
      </c>
      <c r="Y419">
        <v>0.30624464154243469</v>
      </c>
      <c r="Z419">
        <v>0.26012265682220459</v>
      </c>
      <c r="AA419">
        <v>0.21868327260017395</v>
      </c>
      <c r="AB419">
        <v>0.18581046164035797</v>
      </c>
      <c r="AC419">
        <v>0.15700419247150421</v>
      </c>
      <c r="AD419">
        <v>0.12379831820726395</v>
      </c>
      <c r="AE419">
        <v>0.10914628952741623</v>
      </c>
      <c r="AF419">
        <v>8.0394618213176727E-2</v>
      </c>
      <c r="AG419">
        <v>6.4926750957965851E-2</v>
      </c>
      <c r="AH419">
        <v>5.5822379887104034E-2</v>
      </c>
      <c r="AI419">
        <v>4.3468575924634933E-2</v>
      </c>
      <c r="AJ419">
        <v>3.3885922282934189E-2</v>
      </c>
      <c r="AK419">
        <v>3.4682102501392365E-2</v>
      </c>
      <c r="AL419">
        <v>3.0700245872139931E-2</v>
      </c>
    </row>
    <row r="420" spans="3:55" x14ac:dyDescent="0.25">
      <c r="D420">
        <v>2000</v>
      </c>
      <c r="S420">
        <v>0.90463453531265259</v>
      </c>
      <c r="T420">
        <v>0.78200072050094604</v>
      </c>
      <c r="U420">
        <v>0.61023855209350586</v>
      </c>
      <c r="V420">
        <v>0.53087395429611206</v>
      </c>
      <c r="W420">
        <v>0.46317872405052185</v>
      </c>
      <c r="X420">
        <v>0.39061543345451355</v>
      </c>
      <c r="Y420">
        <v>0.32501676678657532</v>
      </c>
      <c r="Z420">
        <v>0.27495628595352173</v>
      </c>
      <c r="AA420">
        <v>0.23729832470417023</v>
      </c>
      <c r="AB420">
        <v>0.20903871953487396</v>
      </c>
      <c r="AC420">
        <v>0.16398289799690247</v>
      </c>
      <c r="AD420">
        <v>0.139552041888237</v>
      </c>
      <c r="AE420">
        <v>0.11267809569835663</v>
      </c>
      <c r="AF420">
        <v>9.4118751585483551E-2</v>
      </c>
      <c r="AG420">
        <v>7.0702709257602692E-2</v>
      </c>
      <c r="AH420">
        <v>6.2795892357826233E-2</v>
      </c>
      <c r="AI420">
        <v>4.9341749399900436E-2</v>
      </c>
      <c r="AJ420">
        <v>3.6841746419668198E-2</v>
      </c>
      <c r="AK420">
        <v>2.9515523463487625E-2</v>
      </c>
      <c r="AL420">
        <v>3.2867535948753357E-2</v>
      </c>
    </row>
    <row r="421" spans="3:55" x14ac:dyDescent="0.25">
      <c r="D421">
        <v>3000</v>
      </c>
      <c r="S421">
        <v>0.92263680696487427</v>
      </c>
      <c r="T421">
        <v>0.82619971036911011</v>
      </c>
      <c r="U421">
        <v>0.64872610569000244</v>
      </c>
      <c r="V421">
        <v>0.55554282665252686</v>
      </c>
      <c r="W421">
        <v>0.47953382134437561</v>
      </c>
      <c r="X421">
        <v>0.41471457481384277</v>
      </c>
      <c r="Y421">
        <v>0.3604978621006012</v>
      </c>
      <c r="Z421">
        <v>0.30149021744728088</v>
      </c>
      <c r="AA421">
        <v>0.25717201828956604</v>
      </c>
      <c r="AB421">
        <v>0.21386876702308655</v>
      </c>
      <c r="AC421">
        <v>0.17974445223808289</v>
      </c>
      <c r="AD421">
        <v>0.15756362676620483</v>
      </c>
      <c r="AE421">
        <v>0.12185588479042053</v>
      </c>
      <c r="AF421">
        <v>0.10895854234695435</v>
      </c>
      <c r="AG421">
        <v>8.047022670507431E-2</v>
      </c>
      <c r="AH421">
        <v>6.5201453864574432E-2</v>
      </c>
      <c r="AI421">
        <v>5.7052720338106155E-2</v>
      </c>
      <c r="AJ421">
        <v>4.1414950042963028E-2</v>
      </c>
      <c r="AK421">
        <v>3.1406186521053314E-2</v>
      </c>
      <c r="AL421">
        <v>2.5925295427441597E-2</v>
      </c>
      <c r="AM421">
        <v>3.1272105872631073E-2</v>
      </c>
    </row>
    <row r="422" spans="3:55" x14ac:dyDescent="0.25">
      <c r="D422">
        <v>4000</v>
      </c>
      <c r="S422">
        <v>0.93676555156707764</v>
      </c>
      <c r="T422">
        <v>0.86192852258682251</v>
      </c>
      <c r="U422">
        <v>0.70187723636627197</v>
      </c>
      <c r="V422">
        <v>0.58213251829147339</v>
      </c>
      <c r="W422">
        <v>0.51068657636642456</v>
      </c>
      <c r="X422">
        <v>0.43475830554962158</v>
      </c>
      <c r="Y422">
        <v>0.37001851201057434</v>
      </c>
      <c r="Z422">
        <v>0.31090313196182251</v>
      </c>
      <c r="AA422">
        <v>0.26582431793212891</v>
      </c>
      <c r="AB422">
        <v>0.22862595319747925</v>
      </c>
      <c r="AC422">
        <v>0.20435279607772827</v>
      </c>
      <c r="AD422">
        <v>0.16242262721061707</v>
      </c>
      <c r="AE422">
        <v>0.13701973855495453</v>
      </c>
      <c r="AF422">
        <v>0.11224794387817383</v>
      </c>
      <c r="AG422">
        <v>9.4463236629962921E-2</v>
      </c>
      <c r="AH422">
        <v>7.1408547461032867E-2</v>
      </c>
      <c r="AI422">
        <v>6.2915109097957611E-2</v>
      </c>
      <c r="AJ422">
        <v>4.7756880521774292E-2</v>
      </c>
      <c r="AK422">
        <v>3.4837022423744202E-2</v>
      </c>
      <c r="AL422">
        <v>2.6888582855463028E-2</v>
      </c>
      <c r="AM422">
        <v>3.3511869609355927E-2</v>
      </c>
    </row>
    <row r="423" spans="3:55" x14ac:dyDescent="0.25">
      <c r="D423">
        <v>5000</v>
      </c>
      <c r="T423">
        <v>0.89000964164733887</v>
      </c>
      <c r="U423">
        <v>0.75712692737579346</v>
      </c>
      <c r="V423">
        <v>0.6038241982460022</v>
      </c>
      <c r="W423">
        <v>0.52832263708114624</v>
      </c>
      <c r="X423">
        <v>0.46395799517631531</v>
      </c>
      <c r="Y423">
        <v>0.39945977926254272</v>
      </c>
      <c r="Z423">
        <v>0.3363804817199707</v>
      </c>
      <c r="AA423">
        <v>0.28678977489471436</v>
      </c>
      <c r="AB423">
        <v>0.25345277786254883</v>
      </c>
      <c r="AC423">
        <v>0.21175996959209442</v>
      </c>
      <c r="AD423">
        <v>0.1757415384054184</v>
      </c>
      <c r="AE423">
        <v>0.15660201013088226</v>
      </c>
      <c r="AF423">
        <v>0.1213395968079567</v>
      </c>
      <c r="AG423">
        <v>0.10889925807714462</v>
      </c>
      <c r="AH423">
        <v>8.1768766045570374E-2</v>
      </c>
      <c r="AI423">
        <v>6.5985351800918579E-2</v>
      </c>
      <c r="AJ423">
        <v>5.6018032133579254E-2</v>
      </c>
      <c r="AK423">
        <v>3.9974700659513474E-2</v>
      </c>
      <c r="AL423">
        <v>2.9327541589736938E-2</v>
      </c>
      <c r="AM423">
        <v>2.3078039288520813E-2</v>
      </c>
      <c r="AN423">
        <v>1.8564732745289803E-2</v>
      </c>
    </row>
    <row r="424" spans="3:55" x14ac:dyDescent="0.25">
      <c r="D424">
        <v>6000</v>
      </c>
      <c r="T424">
        <v>0.91183251142501831</v>
      </c>
      <c r="U424">
        <v>0.80640751123428345</v>
      </c>
      <c r="V424">
        <v>0.63693487644195557</v>
      </c>
      <c r="W424">
        <v>0.55481874942779541</v>
      </c>
      <c r="X424">
        <v>0.48288896679878235</v>
      </c>
      <c r="Y424">
        <v>0.41819620132446289</v>
      </c>
      <c r="Z424">
        <v>0.36189815402030945</v>
      </c>
      <c r="AA424">
        <v>0.30522680282592773</v>
      </c>
      <c r="AB424">
        <v>0.26134264469146729</v>
      </c>
      <c r="AC424">
        <v>0.223796546459198</v>
      </c>
      <c r="AD424">
        <v>0.19772130250930786</v>
      </c>
      <c r="AE424">
        <v>0.16064903140068054</v>
      </c>
      <c r="AF424">
        <v>0.13653236627578735</v>
      </c>
      <c r="AG424">
        <v>0.11249122768640518</v>
      </c>
      <c r="AH424">
        <v>9.6441276371479034E-2</v>
      </c>
      <c r="AI424">
        <v>7.3011159896850586E-2</v>
      </c>
      <c r="AJ424">
        <v>6.019245833158493E-2</v>
      </c>
      <c r="AK424">
        <v>4.6956080943346024E-2</v>
      </c>
      <c r="AL424">
        <v>3.3386949449777603E-2</v>
      </c>
      <c r="AM424">
        <v>2.4632243439555168E-2</v>
      </c>
      <c r="AN424">
        <v>1.9780594855546951E-2</v>
      </c>
    </row>
    <row r="425" spans="3:55" x14ac:dyDescent="0.25">
      <c r="D425">
        <v>7000</v>
      </c>
      <c r="U425">
        <v>0.84696304798126221</v>
      </c>
      <c r="V425">
        <v>0.68890160322189331</v>
      </c>
      <c r="W425">
        <v>0.58032584190368652</v>
      </c>
      <c r="X425">
        <v>0.51173508167266846</v>
      </c>
      <c r="Y425">
        <v>0.44445884227752686</v>
      </c>
      <c r="Z425">
        <v>0.37965145707130432</v>
      </c>
      <c r="AA425">
        <v>0.32221078872680664</v>
      </c>
      <c r="AB425">
        <v>0.27794605493545532</v>
      </c>
      <c r="AC425">
        <v>0.24623045325279236</v>
      </c>
      <c r="AD425">
        <v>0.21102562546730042</v>
      </c>
      <c r="AE425">
        <v>0.17335914075374603</v>
      </c>
      <c r="AF425">
        <v>0.15567032992839813</v>
      </c>
      <c r="AG425">
        <v>0.12204346060752869</v>
      </c>
      <c r="AH425">
        <v>0.10893941670656204</v>
      </c>
      <c r="AI425">
        <v>8.4317825734615326E-2</v>
      </c>
      <c r="AJ425">
        <v>6.4287953078746796E-2</v>
      </c>
      <c r="AK425">
        <v>5.5938649922609329E-2</v>
      </c>
      <c r="AL425">
        <v>3.9241112768650055E-2</v>
      </c>
      <c r="AM425">
        <v>2.7753753587603569E-2</v>
      </c>
      <c r="AN425">
        <v>2.0574683323502541E-2</v>
      </c>
      <c r="AO425">
        <v>1.8829237669706345E-2</v>
      </c>
    </row>
    <row r="426" spans="3:55" x14ac:dyDescent="0.25">
      <c r="D426">
        <v>8000</v>
      </c>
      <c r="U426">
        <v>0.87897557020187378</v>
      </c>
      <c r="V426">
        <v>0.74579387903213501</v>
      </c>
      <c r="W426">
        <v>0.60339099168777466</v>
      </c>
      <c r="X426">
        <v>0.53300625085830688</v>
      </c>
      <c r="Y426">
        <v>0.46711573004722595</v>
      </c>
      <c r="Z426">
        <v>0.4136272668838501</v>
      </c>
      <c r="AA426">
        <v>0.35736873745918274</v>
      </c>
      <c r="AB426">
        <v>0.30391335487365723</v>
      </c>
      <c r="AC426">
        <v>0.25941553711891174</v>
      </c>
      <c r="AD426">
        <v>0.22161039710044861</v>
      </c>
      <c r="AE426">
        <v>0.19502292573451996</v>
      </c>
      <c r="AF426">
        <v>0.15981541574001312</v>
      </c>
      <c r="AG426">
        <v>0.13791850209236145</v>
      </c>
      <c r="AH426">
        <v>0.11342086642980576</v>
      </c>
      <c r="AI426">
        <v>0.10012710839509964</v>
      </c>
      <c r="AJ426">
        <v>7.2534419596195221E-2</v>
      </c>
      <c r="AK426">
        <v>5.8001138269901276E-2</v>
      </c>
      <c r="AL426">
        <v>4.7048687934875488E-2</v>
      </c>
      <c r="AM426">
        <v>3.2612618058919907E-2</v>
      </c>
      <c r="AN426">
        <v>2.2877722978591919E-2</v>
      </c>
      <c r="AO426">
        <v>1.1948481202125549E-2</v>
      </c>
    </row>
    <row r="427" spans="3:55" x14ac:dyDescent="0.25">
      <c r="D427">
        <v>9000</v>
      </c>
      <c r="V427">
        <v>0.79778861999511719</v>
      </c>
      <c r="W427">
        <v>0.63686871528625488</v>
      </c>
      <c r="X427">
        <v>0.55681627988815308</v>
      </c>
      <c r="Y427">
        <v>0.49407342076301575</v>
      </c>
      <c r="Z427">
        <v>0.42702782154083252</v>
      </c>
      <c r="AA427">
        <v>0.36937680840492249</v>
      </c>
      <c r="AB427">
        <v>0.31469470262527466</v>
      </c>
      <c r="AC427">
        <v>0.27322757244110107</v>
      </c>
      <c r="AD427">
        <v>0.24293340742588043</v>
      </c>
      <c r="AE427">
        <v>0.20984505116939545</v>
      </c>
      <c r="AF427">
        <v>0.17288345098495483</v>
      </c>
      <c r="AG427">
        <v>0.15480749309062958</v>
      </c>
      <c r="AH427">
        <v>0.12408725917339325</v>
      </c>
      <c r="AI427">
        <v>0.10935737192630768</v>
      </c>
      <c r="AJ427">
        <v>8.5240110754966736E-2</v>
      </c>
      <c r="AK427">
        <v>6.3516631722450256E-2</v>
      </c>
      <c r="AL427">
        <v>5.3552679717540741E-2</v>
      </c>
      <c r="AM427">
        <v>3.9376787841320038E-2</v>
      </c>
      <c r="AN427">
        <v>2.6865292340517044E-2</v>
      </c>
      <c r="AO427">
        <v>1.3538206927478313E-2</v>
      </c>
      <c r="AP427">
        <v>3.8696043193340302E-3</v>
      </c>
    </row>
    <row r="428" spans="3:55" x14ac:dyDescent="0.25">
      <c r="D428">
        <v>10000</v>
      </c>
      <c r="V428">
        <v>0.84092831611633301</v>
      </c>
      <c r="W428">
        <v>0.69010579586029053</v>
      </c>
      <c r="X428">
        <v>0.58812052011489868</v>
      </c>
      <c r="Y428">
        <v>0.51596540212631226</v>
      </c>
      <c r="Z428">
        <v>0.46366864442825317</v>
      </c>
      <c r="AA428">
        <v>0.39944994449615479</v>
      </c>
      <c r="AB428">
        <v>0.34490293264389038</v>
      </c>
      <c r="AC428">
        <v>0.30020749568939209</v>
      </c>
      <c r="AD428">
        <v>0.25908750295639038</v>
      </c>
      <c r="AE428">
        <v>0.22014293074607849</v>
      </c>
      <c r="AF428">
        <v>0.19523094594478607</v>
      </c>
      <c r="AG428">
        <v>0.16001348197460175</v>
      </c>
      <c r="AH428">
        <v>0.1413751095533371</v>
      </c>
      <c r="AI428">
        <v>0.11486323177814484</v>
      </c>
      <c r="AJ428">
        <v>0.10261248797178268</v>
      </c>
      <c r="AK428">
        <v>7.3413260281085968E-2</v>
      </c>
      <c r="AL428">
        <v>5.6674778461456299E-2</v>
      </c>
      <c r="AM428">
        <v>4.8225123435258865E-2</v>
      </c>
      <c r="AN428">
        <v>3.2713346183300018E-2</v>
      </c>
      <c r="AO428">
        <v>1.6751229763031006E-2</v>
      </c>
      <c r="AP428">
        <v>4.8430124297738075E-3</v>
      </c>
    </row>
    <row r="429" spans="3:55" x14ac:dyDescent="0.25">
      <c r="D429">
        <v>11000</v>
      </c>
      <c r="V429">
        <v>0.87491399049758911</v>
      </c>
      <c r="W429">
        <v>0.7481236457824707</v>
      </c>
      <c r="X429">
        <v>0.6081276535987854</v>
      </c>
      <c r="Y429">
        <v>0.54601311683654785</v>
      </c>
      <c r="Z429">
        <v>0.47686779499053955</v>
      </c>
      <c r="AA429">
        <v>0.41886332631111145</v>
      </c>
      <c r="AB429">
        <v>0.36488473415374756</v>
      </c>
      <c r="AC429">
        <v>0.31139355897903442</v>
      </c>
      <c r="AD429">
        <v>0.27160713076591492</v>
      </c>
      <c r="AE429">
        <v>0.24143493175506592</v>
      </c>
      <c r="AF429">
        <v>0.20928892493247986</v>
      </c>
      <c r="AG429">
        <v>0.17435440421104431</v>
      </c>
      <c r="AH429">
        <v>0.15432363748550415</v>
      </c>
      <c r="AI429">
        <v>0.1263166069984436</v>
      </c>
      <c r="AJ429">
        <v>0.10732214152812958</v>
      </c>
      <c r="AK429">
        <v>8.7926663458347321E-2</v>
      </c>
      <c r="AL429">
        <v>6.4010873436927795E-2</v>
      </c>
      <c r="AM429">
        <v>5.1456015557050705E-2</v>
      </c>
      <c r="AN429">
        <v>4.0581628680229187E-2</v>
      </c>
      <c r="AO429">
        <v>2.1768517792224884E-2</v>
      </c>
      <c r="AP429">
        <v>7.3892152868211269E-3</v>
      </c>
    </row>
    <row r="430" spans="3:55" x14ac:dyDescent="0.25">
      <c r="D430">
        <v>12000</v>
      </c>
      <c r="W430">
        <v>0.80078178644180298</v>
      </c>
      <c r="X430">
        <v>0.64771217107772827</v>
      </c>
      <c r="Y430">
        <v>0.56514275074005127</v>
      </c>
      <c r="Z430">
        <v>0.51125890016555786</v>
      </c>
      <c r="AA430">
        <v>0.44717395305633545</v>
      </c>
      <c r="AB430">
        <v>0.38922181725502014</v>
      </c>
      <c r="AC430">
        <v>0.33833304047584534</v>
      </c>
      <c r="AD430">
        <v>0.29759520292282104</v>
      </c>
      <c r="AE430">
        <v>0.25869068503379822</v>
      </c>
      <c r="AF430">
        <v>0.22035679221153259</v>
      </c>
      <c r="AG430">
        <v>0.19816598296165466</v>
      </c>
      <c r="AH430">
        <v>0.16130828857421875</v>
      </c>
      <c r="AI430">
        <v>0.14405031502246857</v>
      </c>
      <c r="AJ430">
        <v>0.11474330723285675</v>
      </c>
      <c r="AK430">
        <v>0.10254533588886261</v>
      </c>
      <c r="AL430">
        <v>7.5945176184177399E-2</v>
      </c>
      <c r="AM430">
        <v>5.6548982858657837E-2</v>
      </c>
      <c r="AN430">
        <v>4.7478444874286652E-2</v>
      </c>
      <c r="AO430">
        <v>2.8769617900252342E-2</v>
      </c>
      <c r="AP430">
        <v>1.169254444539547E-2</v>
      </c>
      <c r="AQ430">
        <v>-9.9507113918662071E-3</v>
      </c>
    </row>
    <row r="431" spans="3:55" x14ac:dyDescent="0.25">
      <c r="D431">
        <v>13000</v>
      </c>
      <c r="W431">
        <v>0.84409576654434204</v>
      </c>
      <c r="X431">
        <v>0.70434111356735229</v>
      </c>
      <c r="Y431">
        <v>0.59865230321884155</v>
      </c>
      <c r="Z431">
        <v>0.52821415662765503</v>
      </c>
      <c r="AA431">
        <v>0.46885836124420166</v>
      </c>
      <c r="AB431">
        <v>0.41571599245071411</v>
      </c>
      <c r="AC431">
        <v>0.36327138543128967</v>
      </c>
      <c r="AD431">
        <v>0.31057512760162354</v>
      </c>
      <c r="AE431">
        <v>0.27137777209281921</v>
      </c>
      <c r="AF431">
        <v>0.24281205236911774</v>
      </c>
      <c r="AG431">
        <v>0.20940430462360382</v>
      </c>
      <c r="AH431">
        <v>0.17788787186145782</v>
      </c>
      <c r="AI431">
        <v>0.15453131496906281</v>
      </c>
      <c r="AJ431">
        <v>0.12841536104679108</v>
      </c>
      <c r="AK431">
        <v>0.10638430714607239</v>
      </c>
      <c r="AL431">
        <v>9.2719994485378265E-2</v>
      </c>
      <c r="AM431">
        <v>6.6163890063762665E-2</v>
      </c>
      <c r="AN431">
        <v>5.0606228411197662E-2</v>
      </c>
      <c r="AO431">
        <v>3.7925016134977341E-2</v>
      </c>
      <c r="AP431">
        <v>1.7938079312443733E-2</v>
      </c>
      <c r="AQ431">
        <v>-6.2759630382061005E-3</v>
      </c>
    </row>
    <row r="432" spans="3:55" x14ac:dyDescent="0.25">
      <c r="D432">
        <v>14000</v>
      </c>
      <c r="X432">
        <v>0.76286834478378296</v>
      </c>
      <c r="Y432">
        <v>0.62105429172515869</v>
      </c>
      <c r="Z432">
        <v>0.55579584836959839</v>
      </c>
      <c r="AA432">
        <v>0.49991694092750549</v>
      </c>
      <c r="AB432">
        <v>0.43824142217636108</v>
      </c>
      <c r="AC432">
        <v>0.38447511196136475</v>
      </c>
      <c r="AD432">
        <v>0.33663943409919739</v>
      </c>
      <c r="AE432">
        <v>0.29792076349258423</v>
      </c>
      <c r="AF432">
        <v>0.2590203583240509</v>
      </c>
      <c r="AG432">
        <v>0.22247228026390076</v>
      </c>
      <c r="AH432">
        <v>0.20416179299354553</v>
      </c>
      <c r="AI432">
        <v>0.16435615718364716</v>
      </c>
      <c r="AJ432">
        <v>0.14857107400894165</v>
      </c>
      <c r="AK432">
        <v>0.11635273694992065</v>
      </c>
      <c r="AL432">
        <v>0.10048261284828186</v>
      </c>
      <c r="AM432">
        <v>8.0616980791091919E-2</v>
      </c>
      <c r="AN432">
        <v>5.8166850358247757E-2</v>
      </c>
      <c r="AO432">
        <v>4.0672507137060165E-2</v>
      </c>
      <c r="AP432">
        <v>2.6305872946977615E-2</v>
      </c>
      <c r="AQ432">
        <v>-7.1282847784459591E-4</v>
      </c>
      <c r="AR432">
        <v>-3.1399540603160858E-2</v>
      </c>
    </row>
    <row r="433" spans="4:45" x14ac:dyDescent="0.25">
      <c r="D433">
        <v>15000</v>
      </c>
      <c r="X433">
        <v>0.81428086757659912</v>
      </c>
      <c r="Y433">
        <v>0.66997408866882324</v>
      </c>
      <c r="Z433">
        <v>0.58593523502349854</v>
      </c>
      <c r="AA433">
        <v>0.51955032348632813</v>
      </c>
      <c r="AB433">
        <v>0.46603429317474365</v>
      </c>
      <c r="AC433">
        <v>0.41514664888381958</v>
      </c>
      <c r="AD433">
        <v>0.36342039704322815</v>
      </c>
      <c r="AE433">
        <v>0.31081691384315491</v>
      </c>
      <c r="AF433">
        <v>0.27338966727256775</v>
      </c>
      <c r="AG433">
        <v>0.24729365110397339</v>
      </c>
      <c r="AH433">
        <v>0.2107871025800705</v>
      </c>
      <c r="AI433">
        <v>0.18413937091827393</v>
      </c>
      <c r="AJ433">
        <v>0.15455393493175507</v>
      </c>
      <c r="AK433">
        <v>0.13287374377250671</v>
      </c>
      <c r="AL433">
        <v>0.10716496407985687</v>
      </c>
      <c r="AM433">
        <v>9.6435979008674622E-2</v>
      </c>
      <c r="AN433">
        <v>7.0540450513362885E-2</v>
      </c>
      <c r="AO433">
        <v>4.6412810683250427E-2</v>
      </c>
      <c r="AP433">
        <v>3.1795535236597061E-2</v>
      </c>
      <c r="AQ433">
        <v>6.9269021041691303E-3</v>
      </c>
      <c r="AR433">
        <v>-2.7252849191427231E-2</v>
      </c>
    </row>
    <row r="434" spans="4:45" x14ac:dyDescent="0.25">
      <c r="D434">
        <v>16000</v>
      </c>
      <c r="X434">
        <v>0.85550934076309204</v>
      </c>
      <c r="Y434">
        <v>0.72960937023162842</v>
      </c>
      <c r="Z434">
        <v>0.60754823684692383</v>
      </c>
      <c r="AA434">
        <v>0.5541045069694519</v>
      </c>
      <c r="AB434">
        <v>0.49151256680488586</v>
      </c>
      <c r="AC434">
        <v>0.43476992845535278</v>
      </c>
      <c r="AD434">
        <v>0.38409775495529175</v>
      </c>
      <c r="AE434">
        <v>0.33810761570930481</v>
      </c>
      <c r="AF434">
        <v>0.30186468362808228</v>
      </c>
      <c r="AG434">
        <v>0.26045963168144226</v>
      </c>
      <c r="AH434">
        <v>0.22699986398220062</v>
      </c>
      <c r="AI434">
        <v>0.20580004155635834</v>
      </c>
      <c r="AJ434">
        <v>0.16811960935592651</v>
      </c>
      <c r="AK434">
        <v>0.14889252185821533</v>
      </c>
      <c r="AL434">
        <v>0.12029261142015457</v>
      </c>
      <c r="AM434">
        <v>0.10014944523572922</v>
      </c>
      <c r="AN434">
        <v>8.7977960705757141E-2</v>
      </c>
      <c r="AO434">
        <v>5.6889396160840988E-2</v>
      </c>
      <c r="AP434">
        <v>3.5943754017353058E-2</v>
      </c>
      <c r="AQ434">
        <v>1.3482445850968361E-2</v>
      </c>
      <c r="AR434">
        <v>-2.1409645676612854E-2</v>
      </c>
    </row>
    <row r="435" spans="4:45" x14ac:dyDescent="0.25">
      <c r="D435">
        <v>17000</v>
      </c>
      <c r="Y435">
        <v>0.78639131784439087</v>
      </c>
      <c r="Z435">
        <v>0.64767402410507202</v>
      </c>
      <c r="AA435">
        <v>0.57383638620376587</v>
      </c>
      <c r="AB435">
        <v>0.5160062313079834</v>
      </c>
      <c r="AC435">
        <v>0.46541115641593933</v>
      </c>
      <c r="AD435">
        <v>0.41547584533691406</v>
      </c>
      <c r="AE435">
        <v>0.36361020803451538</v>
      </c>
      <c r="AF435">
        <v>0.31299680471420288</v>
      </c>
      <c r="AG435">
        <v>0.2778652012348175</v>
      </c>
      <c r="AH435">
        <v>0.25675085186958313</v>
      </c>
      <c r="AI435">
        <v>0.21457026898860931</v>
      </c>
      <c r="AJ435">
        <v>0.19192120432853699</v>
      </c>
      <c r="AK435">
        <v>0.15683533251285553</v>
      </c>
      <c r="AL435">
        <v>0.14020001888275146</v>
      </c>
      <c r="AM435">
        <v>0.11026093363761902</v>
      </c>
      <c r="AN435">
        <v>9.497639536857605E-2</v>
      </c>
      <c r="AO435">
        <v>7.2438135743141174E-2</v>
      </c>
      <c r="AP435">
        <v>4.4768121093511581E-2</v>
      </c>
      <c r="AQ435">
        <v>1.6547931358218193E-2</v>
      </c>
      <c r="AR435">
        <v>-1.3706634752452374E-2</v>
      </c>
    </row>
    <row r="436" spans="4:45" x14ac:dyDescent="0.25">
      <c r="D436">
        <v>18000</v>
      </c>
      <c r="Y436">
        <v>0.83392906188964844</v>
      </c>
      <c r="Z436">
        <v>0.7060120701789856</v>
      </c>
      <c r="AA436">
        <v>0.60191547870635986</v>
      </c>
      <c r="AB436">
        <v>0.54768675565719604</v>
      </c>
      <c r="AC436">
        <v>0.48859360814094543</v>
      </c>
      <c r="AD436">
        <v>0.43526771664619446</v>
      </c>
      <c r="AE436">
        <v>0.38635525107383728</v>
      </c>
      <c r="AF436">
        <v>0.34372976422309875</v>
      </c>
      <c r="AG436">
        <v>0.30388408899307251</v>
      </c>
      <c r="AH436">
        <v>0.26366794109344482</v>
      </c>
      <c r="AI436">
        <v>0.23632249236106873</v>
      </c>
      <c r="AJ436">
        <v>0.20528295636177063</v>
      </c>
      <c r="AK436">
        <v>0.17512759566307068</v>
      </c>
      <c r="AL436">
        <v>0.14923954010009766</v>
      </c>
      <c r="AM436">
        <v>0.12720328569412231</v>
      </c>
      <c r="AN436">
        <v>0.10306853055953979</v>
      </c>
      <c r="AO436">
        <v>8.7116755545139313E-2</v>
      </c>
      <c r="AP436">
        <v>5.8649454265832901E-2</v>
      </c>
      <c r="AQ436">
        <v>2.4601416662335396E-2</v>
      </c>
      <c r="AR436">
        <v>-1.0666770860552788E-2</v>
      </c>
      <c r="AS436">
        <v>-7.217852771282196E-2</v>
      </c>
    </row>
    <row r="437" spans="4:45" x14ac:dyDescent="0.25">
      <c r="D437">
        <v>19000</v>
      </c>
      <c r="Z437">
        <v>0.76611799001693726</v>
      </c>
      <c r="AA437">
        <v>0.63481742143630981</v>
      </c>
      <c r="AB437">
        <v>0.56861025094985962</v>
      </c>
      <c r="AC437">
        <v>0.51526904106140137</v>
      </c>
      <c r="AD437">
        <v>0.46604046225547791</v>
      </c>
      <c r="AE437">
        <v>0.41540822386741638</v>
      </c>
      <c r="AF437">
        <v>0.36534538865089417</v>
      </c>
      <c r="AG437">
        <v>0.31800621747970581</v>
      </c>
      <c r="AH437">
        <v>0.28563138842582703</v>
      </c>
      <c r="AI437">
        <v>0.2574145495891571</v>
      </c>
      <c r="AJ437">
        <v>0.21942541003227234</v>
      </c>
      <c r="AK437">
        <v>0.20066721737384796</v>
      </c>
      <c r="AL437">
        <v>0.1624685525894165</v>
      </c>
      <c r="AM437">
        <v>0.14440508186817169</v>
      </c>
      <c r="AN437">
        <v>0.11852692812681198</v>
      </c>
      <c r="AO437">
        <v>9.2649795114994049E-2</v>
      </c>
      <c r="AP437">
        <v>8.0362327396869659E-2</v>
      </c>
      <c r="AQ437">
        <v>3.8090236485004425E-2</v>
      </c>
      <c r="AR437">
        <v>-2.8641768731176853E-3</v>
      </c>
      <c r="AS437">
        <v>-6.9503426551818848E-2</v>
      </c>
    </row>
    <row r="438" spans="4:45" x14ac:dyDescent="0.25">
      <c r="D438">
        <v>20000</v>
      </c>
      <c r="Z438">
        <v>0.81830912828445435</v>
      </c>
      <c r="AA438">
        <v>0.69121712446212769</v>
      </c>
      <c r="AB438">
        <v>0.60030257701873779</v>
      </c>
      <c r="AC438">
        <v>0.54578918218612671</v>
      </c>
      <c r="AD438">
        <v>0.49036049842834473</v>
      </c>
      <c r="AE438">
        <v>0.43840023875236511</v>
      </c>
      <c r="AF438">
        <v>0.39275223016738892</v>
      </c>
      <c r="AG438">
        <v>0.35427197813987732</v>
      </c>
      <c r="AH438">
        <v>0.30568772554397583</v>
      </c>
      <c r="AI438">
        <v>0.26991361379623413</v>
      </c>
      <c r="AJ438">
        <v>0.24688588082790375</v>
      </c>
      <c r="AK438">
        <v>0.20794682204723358</v>
      </c>
      <c r="AL438">
        <v>0.18648767471313477</v>
      </c>
      <c r="AM438">
        <v>0.15320056676864624</v>
      </c>
      <c r="AN438">
        <v>0.14159396290779114</v>
      </c>
      <c r="AO438">
        <v>0.10549621284008026</v>
      </c>
      <c r="AP438">
        <v>8.3737999200820923E-2</v>
      </c>
      <c r="AQ438">
        <v>5.7303488254547119E-2</v>
      </c>
      <c r="AR438">
        <v>1.112755760550499E-2</v>
      </c>
      <c r="AS438">
        <v>-6.1623029410839081E-2</v>
      </c>
    </row>
    <row r="439" spans="4:45" x14ac:dyDescent="0.25">
      <c r="D439">
        <v>21000</v>
      </c>
      <c r="AA439">
        <v>0.75305932760238647</v>
      </c>
      <c r="AB439">
        <v>0.62919747829437256</v>
      </c>
      <c r="AC439">
        <v>0.56797325611114502</v>
      </c>
      <c r="AD439">
        <v>0.51660937070846558</v>
      </c>
      <c r="AE439">
        <v>0.46690130233764648</v>
      </c>
      <c r="AF439">
        <v>0.4169691801071167</v>
      </c>
      <c r="AG439">
        <v>0.36981585621833801</v>
      </c>
      <c r="AH439">
        <v>0.32720974087715149</v>
      </c>
      <c r="AI439">
        <v>0.29779431223869324</v>
      </c>
      <c r="AJ439">
        <v>0.2579425573348999</v>
      </c>
      <c r="AK439">
        <v>0.22870513796806335</v>
      </c>
      <c r="AL439">
        <v>0.20056048035621643</v>
      </c>
      <c r="AM439">
        <v>0.17272177338600159</v>
      </c>
      <c r="AN439">
        <v>0.14637352526187897</v>
      </c>
      <c r="AO439">
        <v>0.12598238885402679</v>
      </c>
      <c r="AP439">
        <v>9.4265542924404144E-2</v>
      </c>
      <c r="AQ439">
        <v>6.7507728934288025E-2</v>
      </c>
      <c r="AR439">
        <v>3.1649358570575714E-2</v>
      </c>
      <c r="AS439">
        <v>-4.642292857170105E-2</v>
      </c>
    </row>
    <row r="440" spans="4:45" x14ac:dyDescent="0.25">
      <c r="D440">
        <v>22000</v>
      </c>
      <c r="AA440">
        <v>0.80827838182449341</v>
      </c>
      <c r="AB440">
        <v>0.68452537059783936</v>
      </c>
      <c r="AC440">
        <v>0.60028165578842163</v>
      </c>
      <c r="AD440">
        <v>0.54985606670379639</v>
      </c>
      <c r="AE440">
        <v>0.49561259150505066</v>
      </c>
      <c r="AF440">
        <v>0.44594892859458923</v>
      </c>
      <c r="AG440">
        <v>0.40407171845436096</v>
      </c>
      <c r="AH440">
        <v>0.360882967710495</v>
      </c>
      <c r="AI440">
        <v>0.31125271320343018</v>
      </c>
      <c r="AJ440">
        <v>0.27752995491027832</v>
      </c>
      <c r="AK440">
        <v>0.25113025307655334</v>
      </c>
      <c r="AL440">
        <v>0.215157151222229</v>
      </c>
      <c r="AM440">
        <v>0.19622626900672913</v>
      </c>
      <c r="AN440">
        <v>0.161918044090271</v>
      </c>
      <c r="AO440">
        <v>0.13818114995956421</v>
      </c>
      <c r="AP440">
        <v>0.11250452697277069</v>
      </c>
      <c r="AQ440">
        <v>7.6719328761100769E-2</v>
      </c>
      <c r="AR440">
        <v>4.4970769435167313E-2</v>
      </c>
      <c r="AS440">
        <v>-2.3517627269029617E-2</v>
      </c>
    </row>
    <row r="441" spans="4:45" x14ac:dyDescent="0.25">
      <c r="D441">
        <v>23000</v>
      </c>
      <c r="AB441">
        <v>0.74752885103225708</v>
      </c>
      <c r="AC441">
        <v>0.62922435998916626</v>
      </c>
      <c r="AD441">
        <v>0.57090693712234497</v>
      </c>
      <c r="AE441">
        <v>0.51893067359924316</v>
      </c>
      <c r="AF441">
        <v>0.47015145421028137</v>
      </c>
      <c r="AG441">
        <v>0.42172637581825256</v>
      </c>
      <c r="AH441">
        <v>0.37870028614997864</v>
      </c>
      <c r="AI441">
        <v>0.34234446287155151</v>
      </c>
      <c r="AJ441">
        <v>0.30182108283042908</v>
      </c>
      <c r="AK441">
        <v>0.26297089457511902</v>
      </c>
      <c r="AL441">
        <v>0.24364857375621796</v>
      </c>
      <c r="AM441">
        <v>0.20529685914516449</v>
      </c>
      <c r="AN441">
        <v>0.18862138688564301</v>
      </c>
      <c r="AO441">
        <v>0.15013687312602997</v>
      </c>
      <c r="AP441">
        <v>0.13150122761726379</v>
      </c>
      <c r="AQ441">
        <v>9.4139829277992249E-2</v>
      </c>
      <c r="AR441">
        <v>5.3440038114786148E-2</v>
      </c>
      <c r="AS441">
        <v>-3.1145466491580009E-3</v>
      </c>
    </row>
    <row r="442" spans="4:45" x14ac:dyDescent="0.25">
      <c r="D442">
        <v>24000</v>
      </c>
      <c r="AB442">
        <v>0.80450153350830078</v>
      </c>
      <c r="AC442">
        <v>0.68548870086669922</v>
      </c>
      <c r="AD442">
        <v>0.60194200277328491</v>
      </c>
      <c r="AE442">
        <v>0.55504411458969116</v>
      </c>
      <c r="AF442">
        <v>0.50639104843139648</v>
      </c>
      <c r="AG442">
        <v>0.45935744047164917</v>
      </c>
      <c r="AH442">
        <v>0.41233307123184204</v>
      </c>
      <c r="AI442">
        <v>0.36492118239402771</v>
      </c>
      <c r="AJ442">
        <v>0.32060813903808594</v>
      </c>
      <c r="AK442">
        <v>0.29102998971939087</v>
      </c>
      <c r="AL442">
        <v>0.25294202566146851</v>
      </c>
      <c r="AM442">
        <v>0.22858224809169769</v>
      </c>
      <c r="AN442">
        <v>0.19798824191093445</v>
      </c>
      <c r="AO442">
        <v>0.17339695990085602</v>
      </c>
      <c r="AP442">
        <v>0.14039058983325958</v>
      </c>
      <c r="AQ442">
        <v>0.11867973208427429</v>
      </c>
      <c r="AR442">
        <v>7.107970118522644E-2</v>
      </c>
      <c r="AS442">
        <v>5.7606110349297523E-3</v>
      </c>
    </row>
    <row r="443" spans="4:45" x14ac:dyDescent="0.25">
      <c r="D443">
        <v>25000</v>
      </c>
      <c r="AC443">
        <v>0.74959808588027954</v>
      </c>
      <c r="AD443">
        <v>0.63550692796707153</v>
      </c>
      <c r="AE443">
        <v>0.57739067077636719</v>
      </c>
      <c r="AF443">
        <v>0.52529650926589966</v>
      </c>
      <c r="AG443">
        <v>0.47815898060798645</v>
      </c>
      <c r="AH443">
        <v>0.43233698606491089</v>
      </c>
      <c r="AI443">
        <v>0.39349180459976196</v>
      </c>
      <c r="AJ443">
        <v>0.35733851790428162</v>
      </c>
      <c r="AK443">
        <v>0.3063805103302002</v>
      </c>
      <c r="AL443">
        <v>0.27439206838607788</v>
      </c>
      <c r="AM443">
        <v>0.24632748961448669</v>
      </c>
      <c r="AN443">
        <v>0.2155277281999588</v>
      </c>
      <c r="AO443">
        <v>0.18839056789875031</v>
      </c>
      <c r="AP443">
        <v>0.16068896651268005</v>
      </c>
      <c r="AQ443">
        <v>0.12458503246307373</v>
      </c>
      <c r="AR443">
        <v>9.8175272345542908E-2</v>
      </c>
      <c r="AS443">
        <v>2.6182465255260468E-2</v>
      </c>
    </row>
    <row r="444" spans="4:45" x14ac:dyDescent="0.25">
      <c r="D444">
        <v>26000</v>
      </c>
      <c r="AC444">
        <v>0.80704104900360107</v>
      </c>
      <c r="AD444">
        <v>0.69525492191314697</v>
      </c>
      <c r="AE444">
        <v>0.6052398681640625</v>
      </c>
      <c r="AF444">
        <v>0.55643343925476074</v>
      </c>
      <c r="AG444">
        <v>0.51146918535232544</v>
      </c>
      <c r="AH444">
        <v>0.46513146162033081</v>
      </c>
      <c r="AI444">
        <v>0.41718488931655884</v>
      </c>
      <c r="AJ444">
        <v>0.37262898683547974</v>
      </c>
      <c r="AK444">
        <v>0.33842694759368896</v>
      </c>
      <c r="AL444">
        <v>0.29794010519981384</v>
      </c>
      <c r="AM444">
        <v>0.26165491342544556</v>
      </c>
      <c r="AN444">
        <v>0.24211972951889038</v>
      </c>
      <c r="AO444">
        <v>0.20192565023899078</v>
      </c>
      <c r="AP444">
        <v>0.18029291927814484</v>
      </c>
      <c r="AQ444">
        <v>0.14103846251964569</v>
      </c>
      <c r="AR444">
        <v>0.10534495115280151</v>
      </c>
      <c r="AS444">
        <v>5.8392800390720367E-2</v>
      </c>
    </row>
    <row r="445" spans="4:45" x14ac:dyDescent="0.25">
      <c r="D445">
        <v>27000</v>
      </c>
      <c r="AD445">
        <v>0.76029932498931885</v>
      </c>
      <c r="AE445">
        <v>0.64640611410140991</v>
      </c>
      <c r="AF445">
        <v>0.59005522727966309</v>
      </c>
      <c r="AG445">
        <v>0.53768283128738403</v>
      </c>
      <c r="AH445">
        <v>0.49307367205619812</v>
      </c>
      <c r="AI445">
        <v>0.45189276337623596</v>
      </c>
      <c r="AJ445">
        <v>0.40911009907722473</v>
      </c>
      <c r="AK445">
        <v>0.35919645428657532</v>
      </c>
      <c r="AL445">
        <v>0.32033395767211914</v>
      </c>
      <c r="AM445">
        <v>0.29375433921813965</v>
      </c>
      <c r="AN445">
        <v>0.25267744064331055</v>
      </c>
      <c r="AO445">
        <v>0.22952951490879059</v>
      </c>
      <c r="AP445">
        <v>0.19044007360935211</v>
      </c>
      <c r="AQ445">
        <v>0.16931925714015961</v>
      </c>
      <c r="AR445">
        <v>0.12241855263710022</v>
      </c>
      <c r="AS445">
        <v>7.2298713028430939E-2</v>
      </c>
    </row>
    <row r="446" spans="4:45" x14ac:dyDescent="0.25">
      <c r="D446">
        <v>28000</v>
      </c>
      <c r="AD446">
        <v>0.81707388162612915</v>
      </c>
      <c r="AE446">
        <v>0.70998686552047729</v>
      </c>
      <c r="AF446">
        <v>0.61344021558761597</v>
      </c>
      <c r="AG446">
        <v>0.5633537769317627</v>
      </c>
      <c r="AH446">
        <v>0.51746231317520142</v>
      </c>
      <c r="AI446">
        <v>0.47356405854225159</v>
      </c>
      <c r="AJ446">
        <v>0.42869684100151062</v>
      </c>
      <c r="AK446">
        <v>0.39015769958496094</v>
      </c>
      <c r="AL446">
        <v>0.35148650407791138</v>
      </c>
      <c r="AM446">
        <v>0.3073233962059021</v>
      </c>
      <c r="AN446">
        <v>0.28148502111434937</v>
      </c>
      <c r="AO446">
        <v>0.24197275936603546</v>
      </c>
      <c r="AP446">
        <v>0.21489180624485016</v>
      </c>
      <c r="AQ446">
        <v>0.17699752748012543</v>
      </c>
      <c r="AR446">
        <v>0.15223675966262817</v>
      </c>
      <c r="AS446">
        <v>9.3982964754104614E-2</v>
      </c>
    </row>
    <row r="447" spans="4:45" x14ac:dyDescent="0.25">
      <c r="D447">
        <v>29000</v>
      </c>
      <c r="AE447">
        <v>0.77489286661148071</v>
      </c>
      <c r="AF447">
        <v>0.66451728343963623</v>
      </c>
      <c r="AG447">
        <v>0.5991860032081604</v>
      </c>
      <c r="AH447">
        <v>0.55370110273361206</v>
      </c>
      <c r="AI447">
        <v>0.5100024938583374</v>
      </c>
      <c r="AJ447">
        <v>0.46224552392959595</v>
      </c>
      <c r="AK447">
        <v>0.41365519165992737</v>
      </c>
      <c r="AL447">
        <v>0.37223762273788452</v>
      </c>
      <c r="AM447">
        <v>0.34645727276802063</v>
      </c>
      <c r="AN447">
        <v>0.29786276817321777</v>
      </c>
      <c r="AO447">
        <v>0.26617023348808289</v>
      </c>
      <c r="AP447">
        <v>0.2332444041967392</v>
      </c>
      <c r="AQ447">
        <v>0.19969666004180908</v>
      </c>
      <c r="AR447">
        <v>0.16224725544452667</v>
      </c>
      <c r="AS447">
        <v>0.13314199447631836</v>
      </c>
    </row>
    <row r="448" spans="4:45" x14ac:dyDescent="0.25">
      <c r="D448">
        <v>30000</v>
      </c>
      <c r="AF448">
        <v>0.73148435354232788</v>
      </c>
      <c r="AG448">
        <v>0.62952345609664917</v>
      </c>
      <c r="AH448">
        <v>0.57984143495559692</v>
      </c>
      <c r="AI448">
        <v>0.53350871801376343</v>
      </c>
      <c r="AJ448">
        <v>0.49072155356407166</v>
      </c>
      <c r="AK448">
        <v>0.45286056399345398</v>
      </c>
      <c r="AL448">
        <v>0.40516147017478943</v>
      </c>
      <c r="AM448">
        <v>0.35944855213165283</v>
      </c>
      <c r="AN448">
        <v>0.32797029614448547</v>
      </c>
      <c r="AO448">
        <v>0.28895685076713562</v>
      </c>
      <c r="AP448">
        <v>0.25349682569503784</v>
      </c>
      <c r="AQ448">
        <v>0.22344528138637543</v>
      </c>
      <c r="AR448">
        <v>0.18537417054176331</v>
      </c>
      <c r="AS448">
        <v>0.15077972412109375</v>
      </c>
    </row>
    <row r="449" spans="4:45" x14ac:dyDescent="0.25">
      <c r="D449">
        <v>31000</v>
      </c>
      <c r="AF449">
        <v>0.79460108280181885</v>
      </c>
      <c r="AG449">
        <v>0.6904643177986145</v>
      </c>
      <c r="AH449">
        <v>0.6076817512512207</v>
      </c>
      <c r="AI449">
        <v>0.56129717826843262</v>
      </c>
      <c r="AJ449">
        <v>0.51611077785491943</v>
      </c>
      <c r="AK449">
        <v>0.47274401783943176</v>
      </c>
      <c r="AL449">
        <v>0.4329369068145752</v>
      </c>
      <c r="AM449">
        <v>0.39965319633483887</v>
      </c>
      <c r="AN449">
        <v>0.35053002834320068</v>
      </c>
      <c r="AO449">
        <v>0.31321871280670166</v>
      </c>
      <c r="AP449">
        <v>0.28198567032814026</v>
      </c>
      <c r="AQ449">
        <v>0.24097451567649841</v>
      </c>
      <c r="AR449">
        <v>0.21305207908153534</v>
      </c>
      <c r="AS449">
        <v>0.17891488969326019</v>
      </c>
    </row>
    <row r="450" spans="4:45" x14ac:dyDescent="0.25">
      <c r="D450">
        <v>32000</v>
      </c>
      <c r="AG450">
        <v>0.75851935148239136</v>
      </c>
      <c r="AH450">
        <v>0.6554948091506958</v>
      </c>
      <c r="AI450">
        <v>0.59860086441040039</v>
      </c>
      <c r="AJ450">
        <v>0.55164879560470581</v>
      </c>
      <c r="AK450">
        <v>0.50676751136779785</v>
      </c>
      <c r="AL450">
        <v>0.46116241812705994</v>
      </c>
      <c r="AM450">
        <v>0.41838696599006653</v>
      </c>
      <c r="AN450">
        <v>0.38496360182762146</v>
      </c>
      <c r="AO450">
        <v>0.34464672207832336</v>
      </c>
      <c r="AP450">
        <v>0.30135354399681091</v>
      </c>
      <c r="AQ450">
        <v>0.28004652261734009</v>
      </c>
      <c r="AR450">
        <v>0.2343260645866394</v>
      </c>
      <c r="AS450">
        <v>0.21838870644569397</v>
      </c>
    </row>
    <row r="451" spans="4:45" x14ac:dyDescent="0.25">
      <c r="D451">
        <v>33000</v>
      </c>
      <c r="AH451">
        <v>0.72349977493286133</v>
      </c>
      <c r="AI451">
        <v>0.62852281332015991</v>
      </c>
      <c r="AJ451">
        <v>0.58287417888641357</v>
      </c>
      <c r="AK451">
        <v>0.53802621364593506</v>
      </c>
      <c r="AL451">
        <v>0.49989491701126099</v>
      </c>
      <c r="AM451">
        <v>0.45436477661132813</v>
      </c>
      <c r="AN451">
        <v>0.40819588303565979</v>
      </c>
      <c r="AO451">
        <v>0.37231847643852234</v>
      </c>
      <c r="AP451">
        <v>0.34077161550521851</v>
      </c>
      <c r="AQ451">
        <v>0.29738670587539673</v>
      </c>
      <c r="AR451">
        <v>0.28209185600280762</v>
      </c>
      <c r="AS451">
        <v>0.24240823090076447</v>
      </c>
    </row>
    <row r="452" spans="4:45" x14ac:dyDescent="0.25">
      <c r="D452">
        <v>34000</v>
      </c>
      <c r="AI452">
        <v>0.69054543972015381</v>
      </c>
      <c r="AJ452">
        <v>0.60935598611831665</v>
      </c>
      <c r="AK452">
        <v>0.56431680917739868</v>
      </c>
      <c r="AL452">
        <v>0.52178323268890381</v>
      </c>
      <c r="AM452">
        <v>0.48333173990249634</v>
      </c>
      <c r="AN452">
        <v>0.45098793506622314</v>
      </c>
      <c r="AO452">
        <v>0.40306773781776428</v>
      </c>
      <c r="AP452">
        <v>0.36284840106964111</v>
      </c>
      <c r="AQ452">
        <v>0.34395202994346619</v>
      </c>
      <c r="AR452">
        <v>0.29935988783836365</v>
      </c>
      <c r="AS452">
        <v>0.30000901222229004</v>
      </c>
    </row>
    <row r="453" spans="4:45" x14ac:dyDescent="0.25">
      <c r="D453">
        <v>35000</v>
      </c>
      <c r="AJ453">
        <v>0.66227835416793823</v>
      </c>
      <c r="AK453">
        <v>0.59800243377685547</v>
      </c>
      <c r="AL453">
        <v>0.55279463529586792</v>
      </c>
      <c r="AM453">
        <v>0.51083159446716309</v>
      </c>
      <c r="AN453">
        <v>0.47175583243370056</v>
      </c>
      <c r="AO453">
        <v>0.44017156958580017</v>
      </c>
      <c r="AP453">
        <v>0.40027165412902832</v>
      </c>
      <c r="AQ453">
        <v>0.3631998598575592</v>
      </c>
      <c r="AR453">
        <v>0.35057243704795837</v>
      </c>
      <c r="AS453">
        <v>0.3207356333732605</v>
      </c>
    </row>
    <row r="454" spans="4:45" x14ac:dyDescent="0.25">
      <c r="D454">
        <v>36000</v>
      </c>
      <c r="AL454">
        <v>0.59218305349349976</v>
      </c>
      <c r="AM454">
        <v>0.54602479934692383</v>
      </c>
      <c r="AN454">
        <v>0.50327527523040771</v>
      </c>
      <c r="AO454">
        <v>0.46627095341682434</v>
      </c>
      <c r="AP454">
        <v>0.43123620748519897</v>
      </c>
      <c r="AQ454">
        <v>0.40537318587303162</v>
      </c>
      <c r="AR454">
        <v>0.37059634923934937</v>
      </c>
      <c r="AS454">
        <v>0.37059980630874634</v>
      </c>
    </row>
    <row r="455" spans="4:45" x14ac:dyDescent="0.25">
      <c r="D455">
        <v>37000</v>
      </c>
      <c r="AN455">
        <v>0.54275393486022949</v>
      </c>
      <c r="AO455">
        <v>0.50414186716079712</v>
      </c>
      <c r="AP455">
        <v>0.46337321400642395</v>
      </c>
      <c r="AQ455">
        <v>0.43483102321624756</v>
      </c>
      <c r="AR455">
        <v>0.41614323854446411</v>
      </c>
    </row>
    <row r="456" spans="4:45" x14ac:dyDescent="0.25">
      <c r="D456">
        <v>38000</v>
      </c>
    </row>
    <row r="457" spans="4:45" x14ac:dyDescent="0.25">
      <c r="D457">
        <v>39000</v>
      </c>
    </row>
    <row r="458" spans="4:45" x14ac:dyDescent="0.25">
      <c r="D458">
        <v>40000</v>
      </c>
    </row>
    <row r="459" spans="4:45" x14ac:dyDescent="0.25">
      <c r="D459">
        <v>41000</v>
      </c>
    </row>
    <row r="460" spans="4:45" x14ac:dyDescent="0.25">
      <c r="D460">
        <v>42000</v>
      </c>
    </row>
    <row r="461" spans="4:45" x14ac:dyDescent="0.25">
      <c r="D461">
        <v>43000</v>
      </c>
    </row>
    <row r="462" spans="4:45" x14ac:dyDescent="0.25">
      <c r="D462">
        <v>44000</v>
      </c>
    </row>
    <row r="463" spans="4:45" x14ac:dyDescent="0.25">
      <c r="D463">
        <v>45000</v>
      </c>
    </row>
    <row r="464" spans="4:45" x14ac:dyDescent="0.25">
      <c r="D464">
        <v>46000</v>
      </c>
    </row>
    <row r="465" spans="3:55" x14ac:dyDescent="0.25">
      <c r="D465">
        <v>47000</v>
      </c>
    </row>
    <row r="466" spans="3:55" x14ac:dyDescent="0.25">
      <c r="D466">
        <v>48000</v>
      </c>
    </row>
    <row r="467" spans="3:55" x14ac:dyDescent="0.25">
      <c r="D467">
        <v>49000</v>
      </c>
    </row>
    <row r="468" spans="3:55" x14ac:dyDescent="0.25">
      <c r="D468">
        <v>50000</v>
      </c>
    </row>
    <row r="469" spans="3:55" x14ac:dyDescent="0.25">
      <c r="C469" t="s">
        <v>142</v>
      </c>
      <c r="D469" t="s">
        <v>133</v>
      </c>
      <c r="E469">
        <v>0</v>
      </c>
      <c r="F469">
        <v>0.02</v>
      </c>
      <c r="G469">
        <v>0.04</v>
      </c>
      <c r="H469">
        <v>0.06</v>
      </c>
      <c r="I469">
        <v>0.08</v>
      </c>
      <c r="J469">
        <v>0.1</v>
      </c>
      <c r="K469">
        <v>0.12</v>
      </c>
      <c r="L469">
        <v>0.14000000000000001</v>
      </c>
      <c r="M469">
        <v>0.16</v>
      </c>
      <c r="N469">
        <v>0.18</v>
      </c>
      <c r="O469">
        <v>0.2</v>
      </c>
      <c r="P469">
        <v>0.22</v>
      </c>
      <c r="Q469">
        <v>0.24</v>
      </c>
      <c r="R469">
        <v>0.26</v>
      </c>
      <c r="S469">
        <v>0.28000000000000003</v>
      </c>
      <c r="T469">
        <v>0.3</v>
      </c>
      <c r="U469">
        <v>0.32</v>
      </c>
      <c r="V469">
        <v>0.34</v>
      </c>
      <c r="W469">
        <v>0.36</v>
      </c>
      <c r="X469">
        <v>0.38</v>
      </c>
      <c r="Y469">
        <v>0.4</v>
      </c>
      <c r="Z469">
        <v>0.42</v>
      </c>
      <c r="AA469">
        <v>0.44</v>
      </c>
      <c r="AB469">
        <v>0.46</v>
      </c>
      <c r="AC469">
        <v>0.48</v>
      </c>
      <c r="AD469">
        <v>0.5</v>
      </c>
      <c r="AE469">
        <v>0.52</v>
      </c>
      <c r="AF469">
        <v>0.54</v>
      </c>
      <c r="AG469">
        <v>0.56000000000000005</v>
      </c>
      <c r="AH469">
        <v>0.57999999999999996</v>
      </c>
      <c r="AI469">
        <v>0.6</v>
      </c>
      <c r="AJ469">
        <v>0.62</v>
      </c>
      <c r="AK469">
        <v>0.64</v>
      </c>
      <c r="AL469">
        <v>0.66</v>
      </c>
      <c r="AM469">
        <v>0.68</v>
      </c>
      <c r="AN469">
        <v>0.7</v>
      </c>
      <c r="AO469">
        <v>0.72</v>
      </c>
      <c r="AP469">
        <v>0.74</v>
      </c>
      <c r="AQ469">
        <v>0.76</v>
      </c>
      <c r="AR469">
        <v>0.78</v>
      </c>
      <c r="AS469">
        <v>0.8</v>
      </c>
      <c r="AT469">
        <v>0.82</v>
      </c>
      <c r="AU469">
        <v>0.84</v>
      </c>
      <c r="AV469">
        <v>0.86</v>
      </c>
      <c r="AW469">
        <v>0.88</v>
      </c>
      <c r="AX469">
        <v>0.9</v>
      </c>
      <c r="AY469">
        <v>0.92</v>
      </c>
      <c r="AZ469">
        <v>0.94</v>
      </c>
      <c r="BA469">
        <v>0.96</v>
      </c>
      <c r="BB469">
        <v>0.98</v>
      </c>
      <c r="BC469">
        <v>1</v>
      </c>
    </row>
    <row r="470" spans="3:55" x14ac:dyDescent="0.25">
      <c r="D470">
        <v>0</v>
      </c>
      <c r="R470">
        <v>15072.61328125</v>
      </c>
      <c r="S470">
        <v>7527.224609375</v>
      </c>
      <c r="T470">
        <v>4477.6298828125</v>
      </c>
      <c r="U470">
        <v>3867.63818359375</v>
      </c>
      <c r="V470">
        <v>3823.149658203125</v>
      </c>
      <c r="W470">
        <v>3904.31298828125</v>
      </c>
      <c r="X470">
        <v>4072.329833984375</v>
      </c>
      <c r="Y470">
        <v>4281.92724609375</v>
      </c>
      <c r="Z470">
        <v>4629.69287109375</v>
      </c>
      <c r="AA470">
        <v>4999.6142578125</v>
      </c>
      <c r="AB470">
        <v>5403.82373046875</v>
      </c>
      <c r="AC470">
        <v>5964.86865234375</v>
      </c>
      <c r="AD470">
        <v>6581.75732421875</v>
      </c>
      <c r="AE470">
        <v>7300.2724609375</v>
      </c>
      <c r="AF470">
        <v>8051.8154296875</v>
      </c>
      <c r="AG470">
        <v>9057.5615234375</v>
      </c>
      <c r="AH470">
        <v>6800.37548828125</v>
      </c>
      <c r="AI470">
        <v>7428.96826171875</v>
      </c>
      <c r="AJ470">
        <v>8149.4619140625</v>
      </c>
      <c r="AK470">
        <v>9000.2890625</v>
      </c>
    </row>
    <row r="471" spans="3:55" x14ac:dyDescent="0.25">
      <c r="D471">
        <v>1000</v>
      </c>
      <c r="S471">
        <v>9030.7958984375</v>
      </c>
      <c r="T471">
        <v>5111.55078125</v>
      </c>
      <c r="U471">
        <v>3981.388916015625</v>
      </c>
      <c r="V471">
        <v>3831.827880859375</v>
      </c>
      <c r="W471">
        <v>3818.470458984375</v>
      </c>
      <c r="X471">
        <v>3933.4169921875</v>
      </c>
      <c r="Y471">
        <v>4126.35986328125</v>
      </c>
      <c r="Z471">
        <v>4413.2197265625</v>
      </c>
      <c r="AA471">
        <v>4757.17431640625</v>
      </c>
      <c r="AB471">
        <v>5189.5888671875</v>
      </c>
      <c r="AC471">
        <v>5694.28515625</v>
      </c>
      <c r="AD471">
        <v>6223.84326171875</v>
      </c>
      <c r="AE471">
        <v>6919.34765625</v>
      </c>
      <c r="AF471">
        <v>7579.99755859375</v>
      </c>
      <c r="AG471">
        <v>8439.2626953125</v>
      </c>
      <c r="AH471">
        <v>6524.45751953125</v>
      </c>
      <c r="AI471">
        <v>7094.16064453125</v>
      </c>
      <c r="AJ471">
        <v>7752.32666015625</v>
      </c>
      <c r="AK471">
        <v>8558.83984375</v>
      </c>
      <c r="AL471">
        <v>9400.1103515625</v>
      </c>
    </row>
    <row r="472" spans="3:55" x14ac:dyDescent="0.25">
      <c r="D472">
        <v>2000</v>
      </c>
      <c r="S472">
        <v>10778.47265625</v>
      </c>
      <c r="T472">
        <v>6009.08203125</v>
      </c>
      <c r="U472">
        <v>3925.301513671875</v>
      </c>
      <c r="V472">
        <v>3785.512451171875</v>
      </c>
      <c r="W472">
        <v>3820.498291015625</v>
      </c>
      <c r="X472">
        <v>3870.735595703125</v>
      </c>
      <c r="Y472">
        <v>4003.516845703125</v>
      </c>
      <c r="Z472">
        <v>4245.302734375</v>
      </c>
      <c r="AA472">
        <v>4586.8466796875</v>
      </c>
      <c r="AB472">
        <v>5019.4892578125</v>
      </c>
      <c r="AC472">
        <v>5384.99365234375</v>
      </c>
      <c r="AD472">
        <v>5930.74267578125</v>
      </c>
      <c r="AE472">
        <v>6490.27099609375</v>
      </c>
      <c r="AF472">
        <v>7176.1513671875</v>
      </c>
      <c r="AG472">
        <v>7903.32470703125</v>
      </c>
      <c r="AH472">
        <v>8867.80859375</v>
      </c>
      <c r="AI472">
        <v>6786.27783203125</v>
      </c>
      <c r="AJ472">
        <v>7385.65087890625</v>
      </c>
      <c r="AK472">
        <v>8076.9873046875</v>
      </c>
      <c r="AL472">
        <v>8927.6142578125</v>
      </c>
    </row>
    <row r="473" spans="3:55" x14ac:dyDescent="0.25">
      <c r="D473">
        <v>3000</v>
      </c>
      <c r="S473">
        <v>12773.65625</v>
      </c>
      <c r="T473">
        <v>7164.08935546875</v>
      </c>
      <c r="U473">
        <v>4135.478515625</v>
      </c>
      <c r="V473">
        <v>3789.59130859375</v>
      </c>
      <c r="W473">
        <v>3732.70947265625</v>
      </c>
      <c r="X473">
        <v>3812.296630859375</v>
      </c>
      <c r="Y473">
        <v>3990.006591796875</v>
      </c>
      <c r="Z473">
        <v>4155.3154296875</v>
      </c>
      <c r="AA473">
        <v>4434.5546875</v>
      </c>
      <c r="AB473">
        <v>4747.76123046875</v>
      </c>
      <c r="AC473">
        <v>5150.4189453125</v>
      </c>
      <c r="AD473">
        <v>5672.505859375</v>
      </c>
      <c r="AE473">
        <v>6131.94287109375</v>
      </c>
      <c r="AF473">
        <v>6810.0712890625</v>
      </c>
      <c r="AG473">
        <v>7441.55615234375</v>
      </c>
      <c r="AH473">
        <v>8265.4921875</v>
      </c>
      <c r="AI473">
        <v>6504.23095703125</v>
      </c>
      <c r="AJ473">
        <v>7048.06005859375</v>
      </c>
      <c r="AK473">
        <v>7678.14306640625</v>
      </c>
      <c r="AL473">
        <v>8400.1953125</v>
      </c>
      <c r="AM473">
        <v>9290.8671875</v>
      </c>
    </row>
    <row r="474" spans="3:55" x14ac:dyDescent="0.25">
      <c r="D474">
        <v>4000</v>
      </c>
      <c r="S474">
        <v>15020.177734375</v>
      </c>
      <c r="T474">
        <v>7989.1279296875</v>
      </c>
      <c r="U474">
        <v>4626.8564453125</v>
      </c>
      <c r="V474">
        <v>3823.140869140625</v>
      </c>
      <c r="W474">
        <v>3761.38037109375</v>
      </c>
      <c r="X474">
        <v>3734.79150390625</v>
      </c>
      <c r="Y474">
        <v>3825.3994140625</v>
      </c>
      <c r="Z474">
        <v>3973.12548828125</v>
      </c>
      <c r="AA474">
        <v>4226.38134765625</v>
      </c>
      <c r="AB474">
        <v>4550.74267578125</v>
      </c>
      <c r="AC474">
        <v>4985.35693359375</v>
      </c>
      <c r="AD474">
        <v>5346.21533203125</v>
      </c>
      <c r="AE474">
        <v>5838.48681640625</v>
      </c>
      <c r="AF474">
        <v>6385.64501953125</v>
      </c>
      <c r="AG474">
        <v>7046.9140625</v>
      </c>
      <c r="AH474">
        <v>7744.072265625</v>
      </c>
      <c r="AI474">
        <v>8659.6865234375</v>
      </c>
      <c r="AJ474">
        <v>6738.28955078125</v>
      </c>
      <c r="AK474">
        <v>7310.70068359375</v>
      </c>
      <c r="AL474">
        <v>7968.97802734375</v>
      </c>
      <c r="AM474">
        <v>8814.923828125</v>
      </c>
    </row>
    <row r="475" spans="3:55" x14ac:dyDescent="0.25">
      <c r="D475">
        <v>5000</v>
      </c>
      <c r="T475">
        <v>9630.47265625</v>
      </c>
      <c r="U475">
        <v>5391.30419921875</v>
      </c>
      <c r="V475">
        <v>3822.823486328125</v>
      </c>
      <c r="W475">
        <v>3693.844970703125</v>
      </c>
      <c r="X475">
        <v>3722.338623046875</v>
      </c>
      <c r="Y475">
        <v>3790.950439453125</v>
      </c>
      <c r="Z475">
        <v>3892.302978515625</v>
      </c>
      <c r="AA475">
        <v>4098.662109375</v>
      </c>
      <c r="AB475">
        <v>4422.841796875</v>
      </c>
      <c r="AC475">
        <v>4725.23486328125</v>
      </c>
      <c r="AD475">
        <v>5093.587890625</v>
      </c>
      <c r="AE475">
        <v>5593.0888671875</v>
      </c>
      <c r="AF475">
        <v>6030.6318359375</v>
      </c>
      <c r="AG475">
        <v>6681.8310546875</v>
      </c>
      <c r="AH475">
        <v>7292.90478515625</v>
      </c>
      <c r="AI475">
        <v>8076.052734375</v>
      </c>
      <c r="AJ475">
        <v>6454.54296875</v>
      </c>
      <c r="AK475">
        <v>6971.82861328125</v>
      </c>
      <c r="AL475">
        <v>7569.3828125</v>
      </c>
      <c r="AM475">
        <v>8252.3369140625</v>
      </c>
      <c r="AN475">
        <v>9011.0517578125</v>
      </c>
    </row>
    <row r="476" spans="3:55" x14ac:dyDescent="0.25">
      <c r="D476">
        <v>6000</v>
      </c>
      <c r="T476">
        <v>11553.4150390625</v>
      </c>
      <c r="U476">
        <v>6447.4482421875</v>
      </c>
      <c r="V476">
        <v>3972.93310546875</v>
      </c>
      <c r="W476">
        <v>3723.839111328125</v>
      </c>
      <c r="X476">
        <v>3667.501220703125</v>
      </c>
      <c r="Y476">
        <v>3714.45263671875</v>
      </c>
      <c r="Z476">
        <v>3838.16796875</v>
      </c>
      <c r="AA476">
        <v>3984.3212890625</v>
      </c>
      <c r="AB476">
        <v>4227.04345703125</v>
      </c>
      <c r="AC476">
        <v>4530.3671875</v>
      </c>
      <c r="AD476">
        <v>4930.8046875</v>
      </c>
      <c r="AE476">
        <v>5287.90966796875</v>
      </c>
      <c r="AF476">
        <v>5764.98974609375</v>
      </c>
      <c r="AG476">
        <v>6291.37255859375</v>
      </c>
      <c r="AH476">
        <v>6936.3203125</v>
      </c>
      <c r="AI476">
        <v>7597.0009765625</v>
      </c>
      <c r="AJ476">
        <v>8409.5283203125</v>
      </c>
      <c r="AK476">
        <v>6683.12646484375</v>
      </c>
      <c r="AL476">
        <v>7226.21484375</v>
      </c>
      <c r="AM476">
        <v>7849.283203125</v>
      </c>
      <c r="AN476">
        <v>8557.02734375</v>
      </c>
    </row>
    <row r="477" spans="3:55" x14ac:dyDescent="0.25">
      <c r="D477">
        <v>7000</v>
      </c>
      <c r="U477">
        <v>7375.8056640625</v>
      </c>
      <c r="V477">
        <v>4415.41796875</v>
      </c>
      <c r="W477">
        <v>3758.237548828125</v>
      </c>
      <c r="X477">
        <v>3691.640380859375</v>
      </c>
      <c r="Y477">
        <v>3692.65185546875</v>
      </c>
      <c r="Z477">
        <v>3743.603759765625</v>
      </c>
      <c r="AA477">
        <v>3868.02734375</v>
      </c>
      <c r="AB477">
        <v>4089.8779296875</v>
      </c>
      <c r="AC477">
        <v>4405.6826171875</v>
      </c>
      <c r="AD477">
        <v>4726.02490234375</v>
      </c>
      <c r="AE477">
        <v>5054.126953125</v>
      </c>
      <c r="AF477">
        <v>5541.44677734375</v>
      </c>
      <c r="AG477">
        <v>5967.814453125</v>
      </c>
      <c r="AH477">
        <v>6587.77880859375</v>
      </c>
      <c r="AI477">
        <v>7186.6806640625</v>
      </c>
      <c r="AJ477">
        <v>7880.26025390625</v>
      </c>
      <c r="AK477">
        <v>6419.4150390625</v>
      </c>
      <c r="AL477">
        <v>6910.84033203125</v>
      </c>
      <c r="AM477">
        <v>7477.36865234375</v>
      </c>
      <c r="AN477">
        <v>8122.04150390625</v>
      </c>
      <c r="AO477">
        <v>8971.11328125</v>
      </c>
    </row>
    <row r="478" spans="3:55" x14ac:dyDescent="0.25">
      <c r="D478">
        <v>8000</v>
      </c>
      <c r="U478">
        <v>8960.9609375</v>
      </c>
      <c r="V478">
        <v>5145.22021484375</v>
      </c>
      <c r="W478">
        <v>3783.23291015625</v>
      </c>
      <c r="X478">
        <v>3668.272705078125</v>
      </c>
      <c r="Y478">
        <v>3654.27490234375</v>
      </c>
      <c r="Z478">
        <v>3755.609130859375</v>
      </c>
      <c r="AA478">
        <v>3864.1142578125</v>
      </c>
      <c r="AB478">
        <v>4013.159912109375</v>
      </c>
      <c r="AC478">
        <v>4235.68212890625</v>
      </c>
      <c r="AD478">
        <v>4516.71142578125</v>
      </c>
      <c r="AE478">
        <v>4887.52783203125</v>
      </c>
      <c r="AF478">
        <v>5236.72900390625</v>
      </c>
      <c r="AG478">
        <v>5706.37353515625</v>
      </c>
      <c r="AH478">
        <v>6205.662109375</v>
      </c>
      <c r="AI478">
        <v>6839.20947265625</v>
      </c>
      <c r="AJ478">
        <v>7424.2744140625</v>
      </c>
      <c r="AK478">
        <v>8186.4169921875</v>
      </c>
      <c r="AL478">
        <v>6622.22900390625</v>
      </c>
      <c r="AM478">
        <v>7135.30126953125</v>
      </c>
      <c r="AN478">
        <v>7720.6572265625</v>
      </c>
      <c r="AO478">
        <v>8440.6298828125</v>
      </c>
    </row>
    <row r="479" spans="3:55" x14ac:dyDescent="0.25">
      <c r="D479">
        <v>9000</v>
      </c>
      <c r="V479">
        <v>6158.12158203125</v>
      </c>
      <c r="W479">
        <v>3930.499267578125</v>
      </c>
      <c r="X479">
        <v>3673.32177734375</v>
      </c>
      <c r="Y479">
        <v>3653.567138671875</v>
      </c>
      <c r="Z479">
        <v>3644.680419921875</v>
      </c>
      <c r="AA479">
        <v>3729.9462890625</v>
      </c>
      <c r="AB479">
        <v>3856.517822265625</v>
      </c>
      <c r="AC479">
        <v>4077.908447265625</v>
      </c>
      <c r="AD479">
        <v>4380.0185546875</v>
      </c>
      <c r="AE479">
        <v>4690.5966796875</v>
      </c>
      <c r="AF479">
        <v>5004.46533203125</v>
      </c>
      <c r="AG479">
        <v>5467.64990234375</v>
      </c>
      <c r="AH479">
        <v>5890.8251953125</v>
      </c>
      <c r="AI479">
        <v>6467.30126953125</v>
      </c>
      <c r="AJ479">
        <v>7035.1748046875</v>
      </c>
      <c r="AK479">
        <v>7684.24560546875</v>
      </c>
      <c r="AL479">
        <v>6336.54443359375</v>
      </c>
      <c r="AM479">
        <v>6821.88134765625</v>
      </c>
      <c r="AN479">
        <v>7351.37548828125</v>
      </c>
      <c r="AO479">
        <v>8009.86376953125</v>
      </c>
      <c r="AP479">
        <v>8754.1982421875</v>
      </c>
    </row>
    <row r="480" spans="3:55" x14ac:dyDescent="0.25">
      <c r="D480">
        <v>10000</v>
      </c>
      <c r="V480">
        <v>7186.66162109375</v>
      </c>
      <c r="W480">
        <v>4379.40087890625</v>
      </c>
      <c r="X480">
        <v>3754.45068359375</v>
      </c>
      <c r="Y480">
        <v>3624.801025390625</v>
      </c>
      <c r="Z480">
        <v>3691.64013671875</v>
      </c>
      <c r="AA480">
        <v>3708.870361328125</v>
      </c>
      <c r="AB480">
        <v>3815.051513671875</v>
      </c>
      <c r="AC480">
        <v>3998.930908203125</v>
      </c>
      <c r="AD480">
        <v>4222.31396484375</v>
      </c>
      <c r="AE480">
        <v>4477.63623046875</v>
      </c>
      <c r="AF480">
        <v>4838.83935546875</v>
      </c>
      <c r="AG480">
        <v>5167.45947265625</v>
      </c>
      <c r="AH480">
        <v>5634.59130859375</v>
      </c>
      <c r="AI480">
        <v>6094.6982421875</v>
      </c>
      <c r="AJ480">
        <v>6706.82470703125</v>
      </c>
      <c r="AK480">
        <v>7251.88525390625</v>
      </c>
      <c r="AL480">
        <v>7962.0546875</v>
      </c>
      <c r="AM480">
        <v>6533.5126953125</v>
      </c>
      <c r="AN480">
        <v>7012.80908203125</v>
      </c>
      <c r="AO480">
        <v>7614.8330078125</v>
      </c>
      <c r="AP480">
        <v>8297.3447265625</v>
      </c>
    </row>
    <row r="481" spans="4:45" x14ac:dyDescent="0.25">
      <c r="D481">
        <v>11000</v>
      </c>
      <c r="V481">
        <v>8789.3642578125</v>
      </c>
      <c r="W481">
        <v>5142.95654296875</v>
      </c>
      <c r="X481">
        <v>3763.428466796875</v>
      </c>
      <c r="Y481">
        <v>3681.74658203125</v>
      </c>
      <c r="Z481">
        <v>3602.353515625</v>
      </c>
      <c r="AA481">
        <v>3644.426513671875</v>
      </c>
      <c r="AB481">
        <v>3737.65673828125</v>
      </c>
      <c r="AC481">
        <v>3855.40087890625</v>
      </c>
      <c r="AD481">
        <v>4068.369384765625</v>
      </c>
      <c r="AE481">
        <v>4354.71826171875</v>
      </c>
      <c r="AF481">
        <v>4652.029296875</v>
      </c>
      <c r="AG481">
        <v>4957.82421875</v>
      </c>
      <c r="AH481">
        <v>5385.2001953125</v>
      </c>
      <c r="AI481">
        <v>5799.79541015625</v>
      </c>
      <c r="AJ481">
        <v>6322.17236328125</v>
      </c>
      <c r="AK481">
        <v>6895.0986328125</v>
      </c>
      <c r="AL481">
        <v>7493.9560546875</v>
      </c>
      <c r="AM481">
        <v>6246.4091796875</v>
      </c>
      <c r="AN481">
        <v>6730.02587890625</v>
      </c>
      <c r="AO481">
        <v>7278.9921875</v>
      </c>
      <c r="AP481">
        <v>7903.63037109375</v>
      </c>
    </row>
    <row r="482" spans="4:45" x14ac:dyDescent="0.25">
      <c r="D482">
        <v>12000</v>
      </c>
      <c r="W482">
        <v>6205.10107421875</v>
      </c>
      <c r="X482">
        <v>3991.68505859375</v>
      </c>
      <c r="Y482">
        <v>3661.09716796875</v>
      </c>
      <c r="Z482">
        <v>3669.438232421875</v>
      </c>
      <c r="AA482">
        <v>3642.3720703125</v>
      </c>
      <c r="AB482">
        <v>3691.29443359375</v>
      </c>
      <c r="AC482">
        <v>3806.374267578125</v>
      </c>
      <c r="AD482">
        <v>3996.43505859375</v>
      </c>
      <c r="AE482">
        <v>4215.72216796875</v>
      </c>
      <c r="AF482">
        <v>4457.27880859375</v>
      </c>
      <c r="AG482">
        <v>4815.33984375</v>
      </c>
      <c r="AH482">
        <v>5112.99658203125</v>
      </c>
      <c r="AI482">
        <v>5562.93017578125</v>
      </c>
      <c r="AJ482">
        <v>5981.1015625</v>
      </c>
      <c r="AK482">
        <v>6562.49609375</v>
      </c>
      <c r="AL482">
        <v>7094.484375</v>
      </c>
      <c r="AM482">
        <v>7743.38037109375</v>
      </c>
      <c r="AN482">
        <v>6451.380859375</v>
      </c>
      <c r="AO482">
        <v>6971.30859375</v>
      </c>
      <c r="AP482">
        <v>7541.0859375</v>
      </c>
      <c r="AQ482">
        <v>8336.9775390625</v>
      </c>
    </row>
    <row r="483" spans="4:45" x14ac:dyDescent="0.25">
      <c r="D483">
        <v>13000</v>
      </c>
      <c r="W483">
        <v>7392.57080078125</v>
      </c>
      <c r="X483">
        <v>4534.19091796875</v>
      </c>
      <c r="Y483">
        <v>3777.628173828125</v>
      </c>
      <c r="Z483">
        <v>3616.980712890625</v>
      </c>
      <c r="AA483">
        <v>3603.8984375</v>
      </c>
      <c r="AB483">
        <v>3664.44482421875</v>
      </c>
      <c r="AC483">
        <v>3752.1865234375</v>
      </c>
      <c r="AD483">
        <v>3856.971923828125</v>
      </c>
      <c r="AE483">
        <v>4057.971923828125</v>
      </c>
      <c r="AF483">
        <v>4336.2646484375</v>
      </c>
      <c r="AG483">
        <v>4607.48046875</v>
      </c>
      <c r="AH483">
        <v>4912.88134765625</v>
      </c>
      <c r="AI483">
        <v>5294.22607421875</v>
      </c>
      <c r="AJ483">
        <v>5702.0927734375</v>
      </c>
      <c r="AK483">
        <v>6175.8193359375</v>
      </c>
      <c r="AL483">
        <v>6758.08837890625</v>
      </c>
      <c r="AM483">
        <v>7301.39501953125</v>
      </c>
      <c r="AN483">
        <v>6158.9423828125</v>
      </c>
      <c r="AO483">
        <v>6690.8701171875</v>
      </c>
      <c r="AP483">
        <v>7208.56982421875</v>
      </c>
      <c r="AQ483">
        <v>7938.9951171875</v>
      </c>
    </row>
    <row r="484" spans="4:45" x14ac:dyDescent="0.25">
      <c r="D484">
        <v>14000</v>
      </c>
      <c r="X484">
        <v>5388.23486328125</v>
      </c>
      <c r="Y484">
        <v>3809.457275390625</v>
      </c>
      <c r="Z484">
        <v>3654.684814453125</v>
      </c>
      <c r="AA484">
        <v>3638.243408203125</v>
      </c>
      <c r="AB484">
        <v>3619.1611328125</v>
      </c>
      <c r="AC484">
        <v>3681.741455078125</v>
      </c>
      <c r="AD484">
        <v>3797.080810546875</v>
      </c>
      <c r="AE484">
        <v>3984.553955078125</v>
      </c>
      <c r="AF484">
        <v>4187.0322265625</v>
      </c>
      <c r="AG484">
        <v>4420.56396484375</v>
      </c>
      <c r="AH484">
        <v>4781.19384765625</v>
      </c>
      <c r="AI484">
        <v>5037.0185546875</v>
      </c>
      <c r="AJ484">
        <v>5481.169921875</v>
      </c>
      <c r="AK484">
        <v>5855.4326171875</v>
      </c>
      <c r="AL484">
        <v>6379.455078125</v>
      </c>
      <c r="AM484">
        <v>6927.0849609375</v>
      </c>
      <c r="AN484">
        <v>7509.7919921875</v>
      </c>
      <c r="AO484">
        <v>6378.33740234375</v>
      </c>
      <c r="AP484">
        <v>6905.02685546875</v>
      </c>
      <c r="AQ484">
        <v>7573.50244140625</v>
      </c>
      <c r="AR484">
        <v>8476.6865234375</v>
      </c>
    </row>
    <row r="485" spans="4:45" x14ac:dyDescent="0.25">
      <c r="D485">
        <v>15000</v>
      </c>
      <c r="X485">
        <v>6550.99365234375</v>
      </c>
      <c r="Y485">
        <v>4163.96875</v>
      </c>
      <c r="Z485">
        <v>3728.625732421875</v>
      </c>
      <c r="AA485">
        <v>3597.56396484375</v>
      </c>
      <c r="AB485">
        <v>3613.019287109375</v>
      </c>
      <c r="AC485">
        <v>3672.34033203125</v>
      </c>
      <c r="AD485">
        <v>3748.000244140625</v>
      </c>
      <c r="AE485">
        <v>3840.166259765625</v>
      </c>
      <c r="AF485">
        <v>4034.1259765625</v>
      </c>
      <c r="AG485">
        <v>4307.97900390625</v>
      </c>
      <c r="AH485">
        <v>4541.296875</v>
      </c>
      <c r="AI485">
        <v>4852.9365234375</v>
      </c>
      <c r="AJ485">
        <v>5184.8525390625</v>
      </c>
      <c r="AK485">
        <v>5595.88623046875</v>
      </c>
      <c r="AL485">
        <v>6016.94384765625</v>
      </c>
      <c r="AM485">
        <v>6585.65869140625</v>
      </c>
      <c r="AN485">
        <v>7097.62451171875</v>
      </c>
      <c r="AO485">
        <v>6097.29931640625</v>
      </c>
      <c r="AP485">
        <v>6591.58837890625</v>
      </c>
      <c r="AQ485">
        <v>7239.2607421875</v>
      </c>
      <c r="AR485">
        <v>8064.43408203125</v>
      </c>
    </row>
    <row r="486" spans="4:45" x14ac:dyDescent="0.25">
      <c r="D486">
        <v>16000</v>
      </c>
      <c r="X486">
        <v>7973.9970703125</v>
      </c>
      <c r="Y486">
        <v>4851.50146484375</v>
      </c>
      <c r="Z486">
        <v>3752.6083984375</v>
      </c>
      <c r="AA486">
        <v>3694.7900390625</v>
      </c>
      <c r="AB486">
        <v>3613.30517578125</v>
      </c>
      <c r="AC486">
        <v>3615.497802734375</v>
      </c>
      <c r="AD486">
        <v>3681.863525390625</v>
      </c>
      <c r="AE486">
        <v>3796.589111328125</v>
      </c>
      <c r="AF486">
        <v>3982.306884765625</v>
      </c>
      <c r="AG486">
        <v>4153.74609375</v>
      </c>
      <c r="AH486">
        <v>4386.54296875</v>
      </c>
      <c r="AI486">
        <v>4709.11181640625</v>
      </c>
      <c r="AJ486">
        <v>4970.51904296875</v>
      </c>
      <c r="AK486">
        <v>5369.51025390625</v>
      </c>
      <c r="AL486">
        <v>5741.56494140625</v>
      </c>
      <c r="AM486">
        <v>6205.5009765625</v>
      </c>
      <c r="AN486">
        <v>6771.88916015625</v>
      </c>
      <c r="AO486">
        <v>7306.17724609375</v>
      </c>
      <c r="AP486">
        <v>6308.65771484375</v>
      </c>
      <c r="AQ486">
        <v>6937.6796875</v>
      </c>
      <c r="AR486">
        <v>7714.05908203125</v>
      </c>
    </row>
    <row r="487" spans="4:45" x14ac:dyDescent="0.25">
      <c r="D487">
        <v>17000</v>
      </c>
      <c r="Y487">
        <v>5860.435546875</v>
      </c>
      <c r="Z487">
        <v>3986.12890625</v>
      </c>
      <c r="AA487">
        <v>3683.77587890625</v>
      </c>
      <c r="AB487">
        <v>3614.382080078125</v>
      </c>
      <c r="AC487">
        <v>3636.418212890625</v>
      </c>
      <c r="AD487">
        <v>3686.4833984375</v>
      </c>
      <c r="AE487">
        <v>3748.654296875</v>
      </c>
      <c r="AF487">
        <v>3837.742431640625</v>
      </c>
      <c r="AG487">
        <v>4029.41162109375</v>
      </c>
      <c r="AH487">
        <v>4315.91650390625</v>
      </c>
      <c r="AI487">
        <v>4497.9453125</v>
      </c>
      <c r="AJ487">
        <v>4827.03955078125</v>
      </c>
      <c r="AK487">
        <v>5105.5029296875</v>
      </c>
      <c r="AL487">
        <v>5524.525390625</v>
      </c>
      <c r="AM487">
        <v>5891.4521484375</v>
      </c>
      <c r="AN487">
        <v>6391.92431640625</v>
      </c>
      <c r="AO487">
        <v>6947.16943359375</v>
      </c>
      <c r="AP487">
        <v>6065.93701171875</v>
      </c>
      <c r="AQ487">
        <v>6623.76025390625</v>
      </c>
      <c r="AR487">
        <v>7391.09716796875</v>
      </c>
    </row>
    <row r="488" spans="4:45" x14ac:dyDescent="0.25">
      <c r="D488">
        <v>18000</v>
      </c>
      <c r="Y488">
        <v>7184.60498046875</v>
      </c>
      <c r="Z488">
        <v>4554.2255859375</v>
      </c>
      <c r="AA488">
        <v>3756.8056640625</v>
      </c>
      <c r="AB488">
        <v>3681.36376953125</v>
      </c>
      <c r="AC488">
        <v>3615.11572265625</v>
      </c>
      <c r="AD488">
        <v>3625.0380859375</v>
      </c>
      <c r="AE488">
        <v>3689.919677734375</v>
      </c>
      <c r="AF488">
        <v>3809.296875</v>
      </c>
      <c r="AG488">
        <v>3959.013671875</v>
      </c>
      <c r="AH488">
        <v>4121.07958984375</v>
      </c>
      <c r="AI488">
        <v>4369.798828125</v>
      </c>
      <c r="AJ488">
        <v>4630.38525390625</v>
      </c>
      <c r="AK488">
        <v>4916.42919921875</v>
      </c>
      <c r="AL488">
        <v>5251.685546875</v>
      </c>
      <c r="AM488">
        <v>5639.5205078125</v>
      </c>
      <c r="AN488">
        <v>6043.5595703125</v>
      </c>
      <c r="AO488">
        <v>6604.810546875</v>
      </c>
      <c r="AP488">
        <v>5862.80419921875</v>
      </c>
      <c r="AQ488">
        <v>6354.875</v>
      </c>
      <c r="AR488">
        <v>7047.8251953125</v>
      </c>
      <c r="AS488">
        <v>8155.88525390625</v>
      </c>
    </row>
    <row r="489" spans="4:45" x14ac:dyDescent="0.25">
      <c r="D489">
        <v>19000</v>
      </c>
      <c r="Z489">
        <v>5455.876953125</v>
      </c>
      <c r="AA489">
        <v>3900.17236328125</v>
      </c>
      <c r="AB489">
        <v>3673.1201171875</v>
      </c>
      <c r="AC489">
        <v>3626.38134765625</v>
      </c>
      <c r="AD489">
        <v>3641.57421875</v>
      </c>
      <c r="AE489">
        <v>3675.622314453125</v>
      </c>
      <c r="AF489">
        <v>3734.322265625</v>
      </c>
      <c r="AG489">
        <v>3826.86083984375</v>
      </c>
      <c r="AH489">
        <v>4017.960205078125</v>
      </c>
      <c r="AI489">
        <v>4244.87841796875</v>
      </c>
      <c r="AJ489">
        <v>4447.59521484375</v>
      </c>
      <c r="AK489">
        <v>4780.1103515625</v>
      </c>
      <c r="AL489">
        <v>5018.7509765625</v>
      </c>
      <c r="AM489">
        <v>5403.4912109375</v>
      </c>
      <c r="AN489">
        <v>5764.59228515625</v>
      </c>
      <c r="AO489">
        <v>6220.56494140625</v>
      </c>
      <c r="AP489">
        <v>6816.34619140625</v>
      </c>
      <c r="AQ489">
        <v>6130.21728515625</v>
      </c>
      <c r="AR489">
        <v>6750.92822265625</v>
      </c>
      <c r="AS489">
        <v>7761.8203125</v>
      </c>
    </row>
    <row r="490" spans="4:45" x14ac:dyDescent="0.25">
      <c r="D490">
        <v>20000</v>
      </c>
      <c r="Z490">
        <v>6739.607421875</v>
      </c>
      <c r="AA490">
        <v>4390.6787109375</v>
      </c>
      <c r="AB490">
        <v>3770.397705078125</v>
      </c>
      <c r="AC490">
        <v>3677.26953125</v>
      </c>
      <c r="AD490">
        <v>3623.060302734375</v>
      </c>
      <c r="AE490">
        <v>3629.736328125</v>
      </c>
      <c r="AF490">
        <v>3698.66845703125</v>
      </c>
      <c r="AG490">
        <v>3825.975830078125</v>
      </c>
      <c r="AH490">
        <v>3908.47314453125</v>
      </c>
      <c r="AI490">
        <v>4078.133056640625</v>
      </c>
      <c r="AJ490">
        <v>4348.21044921875</v>
      </c>
      <c r="AK490">
        <v>4543.64453125</v>
      </c>
      <c r="AL490">
        <v>4858.8662109375</v>
      </c>
      <c r="AM490">
        <v>5125.24169921875</v>
      </c>
      <c r="AN490">
        <v>5550.8291015625</v>
      </c>
      <c r="AO490">
        <v>5908.16259765625</v>
      </c>
      <c r="AP490">
        <v>6395.63720703125</v>
      </c>
      <c r="AQ490">
        <v>5949.923828125</v>
      </c>
      <c r="AR490">
        <v>6505.8740234375</v>
      </c>
      <c r="AS490">
        <v>7421.53076171875</v>
      </c>
    </row>
    <row r="491" spans="4:45" x14ac:dyDescent="0.25">
      <c r="D491">
        <v>21000</v>
      </c>
      <c r="AA491">
        <v>5238.5498046875</v>
      </c>
      <c r="AB491">
        <v>3875.417236328125</v>
      </c>
      <c r="AC491">
        <v>3683.979736328125</v>
      </c>
      <c r="AD491">
        <v>3636.4755859375</v>
      </c>
      <c r="AE491">
        <v>3637.655029296875</v>
      </c>
      <c r="AF491">
        <v>3661.91796875</v>
      </c>
      <c r="AG491">
        <v>3723.459228515625</v>
      </c>
      <c r="AH491">
        <v>3827.42578125</v>
      </c>
      <c r="AI491">
        <v>4018.23974609375</v>
      </c>
      <c r="AJ491">
        <v>4177.900390625</v>
      </c>
      <c r="AK491">
        <v>4412.486328125</v>
      </c>
      <c r="AL491">
        <v>4670.2060546875</v>
      </c>
      <c r="AM491">
        <v>4948.73681640625</v>
      </c>
      <c r="AN491">
        <v>5257.83251953125</v>
      </c>
      <c r="AO491">
        <v>5688.474609375</v>
      </c>
      <c r="AP491">
        <v>6078.39111328125</v>
      </c>
      <c r="AQ491">
        <v>5740.09033203125</v>
      </c>
      <c r="AR491">
        <v>6335.6533203125</v>
      </c>
      <c r="AS491">
        <v>7175.20703125</v>
      </c>
    </row>
    <row r="492" spans="4:45" x14ac:dyDescent="0.25">
      <c r="D492">
        <v>22000</v>
      </c>
      <c r="AA492">
        <v>6554.60107421875</v>
      </c>
      <c r="AB492">
        <v>4341.9794921875</v>
      </c>
      <c r="AC492">
        <v>3792.89892578125</v>
      </c>
      <c r="AD492">
        <v>3716.430908203125</v>
      </c>
      <c r="AE492">
        <v>3656.42138671875</v>
      </c>
      <c r="AF492">
        <v>3661.931396484375</v>
      </c>
      <c r="AG492">
        <v>3738.71044921875</v>
      </c>
      <c r="AH492">
        <v>3822.25927734375</v>
      </c>
      <c r="AI492">
        <v>3881.5654296875</v>
      </c>
      <c r="AJ492">
        <v>4061.77197265625</v>
      </c>
      <c r="AK492">
        <v>4297.08642578125</v>
      </c>
      <c r="AL492">
        <v>4492.7431640625</v>
      </c>
      <c r="AM492">
        <v>4804.3564453125</v>
      </c>
      <c r="AN492">
        <v>5044.40869140625</v>
      </c>
      <c r="AO492">
        <v>5427.576171875</v>
      </c>
      <c r="AP492">
        <v>5828.60400390625</v>
      </c>
      <c r="AQ492">
        <v>6360.19384765625</v>
      </c>
      <c r="AR492">
        <v>6124.013671875</v>
      </c>
      <c r="AS492">
        <v>6988.3740234375</v>
      </c>
    </row>
    <row r="493" spans="4:45" x14ac:dyDescent="0.25">
      <c r="D493">
        <v>23000</v>
      </c>
      <c r="AB493">
        <v>5169.8408203125</v>
      </c>
      <c r="AC493">
        <v>3893.692138671875</v>
      </c>
      <c r="AD493">
        <v>3709.19921875</v>
      </c>
      <c r="AE493">
        <v>3644.732666015625</v>
      </c>
      <c r="AF493">
        <v>3637.781494140625</v>
      </c>
      <c r="AG493">
        <v>3657.30126953125</v>
      </c>
      <c r="AH493">
        <v>3729.061279296875</v>
      </c>
      <c r="AI493">
        <v>3850.64404296875</v>
      </c>
      <c r="AJ493">
        <v>3977.5888671875</v>
      </c>
      <c r="AK493">
        <v>4127.61376953125</v>
      </c>
      <c r="AL493">
        <v>4402.38427734375</v>
      </c>
      <c r="AM493">
        <v>4583.03173828125</v>
      </c>
      <c r="AN493">
        <v>4907.7880859375</v>
      </c>
      <c r="AO493">
        <v>5178.38232421875</v>
      </c>
      <c r="AP493">
        <v>5596.890625</v>
      </c>
      <c r="AQ493">
        <v>6082.33251953125</v>
      </c>
      <c r="AR493">
        <v>5888.18798828125</v>
      </c>
      <c r="AS493">
        <v>6790.47509765625</v>
      </c>
    </row>
    <row r="494" spans="4:45" x14ac:dyDescent="0.25">
      <c r="D494">
        <v>24000</v>
      </c>
      <c r="AB494">
        <v>6554.169921875</v>
      </c>
      <c r="AC494">
        <v>4369.4970703125</v>
      </c>
      <c r="AD494">
        <v>3802.703857421875</v>
      </c>
      <c r="AE494">
        <v>3745.13916015625</v>
      </c>
      <c r="AF494">
        <v>3708.50732421875</v>
      </c>
      <c r="AG494">
        <v>3712.23779296875</v>
      </c>
      <c r="AH494">
        <v>3738.1142578125</v>
      </c>
      <c r="AI494">
        <v>3776.279541015625</v>
      </c>
      <c r="AJ494">
        <v>3867.45263671875</v>
      </c>
      <c r="AK494">
        <v>4055.84423828125</v>
      </c>
      <c r="AL494">
        <v>4208.36962890625</v>
      </c>
      <c r="AM494">
        <v>4452.62744140625</v>
      </c>
      <c r="AN494">
        <v>4676.53515625</v>
      </c>
      <c r="AO494">
        <v>5009.26416015625</v>
      </c>
      <c r="AP494">
        <v>5314.1513671875</v>
      </c>
      <c r="AQ494">
        <v>5866.65283203125</v>
      </c>
      <c r="AR494">
        <v>5715.76025390625</v>
      </c>
      <c r="AS494">
        <v>6522.0751953125</v>
      </c>
    </row>
    <row r="495" spans="4:45" x14ac:dyDescent="0.25">
      <c r="D495">
        <v>25000</v>
      </c>
      <c r="AC495">
        <v>5218.48095703125</v>
      </c>
      <c r="AD495">
        <v>3948.273193359375</v>
      </c>
      <c r="AE495">
        <v>3745.326416015625</v>
      </c>
      <c r="AF495">
        <v>3659.044677734375</v>
      </c>
      <c r="AG495">
        <v>3645.48779296875</v>
      </c>
      <c r="AH495">
        <v>3663.9921875</v>
      </c>
      <c r="AI495">
        <v>3743.744384765625</v>
      </c>
      <c r="AJ495">
        <v>3867.45458984375</v>
      </c>
      <c r="AK495">
        <v>3917.697265625</v>
      </c>
      <c r="AL495">
        <v>4090.31640625</v>
      </c>
      <c r="AM495">
        <v>4297.587890625</v>
      </c>
      <c r="AN495">
        <v>4502.9638671875</v>
      </c>
      <c r="AO495">
        <v>4799.19140625</v>
      </c>
      <c r="AP495">
        <v>5113.2197265625</v>
      </c>
      <c r="AQ495">
        <v>5542.33251953125</v>
      </c>
      <c r="AR495">
        <v>5606.5546875</v>
      </c>
      <c r="AS495">
        <v>6336.7939453125</v>
      </c>
    </row>
    <row r="496" spans="4:45" x14ac:dyDescent="0.25">
      <c r="D496">
        <v>26000</v>
      </c>
      <c r="AC496">
        <v>6733.40478515625</v>
      </c>
      <c r="AD496">
        <v>4503.95751953125</v>
      </c>
      <c r="AE496">
        <v>3821.82666015625</v>
      </c>
      <c r="AF496">
        <v>3730.15576171875</v>
      </c>
      <c r="AG496">
        <v>3706.761474609375</v>
      </c>
      <c r="AH496">
        <v>3698.818115234375</v>
      </c>
      <c r="AI496">
        <v>3702.3681640625</v>
      </c>
      <c r="AJ496">
        <v>3761.896240234375</v>
      </c>
      <c r="AK496">
        <v>3897.000244140625</v>
      </c>
      <c r="AL496">
        <v>4007.251220703125</v>
      </c>
      <c r="AM496">
        <v>4154.19189453125</v>
      </c>
      <c r="AN496">
        <v>4408.34521484375</v>
      </c>
      <c r="AO496">
        <v>4611.353515625</v>
      </c>
      <c r="AP496">
        <v>4941.29541015625</v>
      </c>
      <c r="AQ496">
        <v>5324.40478515625</v>
      </c>
      <c r="AR496">
        <v>5903.42578125</v>
      </c>
      <c r="AS496">
        <v>6250.9208984375</v>
      </c>
    </row>
    <row r="497" spans="4:45" x14ac:dyDescent="0.25">
      <c r="D497">
        <v>27000</v>
      </c>
      <c r="AD497">
        <v>5459.11865234375</v>
      </c>
      <c r="AE497">
        <v>4065.4111328125</v>
      </c>
      <c r="AF497">
        <v>3843.168212890625</v>
      </c>
      <c r="AG497">
        <v>3727.1572265625</v>
      </c>
      <c r="AH497">
        <v>3710.859619140625</v>
      </c>
      <c r="AI497">
        <v>3739.939697265625</v>
      </c>
      <c r="AJ497">
        <v>3791.46435546875</v>
      </c>
      <c r="AK497">
        <v>3815.972412109375</v>
      </c>
      <c r="AL497">
        <v>3922.488037109375</v>
      </c>
      <c r="AM497">
        <v>4111.62548828125</v>
      </c>
      <c r="AN497">
        <v>4227.32666015625</v>
      </c>
      <c r="AO497">
        <v>4512.13818359375</v>
      </c>
      <c r="AP497">
        <v>4721.25</v>
      </c>
      <c r="AQ497">
        <v>5189.078125</v>
      </c>
      <c r="AR497">
        <v>5664.0458984375</v>
      </c>
      <c r="AS497">
        <v>6049.40576171875</v>
      </c>
    </row>
    <row r="498" spans="4:45" x14ac:dyDescent="0.25">
      <c r="D498">
        <v>28000</v>
      </c>
      <c r="AD498">
        <v>7172.94384765625</v>
      </c>
      <c r="AE498">
        <v>4720.88134765625</v>
      </c>
      <c r="AF498">
        <v>3879.33837890625</v>
      </c>
      <c r="AG498">
        <v>3753.658203125</v>
      </c>
      <c r="AH498">
        <v>3705.43359375</v>
      </c>
      <c r="AI498">
        <v>3697.88623046875</v>
      </c>
      <c r="AJ498">
        <v>3721.214111328125</v>
      </c>
      <c r="AK498">
        <v>3801.869140625</v>
      </c>
      <c r="AL498">
        <v>3894.44775390625</v>
      </c>
      <c r="AM498">
        <v>3967.742431640625</v>
      </c>
      <c r="AN498">
        <v>4156.51416015625</v>
      </c>
      <c r="AO498">
        <v>4331.37548828125</v>
      </c>
      <c r="AP498">
        <v>4593.06298828125</v>
      </c>
      <c r="AQ498">
        <v>4935.57958984375</v>
      </c>
      <c r="AR498">
        <v>5517.57861328125</v>
      </c>
      <c r="AS498">
        <v>5903.7685546875</v>
      </c>
    </row>
    <row r="499" spans="4:45" x14ac:dyDescent="0.25">
      <c r="D499">
        <v>29000</v>
      </c>
      <c r="AE499">
        <v>6107.78515625</v>
      </c>
      <c r="AF499">
        <v>4252.962890625</v>
      </c>
      <c r="AG499">
        <v>3888.1318359375</v>
      </c>
      <c r="AH499">
        <v>3806.57177734375</v>
      </c>
      <c r="AI499">
        <v>3771.554443359375</v>
      </c>
      <c r="AJ499">
        <v>3750.22314453125</v>
      </c>
      <c r="AK499">
        <v>3748.052001953125</v>
      </c>
      <c r="AL499">
        <v>3810.175537109375</v>
      </c>
      <c r="AM499">
        <v>3979.07470703125</v>
      </c>
      <c r="AN499">
        <v>4019.97802734375</v>
      </c>
      <c r="AO499">
        <v>4224.62646484375</v>
      </c>
      <c r="AP499">
        <v>4436.2392578125</v>
      </c>
      <c r="AQ499">
        <v>4782.216796875</v>
      </c>
      <c r="AR499">
        <v>5253.681640625</v>
      </c>
      <c r="AS499">
        <v>5878.92236328125</v>
      </c>
    </row>
    <row r="500" spans="4:45" x14ac:dyDescent="0.25">
      <c r="D500">
        <v>30000</v>
      </c>
      <c r="AF500">
        <v>5052.69580078125</v>
      </c>
      <c r="AG500">
        <v>3996.95849609375</v>
      </c>
      <c r="AH500">
        <v>3838.907470703125</v>
      </c>
      <c r="AI500">
        <v>3759.491455078125</v>
      </c>
      <c r="AJ500">
        <v>3754.41748046875</v>
      </c>
      <c r="AK500">
        <v>3804.488037109375</v>
      </c>
      <c r="AL500">
        <v>3804.82421875</v>
      </c>
      <c r="AM500">
        <v>3837.33984375</v>
      </c>
      <c r="AN500">
        <v>3968.467529296875</v>
      </c>
      <c r="AO500">
        <v>4115.826171875</v>
      </c>
      <c r="AP500">
        <v>4297.2373046875</v>
      </c>
      <c r="AQ500">
        <v>4642.12939453125</v>
      </c>
      <c r="AR500">
        <v>5082.9892578125</v>
      </c>
      <c r="AS500">
        <v>5715.2802734375</v>
      </c>
    </row>
    <row r="501" spans="4:45" x14ac:dyDescent="0.25">
      <c r="D501">
        <v>31000</v>
      </c>
      <c r="AF501">
        <v>6721.71484375</v>
      </c>
      <c r="AG501">
        <v>4563.755859375</v>
      </c>
      <c r="AH501">
        <v>3920.26904296875</v>
      </c>
      <c r="AI501">
        <v>3809.22998046875</v>
      </c>
      <c r="AJ501">
        <v>3763.123046875</v>
      </c>
      <c r="AK501">
        <v>3757.625</v>
      </c>
      <c r="AL501">
        <v>3796.365478515625</v>
      </c>
      <c r="AM501">
        <v>3891.814697265625</v>
      </c>
      <c r="AN501">
        <v>3899.623779296875</v>
      </c>
      <c r="AO501">
        <v>4043.271728515625</v>
      </c>
      <c r="AP501">
        <v>4235.34375</v>
      </c>
      <c r="AQ501">
        <v>4497.12353515625</v>
      </c>
      <c r="AR501">
        <v>4976.81640625</v>
      </c>
      <c r="AS501">
        <v>5653.87060546875</v>
      </c>
    </row>
    <row r="502" spans="4:45" x14ac:dyDescent="0.25">
      <c r="D502">
        <v>32000</v>
      </c>
      <c r="AG502">
        <v>5958.22900390625</v>
      </c>
      <c r="AH502">
        <v>4255.0341796875</v>
      </c>
      <c r="AI502">
        <v>3965.306640625</v>
      </c>
      <c r="AJ502">
        <v>3866.210693359375</v>
      </c>
      <c r="AK502">
        <v>3821.551513671875</v>
      </c>
      <c r="AL502">
        <v>3798.62890625</v>
      </c>
      <c r="AM502">
        <v>3816.93408203125</v>
      </c>
      <c r="AN502">
        <v>3909.1455078125</v>
      </c>
      <c r="AO502">
        <v>4018.947265625</v>
      </c>
      <c r="AP502">
        <v>4124.88720703125</v>
      </c>
      <c r="AQ502">
        <v>4487.9365234375</v>
      </c>
      <c r="AR502">
        <v>4836.6552734375</v>
      </c>
      <c r="AS502">
        <v>5678.61181640625</v>
      </c>
    </row>
    <row r="503" spans="4:45" x14ac:dyDescent="0.25">
      <c r="D503">
        <v>33000</v>
      </c>
      <c r="AH503">
        <v>5050.74755859375</v>
      </c>
      <c r="AI503">
        <v>4079.19287109375</v>
      </c>
      <c r="AJ503">
        <v>3954.177001953125</v>
      </c>
      <c r="AK503">
        <v>3880.1044921875</v>
      </c>
      <c r="AL503">
        <v>3889.78271484375</v>
      </c>
      <c r="AM503">
        <v>3864.22021484375</v>
      </c>
      <c r="AN503">
        <v>3855.07470703125</v>
      </c>
      <c r="AO503">
        <v>3978.500244140625</v>
      </c>
      <c r="AP503">
        <v>4141.18701171875</v>
      </c>
      <c r="AQ503">
        <v>4351.60302734375</v>
      </c>
      <c r="AR503">
        <v>4876.16552734375</v>
      </c>
      <c r="AS503">
        <v>5599.07958984375</v>
      </c>
    </row>
    <row r="504" spans="4:45" x14ac:dyDescent="0.25">
      <c r="D504">
        <v>34000</v>
      </c>
      <c r="AI504">
        <v>4659.7958984375</v>
      </c>
      <c r="AJ504">
        <v>4015.76220703125</v>
      </c>
      <c r="AK504">
        <v>3910.830322265625</v>
      </c>
      <c r="AL504">
        <v>3864.35546875</v>
      </c>
      <c r="AM504">
        <v>3874.23291015625</v>
      </c>
      <c r="AN504">
        <v>3941.676513671875</v>
      </c>
      <c r="AO504">
        <v>3964.932373046875</v>
      </c>
      <c r="AP504">
        <v>4057.412353515625</v>
      </c>
      <c r="AQ504">
        <v>4408.54345703125</v>
      </c>
      <c r="AR504">
        <v>4721.43115234375</v>
      </c>
      <c r="AS504">
        <v>5788.88720703125</v>
      </c>
    </row>
    <row r="505" spans="4:45" x14ac:dyDescent="0.25">
      <c r="D505">
        <v>35000</v>
      </c>
      <c r="AJ505">
        <v>4415.0810546875</v>
      </c>
      <c r="AK505">
        <v>4025.6884765625</v>
      </c>
      <c r="AL505">
        <v>3921.73583984375</v>
      </c>
      <c r="AM505">
        <v>3880.299560546875</v>
      </c>
      <c r="AN505">
        <v>3884.193603515625</v>
      </c>
      <c r="AO505">
        <v>4004.580078125</v>
      </c>
      <c r="AP505">
        <v>4078.958984375</v>
      </c>
      <c r="AQ505">
        <v>4295.38232421875</v>
      </c>
      <c r="AR505">
        <v>4811.91650390625</v>
      </c>
      <c r="AS505">
        <v>5696.3671875</v>
      </c>
    </row>
    <row r="506" spans="4:45" x14ac:dyDescent="0.25">
      <c r="D506">
        <v>36000</v>
      </c>
      <c r="AL506">
        <v>4116.05615234375</v>
      </c>
      <c r="AM506">
        <v>4001.2666015625</v>
      </c>
      <c r="AN506">
        <v>3951.75244140625</v>
      </c>
      <c r="AO506">
        <v>4017.831298828125</v>
      </c>
      <c r="AP506">
        <v>4113.4052734375</v>
      </c>
      <c r="AQ506">
        <v>4397.7578125</v>
      </c>
      <c r="AR506">
        <v>4744.568359375</v>
      </c>
      <c r="AS506">
        <v>5880.75927734375</v>
      </c>
    </row>
    <row r="507" spans="4:45" x14ac:dyDescent="0.25">
      <c r="D507">
        <v>37000</v>
      </c>
      <c r="AN507">
        <v>4105.3876953125</v>
      </c>
      <c r="AO507">
        <v>4135.06494140625</v>
      </c>
      <c r="AP507">
        <v>4167.87548828125</v>
      </c>
      <c r="AQ507">
        <v>4421.712890625</v>
      </c>
      <c r="AR507">
        <v>5017.74853515625</v>
      </c>
    </row>
    <row r="508" spans="4:45" x14ac:dyDescent="0.25">
      <c r="D508">
        <v>38000</v>
      </c>
    </row>
    <row r="509" spans="4:45" x14ac:dyDescent="0.25">
      <c r="D509">
        <v>39000</v>
      </c>
    </row>
    <row r="510" spans="4:45" x14ac:dyDescent="0.25">
      <c r="D510">
        <v>40000</v>
      </c>
    </row>
    <row r="511" spans="4:45" x14ac:dyDescent="0.25">
      <c r="D511">
        <v>41000</v>
      </c>
    </row>
    <row r="512" spans="4:45" x14ac:dyDescent="0.25">
      <c r="D512">
        <v>42000</v>
      </c>
    </row>
    <row r="513" spans="3:55" x14ac:dyDescent="0.25">
      <c r="D513">
        <v>43000</v>
      </c>
    </row>
    <row r="514" spans="3:55" x14ac:dyDescent="0.25">
      <c r="D514">
        <v>44000</v>
      </c>
    </row>
    <row r="515" spans="3:55" x14ac:dyDescent="0.25">
      <c r="D515">
        <v>45000</v>
      </c>
    </row>
    <row r="516" spans="3:55" x14ac:dyDescent="0.25">
      <c r="D516">
        <v>46000</v>
      </c>
    </row>
    <row r="517" spans="3:55" x14ac:dyDescent="0.25">
      <c r="D517">
        <v>47000</v>
      </c>
    </row>
    <row r="518" spans="3:55" x14ac:dyDescent="0.25">
      <c r="D518">
        <v>48000</v>
      </c>
    </row>
    <row r="519" spans="3:55" x14ac:dyDescent="0.25">
      <c r="D519">
        <v>49000</v>
      </c>
    </row>
    <row r="520" spans="3:55" x14ac:dyDescent="0.25">
      <c r="D520">
        <v>50000</v>
      </c>
    </row>
    <row r="521" spans="3:55" x14ac:dyDescent="0.25">
      <c r="C521" t="s">
        <v>143</v>
      </c>
      <c r="D521" t="s">
        <v>133</v>
      </c>
      <c r="E521">
        <v>0</v>
      </c>
      <c r="F521">
        <v>0.02</v>
      </c>
      <c r="G521">
        <v>0.04</v>
      </c>
      <c r="H521">
        <v>0.06</v>
      </c>
      <c r="I521">
        <v>0.08</v>
      </c>
      <c r="J521">
        <v>0.1</v>
      </c>
      <c r="K521">
        <v>0.12</v>
      </c>
      <c r="L521">
        <v>0.14000000000000001</v>
      </c>
      <c r="M521">
        <v>0.16</v>
      </c>
      <c r="N521">
        <v>0.18</v>
      </c>
      <c r="O521">
        <v>0.2</v>
      </c>
      <c r="P521">
        <v>0.22</v>
      </c>
      <c r="Q521">
        <v>0.24</v>
      </c>
      <c r="R521">
        <v>0.26</v>
      </c>
      <c r="S521">
        <v>0.28000000000000003</v>
      </c>
      <c r="T521">
        <v>0.3</v>
      </c>
      <c r="U521">
        <v>0.32</v>
      </c>
      <c r="V521">
        <v>0.34</v>
      </c>
      <c r="W521">
        <v>0.36</v>
      </c>
      <c r="X521">
        <v>0.38</v>
      </c>
      <c r="Y521">
        <v>0.4</v>
      </c>
      <c r="Z521">
        <v>0.42</v>
      </c>
      <c r="AA521">
        <v>0.44</v>
      </c>
      <c r="AB521">
        <v>0.46</v>
      </c>
      <c r="AC521">
        <v>0.48</v>
      </c>
      <c r="AD521">
        <v>0.5</v>
      </c>
      <c r="AE521">
        <v>0.52</v>
      </c>
      <c r="AF521">
        <v>0.54</v>
      </c>
      <c r="AG521">
        <v>0.56000000000000005</v>
      </c>
      <c r="AH521">
        <v>0.57999999999999996</v>
      </c>
      <c r="AI521">
        <v>0.6</v>
      </c>
      <c r="AJ521">
        <v>0.62</v>
      </c>
      <c r="AK521">
        <v>0.64</v>
      </c>
      <c r="AL521">
        <v>0.66</v>
      </c>
      <c r="AM521">
        <v>0.68</v>
      </c>
      <c r="AN521">
        <v>0.7</v>
      </c>
      <c r="AO521">
        <v>0.72</v>
      </c>
      <c r="AP521">
        <v>0.74</v>
      </c>
      <c r="AQ521">
        <v>0.76</v>
      </c>
      <c r="AR521">
        <v>0.78</v>
      </c>
      <c r="AS521">
        <v>0.8</v>
      </c>
      <c r="AT521">
        <v>0.82</v>
      </c>
      <c r="AU521">
        <v>0.84</v>
      </c>
      <c r="AV521">
        <v>0.86</v>
      </c>
      <c r="AW521">
        <v>0.88</v>
      </c>
      <c r="AX521">
        <v>0.9</v>
      </c>
      <c r="AY521">
        <v>0.92</v>
      </c>
      <c r="AZ521">
        <v>0.94</v>
      </c>
      <c r="BA521">
        <v>0.96</v>
      </c>
      <c r="BB521">
        <v>0.98</v>
      </c>
      <c r="BC521">
        <v>1</v>
      </c>
    </row>
    <row r="522" spans="3:55" x14ac:dyDescent="0.25">
      <c r="D522">
        <v>0</v>
      </c>
      <c r="R522">
        <v>18095.376953125</v>
      </c>
      <c r="S522">
        <v>18142.138671875</v>
      </c>
      <c r="T522">
        <v>18188.900390625</v>
      </c>
      <c r="U522">
        <v>18267.98828125</v>
      </c>
      <c r="V522">
        <v>18347.076171875</v>
      </c>
      <c r="W522">
        <v>18426.1640625</v>
      </c>
      <c r="X522">
        <v>18505.25390625</v>
      </c>
      <c r="Y522">
        <v>18584.341796875</v>
      </c>
      <c r="Z522">
        <v>16716.255859375</v>
      </c>
      <c r="AA522">
        <v>14848.169921875</v>
      </c>
      <c r="AB522">
        <v>12980.0849609375</v>
      </c>
      <c r="AC522">
        <v>11111.998046875</v>
      </c>
      <c r="AD522">
        <v>9243.9130859375</v>
      </c>
      <c r="AE522">
        <v>9181.6318359375</v>
      </c>
      <c r="AF522">
        <v>9119.3515625</v>
      </c>
      <c r="AG522">
        <v>9057.0703125</v>
      </c>
      <c r="AH522">
        <v>8994.7900390625</v>
      </c>
      <c r="AI522">
        <v>8932.5087890625</v>
      </c>
      <c r="AJ522">
        <v>8859.345703125</v>
      </c>
      <c r="AK522">
        <v>8786.18359375</v>
      </c>
    </row>
    <row r="523" spans="3:55" x14ac:dyDescent="0.25">
      <c r="D523">
        <v>1000</v>
      </c>
      <c r="S523">
        <v>17750.685546875</v>
      </c>
      <c r="T523">
        <v>17798.529296875</v>
      </c>
      <c r="U523">
        <v>17876.1875</v>
      </c>
      <c r="V523">
        <v>17953.845703125</v>
      </c>
      <c r="W523">
        <v>18031.50390625</v>
      </c>
      <c r="X523">
        <v>18109.162109375</v>
      </c>
      <c r="Y523">
        <v>18186.822265625</v>
      </c>
      <c r="Z523">
        <v>16391.794921875</v>
      </c>
      <c r="AA523">
        <v>14596.7705078125</v>
      </c>
      <c r="AB523">
        <v>12801.7431640625</v>
      </c>
      <c r="AC523">
        <v>11006.7177734375</v>
      </c>
      <c r="AD523">
        <v>9211.6923828125</v>
      </c>
      <c r="AE523">
        <v>9150.1337890625</v>
      </c>
      <c r="AF523">
        <v>9088.576171875</v>
      </c>
      <c r="AG523">
        <v>9027.017578125</v>
      </c>
      <c r="AH523">
        <v>8965.458984375</v>
      </c>
      <c r="AI523">
        <v>8903.9013671875</v>
      </c>
      <c r="AJ523">
        <v>8832.234375</v>
      </c>
      <c r="AK523">
        <v>8760.5673828125</v>
      </c>
      <c r="AL523">
        <v>8688.900390625</v>
      </c>
    </row>
    <row r="524" spans="3:55" x14ac:dyDescent="0.25">
      <c r="D524">
        <v>2000</v>
      </c>
      <c r="S524">
        <v>17359.232421875</v>
      </c>
      <c r="T524">
        <v>17408.158203125</v>
      </c>
      <c r="U524">
        <v>17484.38671875</v>
      </c>
      <c r="V524">
        <v>17560.615234375</v>
      </c>
      <c r="W524">
        <v>17636.84375</v>
      </c>
      <c r="X524">
        <v>17713.072265625</v>
      </c>
      <c r="Y524">
        <v>17789.30078125</v>
      </c>
      <c r="Z524">
        <v>16067.3349609375</v>
      </c>
      <c r="AA524">
        <v>14345.369140625</v>
      </c>
      <c r="AB524">
        <v>12623.4033203125</v>
      </c>
      <c r="AC524">
        <v>10901.4375</v>
      </c>
      <c r="AD524">
        <v>9179.4716796875</v>
      </c>
      <c r="AE524">
        <v>9118.6357421875</v>
      </c>
      <c r="AF524">
        <v>9057.80078125</v>
      </c>
      <c r="AG524">
        <v>8996.9638671875</v>
      </c>
      <c r="AH524">
        <v>8936.12890625</v>
      </c>
      <c r="AI524">
        <v>8875.29296875</v>
      </c>
      <c r="AJ524">
        <v>8805.12109375</v>
      </c>
      <c r="AK524">
        <v>8734.9501953125</v>
      </c>
      <c r="AL524">
        <v>8664.7783203125</v>
      </c>
    </row>
    <row r="525" spans="3:55" x14ac:dyDescent="0.25">
      <c r="D525">
        <v>3000</v>
      </c>
      <c r="S525">
        <v>16967.77734375</v>
      </c>
      <c r="T525">
        <v>17017.787109375</v>
      </c>
      <c r="U525">
        <v>17092.5859375</v>
      </c>
      <c r="V525">
        <v>17167.384765625</v>
      </c>
      <c r="W525">
        <v>17242.18359375</v>
      </c>
      <c r="X525">
        <v>17316.982421875</v>
      </c>
      <c r="Y525">
        <v>17391.78125</v>
      </c>
      <c r="Z525">
        <v>15742.875</v>
      </c>
      <c r="AA525">
        <v>14093.96875</v>
      </c>
      <c r="AB525">
        <v>12445.0625</v>
      </c>
      <c r="AC525">
        <v>10796.1572265625</v>
      </c>
      <c r="AD525">
        <v>9147.2509765625</v>
      </c>
      <c r="AE525">
        <v>9087.138671875</v>
      </c>
      <c r="AF525">
        <v>9027.025390625</v>
      </c>
      <c r="AG525">
        <v>8966.912109375</v>
      </c>
      <c r="AH525">
        <v>8906.798828125</v>
      </c>
      <c r="AI525">
        <v>8846.685546875</v>
      </c>
      <c r="AJ525">
        <v>8778.0087890625</v>
      </c>
      <c r="AK525">
        <v>8709.3330078125</v>
      </c>
      <c r="AL525">
        <v>8640.658203125</v>
      </c>
      <c r="AM525">
        <v>8571.9814453125</v>
      </c>
    </row>
    <row r="526" spans="3:55" x14ac:dyDescent="0.25">
      <c r="D526">
        <v>4000</v>
      </c>
      <c r="S526">
        <v>16576.32421875</v>
      </c>
      <c r="T526">
        <v>16627.416015625</v>
      </c>
      <c r="U526">
        <v>16700.78515625</v>
      </c>
      <c r="V526">
        <v>16774.154296875</v>
      </c>
      <c r="W526">
        <v>16847.5234375</v>
      </c>
      <c r="X526">
        <v>16920.890625</v>
      </c>
      <c r="Y526">
        <v>16994.259765625</v>
      </c>
      <c r="Z526">
        <v>15418.4150390625</v>
      </c>
      <c r="AA526">
        <v>13842.568359375</v>
      </c>
      <c r="AB526">
        <v>12266.72265625</v>
      </c>
      <c r="AC526">
        <v>10690.876953125</v>
      </c>
      <c r="AD526">
        <v>9115.0302734375</v>
      </c>
      <c r="AE526">
        <v>9055.6396484375</v>
      </c>
      <c r="AF526">
        <v>8996.25</v>
      </c>
      <c r="AG526">
        <v>8936.8583984375</v>
      </c>
      <c r="AH526">
        <v>8877.4677734375</v>
      </c>
      <c r="AI526">
        <v>8818.0771484375</v>
      </c>
      <c r="AJ526">
        <v>8750.896484375</v>
      </c>
      <c r="AK526">
        <v>8683.716796875</v>
      </c>
      <c r="AL526">
        <v>8616.5361328125</v>
      </c>
      <c r="AM526">
        <v>8549.3564453125</v>
      </c>
    </row>
    <row r="527" spans="3:55" x14ac:dyDescent="0.25">
      <c r="D527">
        <v>5000</v>
      </c>
      <c r="T527">
        <v>16237.0458984375</v>
      </c>
      <c r="U527">
        <v>16308.9853515625</v>
      </c>
      <c r="V527">
        <v>16380.923828125</v>
      </c>
      <c r="W527">
        <v>16452.861328125</v>
      </c>
      <c r="X527">
        <v>16524.80078125</v>
      </c>
      <c r="Y527">
        <v>16596.740234375</v>
      </c>
      <c r="Z527">
        <v>15093.953125</v>
      </c>
      <c r="AA527">
        <v>13591.1689453125</v>
      </c>
      <c r="AB527">
        <v>12088.3828125</v>
      </c>
      <c r="AC527">
        <v>10585.5966796875</v>
      </c>
      <c r="AD527">
        <v>9082.810546875</v>
      </c>
      <c r="AE527">
        <v>9024.1416015625</v>
      </c>
      <c r="AF527">
        <v>8965.4736328125</v>
      </c>
      <c r="AG527">
        <v>8906.8056640625</v>
      </c>
      <c r="AH527">
        <v>8848.1376953125</v>
      </c>
      <c r="AI527">
        <v>8789.4697265625</v>
      </c>
      <c r="AJ527">
        <v>8723.78515625</v>
      </c>
      <c r="AK527">
        <v>8658.1005859375</v>
      </c>
      <c r="AL527">
        <v>8592.416015625</v>
      </c>
      <c r="AM527">
        <v>8526.73046875</v>
      </c>
      <c r="AN527">
        <v>8461.046875</v>
      </c>
    </row>
    <row r="528" spans="3:55" x14ac:dyDescent="0.25">
      <c r="D528">
        <v>6000</v>
      </c>
      <c r="T528">
        <v>14839.310546875</v>
      </c>
      <c r="U528">
        <v>14889.431640625</v>
      </c>
      <c r="V528">
        <v>14939.552734375</v>
      </c>
      <c r="W528">
        <v>14989.6748046875</v>
      </c>
      <c r="X528">
        <v>15039.796875</v>
      </c>
      <c r="Y528">
        <v>15089.9189453125</v>
      </c>
      <c r="Z528">
        <v>13879.197265625</v>
      </c>
      <c r="AA528">
        <v>12668.474609375</v>
      </c>
      <c r="AB528">
        <v>11457.751953125</v>
      </c>
      <c r="AC528">
        <v>10247.03125</v>
      </c>
      <c r="AD528">
        <v>9036.30859375</v>
      </c>
      <c r="AE528">
        <v>8980.9521484375</v>
      </c>
      <c r="AF528">
        <v>8925.59765625</v>
      </c>
      <c r="AG528">
        <v>8870.2412109375</v>
      </c>
      <c r="AH528">
        <v>8814.884765625</v>
      </c>
      <c r="AI528">
        <v>8759.5302734375</v>
      </c>
      <c r="AJ528">
        <v>8696.1201171875</v>
      </c>
      <c r="AK528">
        <v>8632.7099609375</v>
      </c>
      <c r="AL528">
        <v>8569.2998046875</v>
      </c>
      <c r="AM528">
        <v>8505.890625</v>
      </c>
      <c r="AN528">
        <v>8442.48046875</v>
      </c>
    </row>
    <row r="529" spans="4:45" x14ac:dyDescent="0.25">
      <c r="D529">
        <v>7000</v>
      </c>
      <c r="U529">
        <v>13469.8779296875</v>
      </c>
      <c r="V529">
        <v>13498.1826171875</v>
      </c>
      <c r="W529">
        <v>13526.48828125</v>
      </c>
      <c r="X529">
        <v>13554.79296875</v>
      </c>
      <c r="Y529">
        <v>13583.0986328125</v>
      </c>
      <c r="Z529">
        <v>12664.4404296875</v>
      </c>
      <c r="AA529">
        <v>11745.7822265625</v>
      </c>
      <c r="AB529">
        <v>10827.1240234375</v>
      </c>
      <c r="AC529">
        <v>9908.4658203125</v>
      </c>
      <c r="AD529">
        <v>8989.806640625</v>
      </c>
      <c r="AE529">
        <v>8937.763671875</v>
      </c>
      <c r="AF529">
        <v>8885.7197265625</v>
      </c>
      <c r="AG529">
        <v>8833.6767578125</v>
      </c>
      <c r="AH529">
        <v>8781.6337890625</v>
      </c>
      <c r="AI529">
        <v>8729.58984375</v>
      </c>
      <c r="AJ529">
        <v>8668.455078125</v>
      </c>
      <c r="AK529">
        <v>8607.3203125</v>
      </c>
      <c r="AL529">
        <v>8546.1845703125</v>
      </c>
      <c r="AM529">
        <v>8485.0498046875</v>
      </c>
      <c r="AN529">
        <v>8423.9150390625</v>
      </c>
      <c r="AO529">
        <v>8351.0830078125</v>
      </c>
    </row>
    <row r="530" spans="4:45" x14ac:dyDescent="0.25">
      <c r="D530">
        <v>8000</v>
      </c>
      <c r="U530">
        <v>12050.32421875</v>
      </c>
      <c r="V530">
        <v>12056.8125</v>
      </c>
      <c r="W530">
        <v>12063.30078125</v>
      </c>
      <c r="X530">
        <v>12069.7890625</v>
      </c>
      <c r="Y530">
        <v>12076.2763671875</v>
      </c>
      <c r="Z530">
        <v>11449.6826171875</v>
      </c>
      <c r="AA530">
        <v>10823.087890625</v>
      </c>
      <c r="AB530">
        <v>10196.4931640625</v>
      </c>
      <c r="AC530">
        <v>9569.8994140625</v>
      </c>
      <c r="AD530">
        <v>8943.3046875</v>
      </c>
      <c r="AE530">
        <v>8894.57421875</v>
      </c>
      <c r="AF530">
        <v>8845.8427734375</v>
      </c>
      <c r="AG530">
        <v>8797.111328125</v>
      </c>
      <c r="AH530">
        <v>8748.380859375</v>
      </c>
      <c r="AI530">
        <v>8699.650390625</v>
      </c>
      <c r="AJ530">
        <v>8640.7900390625</v>
      </c>
      <c r="AK530">
        <v>8581.9296875</v>
      </c>
      <c r="AL530">
        <v>8523.0693359375</v>
      </c>
      <c r="AM530">
        <v>8464.208984375</v>
      </c>
      <c r="AN530">
        <v>8405.349609375</v>
      </c>
      <c r="AO530">
        <v>8333.0888671875</v>
      </c>
    </row>
    <row r="531" spans="4:45" x14ac:dyDescent="0.25">
      <c r="D531">
        <v>9000</v>
      </c>
      <c r="V531">
        <v>10615.4423828125</v>
      </c>
      <c r="W531">
        <v>10600.1142578125</v>
      </c>
      <c r="X531">
        <v>10584.7841796875</v>
      </c>
      <c r="Y531">
        <v>10569.4560546875</v>
      </c>
      <c r="Z531">
        <v>10234.92578125</v>
      </c>
      <c r="AA531">
        <v>9900.3955078125</v>
      </c>
      <c r="AB531">
        <v>9565.8642578125</v>
      </c>
      <c r="AC531">
        <v>9231.333984375</v>
      </c>
      <c r="AD531">
        <v>8896.8037109375</v>
      </c>
      <c r="AE531">
        <v>8851.384765625</v>
      </c>
      <c r="AF531">
        <v>8805.9658203125</v>
      </c>
      <c r="AG531">
        <v>8760.5478515625</v>
      </c>
      <c r="AH531">
        <v>8715.12890625</v>
      </c>
      <c r="AI531">
        <v>8669.7099609375</v>
      </c>
      <c r="AJ531">
        <v>8613.1240234375</v>
      </c>
      <c r="AK531">
        <v>8556.5390625</v>
      </c>
      <c r="AL531">
        <v>8499.9541015625</v>
      </c>
      <c r="AM531">
        <v>8443.369140625</v>
      </c>
      <c r="AN531">
        <v>8386.7841796875</v>
      </c>
      <c r="AO531">
        <v>8315.095703125</v>
      </c>
      <c r="AP531">
        <v>8243.408203125</v>
      </c>
    </row>
    <row r="532" spans="4:45" x14ac:dyDescent="0.25">
      <c r="D532">
        <v>10000</v>
      </c>
      <c r="V532">
        <v>9174.072265625</v>
      </c>
      <c r="W532">
        <v>9136.9267578125</v>
      </c>
      <c r="X532">
        <v>9099.7802734375</v>
      </c>
      <c r="Y532">
        <v>9062.634765625</v>
      </c>
      <c r="Z532">
        <v>9020.16796875</v>
      </c>
      <c r="AA532">
        <v>8977.7021484375</v>
      </c>
      <c r="AB532">
        <v>8935.234375</v>
      </c>
      <c r="AC532">
        <v>8892.7685546875</v>
      </c>
      <c r="AD532">
        <v>8850.3017578125</v>
      </c>
      <c r="AE532">
        <v>8808.1953125</v>
      </c>
      <c r="AF532">
        <v>8766.0888671875</v>
      </c>
      <c r="AG532">
        <v>8723.982421875</v>
      </c>
      <c r="AH532">
        <v>8681.8759765625</v>
      </c>
      <c r="AI532">
        <v>8639.7705078125</v>
      </c>
      <c r="AJ532">
        <v>8585.458984375</v>
      </c>
      <c r="AK532">
        <v>8531.1494140625</v>
      </c>
      <c r="AL532">
        <v>8476.8388671875</v>
      </c>
      <c r="AM532">
        <v>8422.5283203125</v>
      </c>
      <c r="AN532">
        <v>8368.2177734375</v>
      </c>
      <c r="AO532">
        <v>8297.1015625</v>
      </c>
      <c r="AP532">
        <v>8225.986328125</v>
      </c>
    </row>
    <row r="533" spans="4:45" x14ac:dyDescent="0.25">
      <c r="D533">
        <v>11000</v>
      </c>
      <c r="V533">
        <v>9163.6259765625</v>
      </c>
      <c r="W533">
        <v>9124.79296875</v>
      </c>
      <c r="X533">
        <v>9085.9609375</v>
      </c>
      <c r="Y533">
        <v>9047.1279296875</v>
      </c>
      <c r="Z533">
        <v>9001.94140625</v>
      </c>
      <c r="AA533">
        <v>8956.75390625</v>
      </c>
      <c r="AB533">
        <v>8911.5673828125</v>
      </c>
      <c r="AC533">
        <v>8866.37890625</v>
      </c>
      <c r="AD533">
        <v>8821.1923828125</v>
      </c>
      <c r="AE533">
        <v>8777.4072265625</v>
      </c>
      <c r="AF533">
        <v>8733.62109375</v>
      </c>
      <c r="AG533">
        <v>8689.8359375</v>
      </c>
      <c r="AH533">
        <v>8646.0498046875</v>
      </c>
      <c r="AI533">
        <v>8602.263671875</v>
      </c>
      <c r="AJ533">
        <v>8549.3017578125</v>
      </c>
      <c r="AK533">
        <v>8496.33984375</v>
      </c>
      <c r="AL533">
        <v>8443.3779296875</v>
      </c>
      <c r="AM533">
        <v>8390.416015625</v>
      </c>
      <c r="AN533">
        <v>8337.4541015625</v>
      </c>
      <c r="AO533">
        <v>8270.1328125</v>
      </c>
      <c r="AP533">
        <v>8202.8115234375</v>
      </c>
    </row>
    <row r="534" spans="4:45" x14ac:dyDescent="0.25">
      <c r="D534">
        <v>12000</v>
      </c>
      <c r="W534">
        <v>9112.66015625</v>
      </c>
      <c r="X534">
        <v>9072.140625</v>
      </c>
      <c r="Y534">
        <v>9031.6220703125</v>
      </c>
      <c r="Z534">
        <v>8983.7138671875</v>
      </c>
      <c r="AA534">
        <v>8935.806640625</v>
      </c>
      <c r="AB534">
        <v>8887.8984375</v>
      </c>
      <c r="AC534">
        <v>8839.9912109375</v>
      </c>
      <c r="AD534">
        <v>8792.0830078125</v>
      </c>
      <c r="AE534">
        <v>8746.6181640625</v>
      </c>
      <c r="AF534">
        <v>8701.15234375</v>
      </c>
      <c r="AG534">
        <v>8655.6875</v>
      </c>
      <c r="AH534">
        <v>8610.22265625</v>
      </c>
      <c r="AI534">
        <v>8564.7578125</v>
      </c>
      <c r="AJ534">
        <v>8513.14453125</v>
      </c>
      <c r="AK534">
        <v>8461.5302734375</v>
      </c>
      <c r="AL534">
        <v>8409.9169921875</v>
      </c>
      <c r="AM534">
        <v>8358.3037109375</v>
      </c>
      <c r="AN534">
        <v>8306.689453125</v>
      </c>
      <c r="AO534">
        <v>8243.1640625</v>
      </c>
      <c r="AP534">
        <v>8179.6376953125</v>
      </c>
      <c r="AQ534">
        <v>8116.11181640625</v>
      </c>
    </row>
    <row r="535" spans="4:45" x14ac:dyDescent="0.25">
      <c r="D535">
        <v>13000</v>
      </c>
      <c r="W535">
        <v>9100.5263671875</v>
      </c>
      <c r="X535">
        <v>9058.3212890625</v>
      </c>
      <c r="Y535">
        <v>9016.115234375</v>
      </c>
      <c r="Z535">
        <v>8965.486328125</v>
      </c>
      <c r="AA535">
        <v>8914.8583984375</v>
      </c>
      <c r="AB535">
        <v>8864.23046875</v>
      </c>
      <c r="AC535">
        <v>8813.6025390625</v>
      </c>
      <c r="AD535">
        <v>8762.9736328125</v>
      </c>
      <c r="AE535">
        <v>8715.8291015625</v>
      </c>
      <c r="AF535">
        <v>8668.6845703125</v>
      </c>
      <c r="AG535">
        <v>8621.5400390625</v>
      </c>
      <c r="AH535">
        <v>8574.3955078125</v>
      </c>
      <c r="AI535">
        <v>8527.2509765625</v>
      </c>
      <c r="AJ535">
        <v>8476.986328125</v>
      </c>
      <c r="AK535">
        <v>8426.720703125</v>
      </c>
      <c r="AL535">
        <v>8376.4560546875</v>
      </c>
      <c r="AM535">
        <v>8326.19140625</v>
      </c>
      <c r="AN535">
        <v>8275.92578125</v>
      </c>
      <c r="AO535">
        <v>8216.1943359375</v>
      </c>
      <c r="AP535">
        <v>8156.46337890625</v>
      </c>
      <c r="AQ535">
        <v>8096.73193359375</v>
      </c>
    </row>
    <row r="536" spans="4:45" x14ac:dyDescent="0.25">
      <c r="D536">
        <v>14000</v>
      </c>
      <c r="X536">
        <v>9044.5009765625</v>
      </c>
      <c r="Y536">
        <v>9000.6083984375</v>
      </c>
      <c r="Z536">
        <v>8947.259765625</v>
      </c>
      <c r="AA536">
        <v>8893.9111328125</v>
      </c>
      <c r="AB536">
        <v>8840.5615234375</v>
      </c>
      <c r="AC536">
        <v>8787.212890625</v>
      </c>
      <c r="AD536">
        <v>8733.8642578125</v>
      </c>
      <c r="AE536">
        <v>8685.041015625</v>
      </c>
      <c r="AF536">
        <v>8636.2158203125</v>
      </c>
      <c r="AG536">
        <v>8587.392578125</v>
      </c>
      <c r="AH536">
        <v>8538.568359375</v>
      </c>
      <c r="AI536">
        <v>8489.7451171875</v>
      </c>
      <c r="AJ536">
        <v>8440.828125</v>
      </c>
      <c r="AK536">
        <v>8391.912109375</v>
      </c>
      <c r="AL536">
        <v>8342.9951171875</v>
      </c>
      <c r="AM536">
        <v>8294.0791015625</v>
      </c>
      <c r="AN536">
        <v>8245.162109375</v>
      </c>
      <c r="AO536">
        <v>8189.2255859375</v>
      </c>
      <c r="AP536">
        <v>8133.28955078125</v>
      </c>
      <c r="AQ536">
        <v>8077.35302734375</v>
      </c>
      <c r="AR536">
        <v>8021.41650390625</v>
      </c>
    </row>
    <row r="537" spans="4:45" x14ac:dyDescent="0.25">
      <c r="D537">
        <v>15000</v>
      </c>
      <c r="X537">
        <v>9030.6806640625</v>
      </c>
      <c r="Y537">
        <v>8985.1015625</v>
      </c>
      <c r="Z537">
        <v>8929.0322265625</v>
      </c>
      <c r="AA537">
        <v>8872.962890625</v>
      </c>
      <c r="AB537">
        <v>8816.8935546875</v>
      </c>
      <c r="AC537">
        <v>8760.82421875</v>
      </c>
      <c r="AD537">
        <v>8704.7548828125</v>
      </c>
      <c r="AE537">
        <v>8654.2509765625</v>
      </c>
      <c r="AF537">
        <v>8603.748046875</v>
      </c>
      <c r="AG537">
        <v>8553.2451171875</v>
      </c>
      <c r="AH537">
        <v>8502.7421875</v>
      </c>
      <c r="AI537">
        <v>8452.23828125</v>
      </c>
      <c r="AJ537">
        <v>8404.669921875</v>
      </c>
      <c r="AK537">
        <v>8357.1025390625</v>
      </c>
      <c r="AL537">
        <v>8309.5341796875</v>
      </c>
      <c r="AM537">
        <v>8261.9658203125</v>
      </c>
      <c r="AN537">
        <v>8214.3984375</v>
      </c>
      <c r="AO537">
        <v>8162.25634765625</v>
      </c>
      <c r="AP537">
        <v>8110.11474609375</v>
      </c>
      <c r="AQ537">
        <v>8057.9736328125</v>
      </c>
      <c r="AR537">
        <v>8005.83203125</v>
      </c>
    </row>
    <row r="538" spans="4:45" x14ac:dyDescent="0.25">
      <c r="D538">
        <v>16000</v>
      </c>
      <c r="X538">
        <v>8980.1533203125</v>
      </c>
      <c r="Y538">
        <v>8943.7626953125</v>
      </c>
      <c r="Z538">
        <v>8894.8125</v>
      </c>
      <c r="AA538">
        <v>8845.8623046875</v>
      </c>
      <c r="AB538">
        <v>8796.912109375</v>
      </c>
      <c r="AC538">
        <v>8747.9619140625</v>
      </c>
      <c r="AD538">
        <v>8699.01171875</v>
      </c>
      <c r="AE538">
        <v>8647.3876953125</v>
      </c>
      <c r="AF538">
        <v>8595.763671875</v>
      </c>
      <c r="AG538">
        <v>8544.138671875</v>
      </c>
      <c r="AH538">
        <v>8492.5146484375</v>
      </c>
      <c r="AI538">
        <v>8440.8896484375</v>
      </c>
      <c r="AJ538">
        <v>8389.140625</v>
      </c>
      <c r="AK538">
        <v>8337.390625</v>
      </c>
      <c r="AL538">
        <v>8285.6416015625</v>
      </c>
      <c r="AM538">
        <v>8233.8916015625</v>
      </c>
      <c r="AN538">
        <v>8182.142578125</v>
      </c>
      <c r="AO538">
        <v>8129.1533203125</v>
      </c>
      <c r="AP538">
        <v>8076.1640625</v>
      </c>
      <c r="AQ538">
        <v>8023.1748046875</v>
      </c>
      <c r="AR538">
        <v>7970.185546875</v>
      </c>
    </row>
    <row r="539" spans="4:45" x14ac:dyDescent="0.25">
      <c r="D539">
        <v>17000</v>
      </c>
      <c r="Y539">
        <v>8902.4228515625</v>
      </c>
      <c r="Z539">
        <v>8860.5927734375</v>
      </c>
      <c r="AA539">
        <v>8818.76171875</v>
      </c>
      <c r="AB539">
        <v>8776.931640625</v>
      </c>
      <c r="AC539">
        <v>8735.1005859375</v>
      </c>
      <c r="AD539">
        <v>8693.26953125</v>
      </c>
      <c r="AE539">
        <v>8640.5234375</v>
      </c>
      <c r="AF539">
        <v>8587.7783203125</v>
      </c>
      <c r="AG539">
        <v>8535.0322265625</v>
      </c>
      <c r="AH539">
        <v>8482.287109375</v>
      </c>
      <c r="AI539">
        <v>8429.541015625</v>
      </c>
      <c r="AJ539">
        <v>8373.6103515625</v>
      </c>
      <c r="AK539">
        <v>8317.6796875</v>
      </c>
      <c r="AL539">
        <v>8261.7490234375</v>
      </c>
      <c r="AM539">
        <v>8205.818359375</v>
      </c>
      <c r="AN539">
        <v>8149.8876953125</v>
      </c>
      <c r="AO539">
        <v>8096.05029296875</v>
      </c>
      <c r="AP539">
        <v>8042.212890625</v>
      </c>
      <c r="AQ539">
        <v>7988.37548828125</v>
      </c>
      <c r="AR539">
        <v>7934.53857421875</v>
      </c>
    </row>
    <row r="540" spans="4:45" x14ac:dyDescent="0.25">
      <c r="D540">
        <v>18000</v>
      </c>
      <c r="Y540">
        <v>8861.083984375</v>
      </c>
      <c r="Z540">
        <v>8826.3720703125</v>
      </c>
      <c r="AA540">
        <v>8791.6611328125</v>
      </c>
      <c r="AB540">
        <v>8756.9501953125</v>
      </c>
      <c r="AC540">
        <v>8722.23828125</v>
      </c>
      <c r="AD540">
        <v>8687.5263671875</v>
      </c>
      <c r="AE540">
        <v>8633.66015625</v>
      </c>
      <c r="AF540">
        <v>8579.79296875</v>
      </c>
      <c r="AG540">
        <v>8525.9267578125</v>
      </c>
      <c r="AH540">
        <v>8472.0595703125</v>
      </c>
      <c r="AI540">
        <v>8418.193359375</v>
      </c>
      <c r="AJ540">
        <v>8358.0810546875</v>
      </c>
      <c r="AK540">
        <v>8297.96875</v>
      </c>
      <c r="AL540">
        <v>8237.8564453125</v>
      </c>
      <c r="AM540">
        <v>8177.744140625</v>
      </c>
      <c r="AN540">
        <v>8117.63232421875</v>
      </c>
      <c r="AO540">
        <v>8062.94677734375</v>
      </c>
      <c r="AP540">
        <v>8008.26220703125</v>
      </c>
      <c r="AQ540">
        <v>7953.5771484375</v>
      </c>
      <c r="AR540">
        <v>7898.8916015625</v>
      </c>
      <c r="AS540">
        <v>7844.20654296875</v>
      </c>
    </row>
    <row r="541" spans="4:45" x14ac:dyDescent="0.25">
      <c r="D541">
        <v>19000</v>
      </c>
      <c r="Z541">
        <v>8792.1533203125</v>
      </c>
      <c r="AA541">
        <v>8764.560546875</v>
      </c>
      <c r="AB541">
        <v>8736.9677734375</v>
      </c>
      <c r="AC541">
        <v>8709.3759765625</v>
      </c>
      <c r="AD541">
        <v>8681.7841796875</v>
      </c>
      <c r="AE541">
        <v>8626.7958984375</v>
      </c>
      <c r="AF541">
        <v>8571.80859375</v>
      </c>
      <c r="AG541">
        <v>8516.8203125</v>
      </c>
      <c r="AH541">
        <v>8461.83203125</v>
      </c>
      <c r="AI541">
        <v>8406.8447265625</v>
      </c>
      <c r="AJ541">
        <v>8342.55078125</v>
      </c>
      <c r="AK541">
        <v>8278.2568359375</v>
      </c>
      <c r="AL541">
        <v>8213.9638671875</v>
      </c>
      <c r="AM541">
        <v>8149.67041015625</v>
      </c>
      <c r="AN541">
        <v>8085.37744140625</v>
      </c>
      <c r="AO541">
        <v>8029.84375</v>
      </c>
      <c r="AP541">
        <v>7974.310546875</v>
      </c>
      <c r="AQ541">
        <v>7918.77783203125</v>
      </c>
      <c r="AR541">
        <v>7863.24462890625</v>
      </c>
      <c r="AS541">
        <v>7807.7119140625</v>
      </c>
    </row>
    <row r="542" spans="4:45" x14ac:dyDescent="0.25">
      <c r="D542">
        <v>20000</v>
      </c>
      <c r="Z542">
        <v>8757.9326171875</v>
      </c>
      <c r="AA542">
        <v>8737.4599609375</v>
      </c>
      <c r="AB542">
        <v>8716.986328125</v>
      </c>
      <c r="AC542">
        <v>8696.513671875</v>
      </c>
      <c r="AD542">
        <v>8676.041015625</v>
      </c>
      <c r="AE542">
        <v>8619.9326171875</v>
      </c>
      <c r="AF542">
        <v>8563.8232421875</v>
      </c>
      <c r="AG542">
        <v>8507.7138671875</v>
      </c>
      <c r="AH542">
        <v>8451.6044921875</v>
      </c>
      <c r="AI542">
        <v>8395.49609375</v>
      </c>
      <c r="AJ542">
        <v>8327.021484375</v>
      </c>
      <c r="AK542">
        <v>8258.5458984375</v>
      </c>
      <c r="AL542">
        <v>8190.0712890625</v>
      </c>
      <c r="AM542">
        <v>8121.59619140625</v>
      </c>
      <c r="AN542">
        <v>8053.12158203125</v>
      </c>
      <c r="AO542">
        <v>7996.7412109375</v>
      </c>
      <c r="AP542">
        <v>7940.35986328125</v>
      </c>
      <c r="AQ542">
        <v>7883.9794921875</v>
      </c>
      <c r="AR542">
        <v>7827.59814453125</v>
      </c>
      <c r="AS542">
        <v>7771.21728515625</v>
      </c>
    </row>
    <row r="543" spans="4:45" x14ac:dyDescent="0.25">
      <c r="D543">
        <v>21000</v>
      </c>
      <c r="AA543">
        <v>8627.27734375</v>
      </c>
      <c r="AB543">
        <v>8611.8740234375</v>
      </c>
      <c r="AC543">
        <v>8596.470703125</v>
      </c>
      <c r="AD543">
        <v>8581.0673828125</v>
      </c>
      <c r="AE543">
        <v>8535.0302734375</v>
      </c>
      <c r="AF543">
        <v>8488.9931640625</v>
      </c>
      <c r="AG543">
        <v>8442.955078125</v>
      </c>
      <c r="AH543">
        <v>8396.91796875</v>
      </c>
      <c r="AI543">
        <v>8350.8798828125</v>
      </c>
      <c r="AJ543">
        <v>8290.0048828125</v>
      </c>
      <c r="AK543">
        <v>8229.12890625</v>
      </c>
      <c r="AL543">
        <v>8168.25341796875</v>
      </c>
      <c r="AM543">
        <v>8107.3779296875</v>
      </c>
      <c r="AN543">
        <v>8046.50244140625</v>
      </c>
      <c r="AO543">
        <v>7986.68701171875</v>
      </c>
      <c r="AP543">
        <v>7926.87109375</v>
      </c>
      <c r="AQ543">
        <v>7867.05615234375</v>
      </c>
      <c r="AR543">
        <v>7807.24072265625</v>
      </c>
      <c r="AS543">
        <v>7747.4248046875</v>
      </c>
    </row>
    <row r="544" spans="4:45" x14ac:dyDescent="0.25">
      <c r="D544">
        <v>22000</v>
      </c>
      <c r="AA544">
        <v>8517.09375</v>
      </c>
      <c r="AB544">
        <v>8506.7607421875</v>
      </c>
      <c r="AC544">
        <v>8496.427734375</v>
      </c>
      <c r="AD544">
        <v>8486.09375</v>
      </c>
      <c r="AE544">
        <v>8450.1279296875</v>
      </c>
      <c r="AF544">
        <v>8414.162109375</v>
      </c>
      <c r="AG544">
        <v>8378.1962890625</v>
      </c>
      <c r="AH544">
        <v>8342.2314453125</v>
      </c>
      <c r="AI544">
        <v>8306.265625</v>
      </c>
      <c r="AJ544">
        <v>8252.9892578125</v>
      </c>
      <c r="AK544">
        <v>8199.7119140625</v>
      </c>
      <c r="AL544">
        <v>8146.435546875</v>
      </c>
      <c r="AM544">
        <v>8093.15966796875</v>
      </c>
      <c r="AN544">
        <v>8039.8828125</v>
      </c>
      <c r="AO544">
        <v>7976.6328125</v>
      </c>
      <c r="AP544">
        <v>7913.3828125</v>
      </c>
      <c r="AQ544">
        <v>7850.13232421875</v>
      </c>
      <c r="AR544">
        <v>7786.8828125</v>
      </c>
      <c r="AS544">
        <v>7723.6328125</v>
      </c>
    </row>
    <row r="545" spans="4:45" x14ac:dyDescent="0.25">
      <c r="D545">
        <v>23000</v>
      </c>
      <c r="AB545">
        <v>8401.6474609375</v>
      </c>
      <c r="AC545">
        <v>8396.3837890625</v>
      </c>
      <c r="AD545">
        <v>8391.1201171875</v>
      </c>
      <c r="AE545">
        <v>8365.2255859375</v>
      </c>
      <c r="AF545">
        <v>8339.33203125</v>
      </c>
      <c r="AG545">
        <v>8313.4375</v>
      </c>
      <c r="AH545">
        <v>8287.5439453125</v>
      </c>
      <c r="AI545">
        <v>8261.650390625</v>
      </c>
      <c r="AJ545">
        <v>8215.97265625</v>
      </c>
      <c r="AK545">
        <v>8170.29541015625</v>
      </c>
      <c r="AL545">
        <v>8124.6181640625</v>
      </c>
      <c r="AM545">
        <v>8078.9404296875</v>
      </c>
      <c r="AN545">
        <v>8033.26318359375</v>
      </c>
      <c r="AO545">
        <v>7966.57861328125</v>
      </c>
      <c r="AP545">
        <v>7899.89453125</v>
      </c>
      <c r="AQ545">
        <v>7833.2099609375</v>
      </c>
      <c r="AR545">
        <v>7766.52490234375</v>
      </c>
      <c r="AS545">
        <v>7699.84033203125</v>
      </c>
    </row>
    <row r="546" spans="4:45" x14ac:dyDescent="0.25">
      <c r="D546">
        <v>24000</v>
      </c>
      <c r="AB546">
        <v>8296.5341796875</v>
      </c>
      <c r="AC546">
        <v>8296.33984375</v>
      </c>
      <c r="AD546">
        <v>8296.146484375</v>
      </c>
      <c r="AE546">
        <v>8280.32421875</v>
      </c>
      <c r="AF546">
        <v>8264.5009765625</v>
      </c>
      <c r="AG546">
        <v>8248.6787109375</v>
      </c>
      <c r="AH546">
        <v>8232.8564453125</v>
      </c>
      <c r="AI546">
        <v>8217.0341796875</v>
      </c>
      <c r="AJ546">
        <v>8178.95654296875</v>
      </c>
      <c r="AK546">
        <v>8140.87841796875</v>
      </c>
      <c r="AL546">
        <v>8102.80029296875</v>
      </c>
      <c r="AM546">
        <v>8064.7216796875</v>
      </c>
      <c r="AN546">
        <v>8026.6435546875</v>
      </c>
      <c r="AO546">
        <v>7956.52490234375</v>
      </c>
      <c r="AP546">
        <v>7886.40576171875</v>
      </c>
      <c r="AQ546">
        <v>7816.28662109375</v>
      </c>
      <c r="AR546">
        <v>7746.16748046875</v>
      </c>
      <c r="AS546">
        <v>7676.04833984375</v>
      </c>
    </row>
    <row r="547" spans="4:45" x14ac:dyDescent="0.25">
      <c r="D547">
        <v>25000</v>
      </c>
      <c r="AC547">
        <v>8196.2958984375</v>
      </c>
      <c r="AD547">
        <v>8201.171875</v>
      </c>
      <c r="AE547">
        <v>8195.421875</v>
      </c>
      <c r="AF547">
        <v>8189.67138671875</v>
      </c>
      <c r="AG547">
        <v>8183.919921875</v>
      </c>
      <c r="AH547">
        <v>8178.16943359375</v>
      </c>
      <c r="AI547">
        <v>8172.4189453125</v>
      </c>
      <c r="AJ547">
        <v>8141.93994140625</v>
      </c>
      <c r="AK547">
        <v>8111.46142578125</v>
      </c>
      <c r="AL547">
        <v>8080.98193359375</v>
      </c>
      <c r="AM547">
        <v>8050.50341796875</v>
      </c>
      <c r="AN547">
        <v>8020.0244140625</v>
      </c>
      <c r="AO547">
        <v>7946.470703125</v>
      </c>
      <c r="AP547">
        <v>7872.9169921875</v>
      </c>
      <c r="AQ547">
        <v>7799.36328125</v>
      </c>
      <c r="AR547">
        <v>7725.8095703125</v>
      </c>
      <c r="AS547">
        <v>7652.255859375</v>
      </c>
    </row>
    <row r="548" spans="4:45" x14ac:dyDescent="0.25">
      <c r="D548">
        <v>26000</v>
      </c>
      <c r="AC548">
        <v>8075.7734375</v>
      </c>
      <c r="AD548">
        <v>8080.05908203125</v>
      </c>
      <c r="AE548">
        <v>8075.5</v>
      </c>
      <c r="AF548">
        <v>8070.94189453125</v>
      </c>
      <c r="AG548">
        <v>8066.3828125</v>
      </c>
      <c r="AH548">
        <v>8061.82421875</v>
      </c>
      <c r="AI548">
        <v>8057.265625</v>
      </c>
      <c r="AJ548">
        <v>8033.04638671875</v>
      </c>
      <c r="AK548">
        <v>8008.82763671875</v>
      </c>
      <c r="AL548">
        <v>7984.6083984375</v>
      </c>
      <c r="AM548">
        <v>7960.38916015625</v>
      </c>
      <c r="AN548">
        <v>7936.169921875</v>
      </c>
      <c r="AO548">
        <v>7875.53564453125</v>
      </c>
      <c r="AP548">
        <v>7814.90234375</v>
      </c>
      <c r="AQ548">
        <v>7754.26806640625</v>
      </c>
      <c r="AR548">
        <v>7693.634765625</v>
      </c>
      <c r="AS548">
        <v>7633.0009765625</v>
      </c>
    </row>
    <row r="549" spans="4:45" x14ac:dyDescent="0.25">
      <c r="D549">
        <v>27000</v>
      </c>
      <c r="AD549">
        <v>7958.94580078125</v>
      </c>
      <c r="AE549">
        <v>7955.5791015625</v>
      </c>
      <c r="AF549">
        <v>7952.21240234375</v>
      </c>
      <c r="AG549">
        <v>7948.84521484375</v>
      </c>
      <c r="AH549">
        <v>7945.478515625</v>
      </c>
      <c r="AI549">
        <v>7942.11181640625</v>
      </c>
      <c r="AJ549">
        <v>7924.15234375</v>
      </c>
      <c r="AK549">
        <v>7906.193359375</v>
      </c>
      <c r="AL549">
        <v>7888.23388671875</v>
      </c>
      <c r="AM549">
        <v>7870.27490234375</v>
      </c>
      <c r="AN549">
        <v>7852.3154296875</v>
      </c>
      <c r="AO549">
        <v>7804.6015625</v>
      </c>
      <c r="AP549">
        <v>7756.8876953125</v>
      </c>
      <c r="AQ549">
        <v>7709.17333984375</v>
      </c>
      <c r="AR549">
        <v>7661.45947265625</v>
      </c>
      <c r="AS549">
        <v>7613.74609375</v>
      </c>
    </row>
    <row r="550" spans="4:45" x14ac:dyDescent="0.25">
      <c r="D550">
        <v>28000</v>
      </c>
      <c r="AD550">
        <v>7837.83203125</v>
      </c>
      <c r="AE550">
        <v>7835.65771484375</v>
      </c>
      <c r="AF550">
        <v>7833.48291015625</v>
      </c>
      <c r="AG550">
        <v>7831.30810546875</v>
      </c>
      <c r="AH550">
        <v>7829.13330078125</v>
      </c>
      <c r="AI550">
        <v>7826.95849609375</v>
      </c>
      <c r="AJ550">
        <v>7815.2587890625</v>
      </c>
      <c r="AK550">
        <v>7803.5595703125</v>
      </c>
      <c r="AL550">
        <v>7791.8603515625</v>
      </c>
      <c r="AM550">
        <v>7780.16015625</v>
      </c>
      <c r="AN550">
        <v>7768.4609375</v>
      </c>
      <c r="AO550">
        <v>7733.6669921875</v>
      </c>
      <c r="AP550">
        <v>7698.87255859375</v>
      </c>
      <c r="AQ550">
        <v>7664.0791015625</v>
      </c>
      <c r="AR550">
        <v>7629.28515625</v>
      </c>
      <c r="AS550">
        <v>7594.4912109375</v>
      </c>
    </row>
    <row r="551" spans="4:45" x14ac:dyDescent="0.25">
      <c r="D551">
        <v>29000</v>
      </c>
      <c r="AE551">
        <v>7715.736328125</v>
      </c>
      <c r="AF551">
        <v>7714.75341796875</v>
      </c>
      <c r="AG551">
        <v>7713.7705078125</v>
      </c>
      <c r="AH551">
        <v>7712.78759765625</v>
      </c>
      <c r="AI551">
        <v>7711.80517578125</v>
      </c>
      <c r="AJ551">
        <v>7706.365234375</v>
      </c>
      <c r="AK551">
        <v>7700.92578125</v>
      </c>
      <c r="AL551">
        <v>7695.48583984375</v>
      </c>
      <c r="AM551">
        <v>7690.04638671875</v>
      </c>
      <c r="AN551">
        <v>7684.6064453125</v>
      </c>
      <c r="AO551">
        <v>7662.73291015625</v>
      </c>
      <c r="AP551">
        <v>7640.8583984375</v>
      </c>
      <c r="AQ551">
        <v>7618.984375</v>
      </c>
      <c r="AR551">
        <v>7597.10986328125</v>
      </c>
      <c r="AS551">
        <v>7575.23583984375</v>
      </c>
    </row>
    <row r="552" spans="4:45" x14ac:dyDescent="0.25">
      <c r="D552">
        <v>30000</v>
      </c>
      <c r="AF552">
        <v>7596.02392578125</v>
      </c>
      <c r="AG552">
        <v>7596.2333984375</v>
      </c>
      <c r="AH552">
        <v>7596.4423828125</v>
      </c>
      <c r="AI552">
        <v>7596.6513671875</v>
      </c>
      <c r="AJ552">
        <v>7597.47119140625</v>
      </c>
      <c r="AK552">
        <v>7598.29150390625</v>
      </c>
      <c r="AL552">
        <v>7599.1123046875</v>
      </c>
      <c r="AM552">
        <v>7599.93212890625</v>
      </c>
      <c r="AN552">
        <v>7600.75244140625</v>
      </c>
      <c r="AO552">
        <v>7591.7978515625</v>
      </c>
      <c r="AP552">
        <v>7582.84375</v>
      </c>
      <c r="AQ552">
        <v>7573.8896484375</v>
      </c>
      <c r="AR552">
        <v>7564.935546875</v>
      </c>
      <c r="AS552">
        <v>7555.98095703125</v>
      </c>
    </row>
    <row r="553" spans="4:45" x14ac:dyDescent="0.25">
      <c r="D553">
        <v>31000</v>
      </c>
      <c r="AF553">
        <v>7470.74560546875</v>
      </c>
      <c r="AG553">
        <v>7474.72607421875</v>
      </c>
      <c r="AH553">
        <v>7478.70751953125</v>
      </c>
      <c r="AI553">
        <v>7482.68798828125</v>
      </c>
      <c r="AJ553">
        <v>7483.31005859375</v>
      </c>
      <c r="AK553">
        <v>7483.9326171875</v>
      </c>
      <c r="AL553">
        <v>7484.55517578125</v>
      </c>
      <c r="AM553">
        <v>7485.177734375</v>
      </c>
      <c r="AN553">
        <v>7485.7998046875</v>
      </c>
      <c r="AO553">
        <v>7478.65771484375</v>
      </c>
      <c r="AP553">
        <v>7471.515625</v>
      </c>
      <c r="AQ553">
        <v>7464.37353515625</v>
      </c>
      <c r="AR553">
        <v>7457.2314453125</v>
      </c>
      <c r="AS553">
        <v>7450.0888671875</v>
      </c>
    </row>
    <row r="554" spans="4:45" x14ac:dyDescent="0.25">
      <c r="D554">
        <v>32000</v>
      </c>
      <c r="AG554">
        <v>7353.2197265625</v>
      </c>
      <c r="AH554">
        <v>7360.9716796875</v>
      </c>
      <c r="AI554">
        <v>7368.724609375</v>
      </c>
      <c r="AJ554">
        <v>7369.1484375</v>
      </c>
      <c r="AK554">
        <v>7369.5732421875</v>
      </c>
      <c r="AL554">
        <v>7369.998046875</v>
      </c>
      <c r="AM554">
        <v>7370.4228515625</v>
      </c>
      <c r="AN554">
        <v>7370.84765625</v>
      </c>
      <c r="AO554">
        <v>7365.517578125</v>
      </c>
      <c r="AP554">
        <v>7360.1875</v>
      </c>
      <c r="AQ554">
        <v>7354.857421875</v>
      </c>
      <c r="AR554">
        <v>7349.5263671875</v>
      </c>
      <c r="AS554">
        <v>7344.1962890625</v>
      </c>
    </row>
    <row r="555" spans="4:45" x14ac:dyDescent="0.25">
      <c r="D555">
        <v>33000</v>
      </c>
      <c r="AH555">
        <v>7243.23681640625</v>
      </c>
      <c r="AI555">
        <v>7254.76025390625</v>
      </c>
      <c r="AJ555">
        <v>7254.9873046875</v>
      </c>
      <c r="AK555">
        <v>7255.21435546875</v>
      </c>
      <c r="AL555">
        <v>7255.44189453125</v>
      </c>
      <c r="AM555">
        <v>7255.66845703125</v>
      </c>
      <c r="AN555">
        <v>7255.8955078125</v>
      </c>
      <c r="AO555">
        <v>7252.37744140625</v>
      </c>
      <c r="AP555">
        <v>7248.859375</v>
      </c>
      <c r="AQ555">
        <v>7245.34033203125</v>
      </c>
      <c r="AR555">
        <v>7241.822265625</v>
      </c>
      <c r="AS555">
        <v>7238.30419921875</v>
      </c>
    </row>
    <row r="556" spans="4:45" x14ac:dyDescent="0.25">
      <c r="D556">
        <v>34000</v>
      </c>
      <c r="AI556">
        <v>7140.796875</v>
      </c>
      <c r="AJ556">
        <v>7140.826171875</v>
      </c>
      <c r="AK556">
        <v>7140.85546875</v>
      </c>
      <c r="AL556">
        <v>7140.884765625</v>
      </c>
      <c r="AM556">
        <v>7140.91357421875</v>
      </c>
      <c r="AN556">
        <v>7140.94287109375</v>
      </c>
      <c r="AO556">
        <v>7139.2373046875</v>
      </c>
      <c r="AP556">
        <v>7137.5302734375</v>
      </c>
      <c r="AQ556">
        <v>7135.82421875</v>
      </c>
      <c r="AR556">
        <v>7134.1181640625</v>
      </c>
      <c r="AS556">
        <v>7132.41162109375</v>
      </c>
    </row>
    <row r="557" spans="4:45" x14ac:dyDescent="0.25">
      <c r="D557">
        <v>35000</v>
      </c>
      <c r="AJ557">
        <v>7026.66455078125</v>
      </c>
      <c r="AK557">
        <v>7026.49658203125</v>
      </c>
      <c r="AL557">
        <v>7026.32763671875</v>
      </c>
      <c r="AM557">
        <v>7026.15966796875</v>
      </c>
      <c r="AN557">
        <v>7025.99072265625</v>
      </c>
      <c r="AO557">
        <v>7026.0966796875</v>
      </c>
      <c r="AP557">
        <v>7026.2021484375</v>
      </c>
      <c r="AQ557">
        <v>7026.30810546875</v>
      </c>
      <c r="AR557">
        <v>7026.41357421875</v>
      </c>
      <c r="AS557">
        <v>7026.51953125</v>
      </c>
    </row>
    <row r="558" spans="4:45" x14ac:dyDescent="0.25">
      <c r="D558">
        <v>36000</v>
      </c>
      <c r="AL558">
        <v>6765.93310546875</v>
      </c>
      <c r="AM558">
        <v>6764.92138671875</v>
      </c>
      <c r="AN558">
        <v>6763.9091796875</v>
      </c>
      <c r="AO558">
        <v>6764.10498046875</v>
      </c>
      <c r="AP558">
        <v>6764.30126953125</v>
      </c>
      <c r="AQ558">
        <v>6764.49755859375</v>
      </c>
      <c r="AR558">
        <v>6764.6943359375</v>
      </c>
      <c r="AS558">
        <v>6764.8896484375</v>
      </c>
    </row>
    <row r="559" spans="4:45" x14ac:dyDescent="0.25">
      <c r="D559">
        <v>37000</v>
      </c>
      <c r="AN559">
        <v>6501.82763671875</v>
      </c>
      <c r="AO559">
        <v>6502.11376953125</v>
      </c>
      <c r="AP559">
        <v>6502.400390625</v>
      </c>
      <c r="AQ559">
        <v>6502.68701171875</v>
      </c>
      <c r="AR559">
        <v>6502.9736328125</v>
      </c>
    </row>
    <row r="560" spans="4:45" x14ac:dyDescent="0.25">
      <c r="D560">
        <v>38000</v>
      </c>
    </row>
    <row r="561" spans="3:55" x14ac:dyDescent="0.25">
      <c r="D561">
        <v>39000</v>
      </c>
    </row>
    <row r="562" spans="3:55" x14ac:dyDescent="0.25">
      <c r="D562">
        <v>40000</v>
      </c>
    </row>
    <row r="563" spans="3:55" x14ac:dyDescent="0.25">
      <c r="D563">
        <v>41000</v>
      </c>
    </row>
    <row r="564" spans="3:55" x14ac:dyDescent="0.25">
      <c r="D564">
        <v>42000</v>
      </c>
    </row>
    <row r="565" spans="3:55" x14ac:dyDescent="0.25">
      <c r="D565">
        <v>43000</v>
      </c>
    </row>
    <row r="566" spans="3:55" x14ac:dyDescent="0.25">
      <c r="D566">
        <v>44000</v>
      </c>
    </row>
    <row r="567" spans="3:55" x14ac:dyDescent="0.25">
      <c r="D567">
        <v>45000</v>
      </c>
    </row>
    <row r="568" spans="3:55" x14ac:dyDescent="0.25">
      <c r="D568">
        <v>46000</v>
      </c>
    </row>
    <row r="569" spans="3:55" x14ac:dyDescent="0.25">
      <c r="D569">
        <v>47000</v>
      </c>
    </row>
    <row r="570" spans="3:55" x14ac:dyDescent="0.25">
      <c r="D570">
        <v>48000</v>
      </c>
    </row>
    <row r="571" spans="3:55" x14ac:dyDescent="0.25">
      <c r="D571">
        <v>49000</v>
      </c>
    </row>
    <row r="572" spans="3:55" x14ac:dyDescent="0.25">
      <c r="D572">
        <v>50000</v>
      </c>
    </row>
    <row r="573" spans="3:55" x14ac:dyDescent="0.25">
      <c r="C573" t="s">
        <v>144</v>
      </c>
      <c r="D573" t="s">
        <v>133</v>
      </c>
      <c r="E573">
        <v>0</v>
      </c>
      <c r="F573">
        <v>0.02</v>
      </c>
      <c r="G573">
        <v>0.04</v>
      </c>
      <c r="H573">
        <v>0.06</v>
      </c>
      <c r="I573">
        <v>0.08</v>
      </c>
      <c r="J573">
        <v>0.1</v>
      </c>
      <c r="K573">
        <v>0.12</v>
      </c>
      <c r="L573">
        <v>0.14000000000000001</v>
      </c>
      <c r="M573">
        <v>0.16</v>
      </c>
      <c r="N573">
        <v>0.18</v>
      </c>
      <c r="O573">
        <v>0.2</v>
      </c>
      <c r="P573">
        <v>0.22</v>
      </c>
      <c r="Q573">
        <v>0.24</v>
      </c>
      <c r="R573">
        <v>0.26</v>
      </c>
      <c r="S573">
        <v>0.28000000000000003</v>
      </c>
      <c r="T573">
        <v>0.3</v>
      </c>
      <c r="U573">
        <v>0.32</v>
      </c>
      <c r="V573">
        <v>0.34</v>
      </c>
      <c r="W573">
        <v>0.36</v>
      </c>
      <c r="X573">
        <v>0.38</v>
      </c>
      <c r="Y573">
        <v>0.4</v>
      </c>
      <c r="Z573">
        <v>0.42</v>
      </c>
      <c r="AA573">
        <v>0.44</v>
      </c>
      <c r="AB573">
        <v>0.46</v>
      </c>
      <c r="AC573">
        <v>0.48</v>
      </c>
      <c r="AD573">
        <v>0.5</v>
      </c>
      <c r="AE573">
        <v>0.52</v>
      </c>
      <c r="AF573">
        <v>0.54</v>
      </c>
      <c r="AG573">
        <v>0.56000000000000005</v>
      </c>
      <c r="AH573">
        <v>0.57999999999999996</v>
      </c>
      <c r="AI573">
        <v>0.6</v>
      </c>
      <c r="AJ573">
        <v>0.62</v>
      </c>
      <c r="AK573">
        <v>0.64</v>
      </c>
      <c r="AL573">
        <v>0.66</v>
      </c>
      <c r="AM573">
        <v>0.68</v>
      </c>
      <c r="AN573">
        <v>0.7</v>
      </c>
      <c r="AO573">
        <v>0.72</v>
      </c>
      <c r="AP573">
        <v>0.74</v>
      </c>
      <c r="AQ573">
        <v>0.76</v>
      </c>
      <c r="AR573">
        <v>0.78</v>
      </c>
      <c r="AS573">
        <v>0.8</v>
      </c>
      <c r="AT573">
        <v>0.82</v>
      </c>
      <c r="AU573">
        <v>0.84</v>
      </c>
      <c r="AV573">
        <v>0.86</v>
      </c>
      <c r="AW573">
        <v>0.88</v>
      </c>
      <c r="AX573">
        <v>0.9</v>
      </c>
      <c r="AY573">
        <v>0.92</v>
      </c>
      <c r="AZ573">
        <v>0.94</v>
      </c>
      <c r="BA573">
        <v>0.96</v>
      </c>
      <c r="BB573">
        <v>0.98</v>
      </c>
      <c r="BC573">
        <v>1</v>
      </c>
    </row>
    <row r="574" spans="3:55" x14ac:dyDescent="0.25">
      <c r="D574">
        <v>0</v>
      </c>
      <c r="R574">
        <v>1.1427534744143486E-2</v>
      </c>
      <c r="S574">
        <v>2.4642849341034889E-2</v>
      </c>
      <c r="T574">
        <v>4.4385470449924469E-2</v>
      </c>
      <c r="U574">
        <v>5.4811526089906693E-2</v>
      </c>
      <c r="V574">
        <v>5.8914933353662491E-2</v>
      </c>
      <c r="W574">
        <v>6.108374148607254E-2</v>
      </c>
      <c r="X574">
        <v>6.1817072331905365E-2</v>
      </c>
      <c r="Y574">
        <v>6.1885438859462738E-2</v>
      </c>
      <c r="Z574">
        <v>6.0098674148321152E-2</v>
      </c>
      <c r="AA574">
        <v>5.8302067220211029E-2</v>
      </c>
      <c r="AB574">
        <v>5.6392896920442581E-2</v>
      </c>
      <c r="AC574">
        <v>5.3309928625822067E-2</v>
      </c>
      <c r="AD574">
        <v>5.0326403230428696E-2</v>
      </c>
      <c r="AE574">
        <v>4.7188051044940948E-2</v>
      </c>
      <c r="AF574">
        <v>4.4429119676351547E-2</v>
      </c>
      <c r="AG574">
        <v>4.0958542376756668E-2</v>
      </c>
      <c r="AH574">
        <v>5.6501876562833786E-2</v>
      </c>
      <c r="AI574">
        <v>5.3504526615142822E-2</v>
      </c>
      <c r="AJ574">
        <v>5.0400000065565109E-2</v>
      </c>
      <c r="AK574">
        <v>4.7107633203268051E-2</v>
      </c>
    </row>
    <row r="575" spans="3:55" x14ac:dyDescent="0.25">
      <c r="D575">
        <v>1000</v>
      </c>
      <c r="S575">
        <v>2.0469238981604576E-2</v>
      </c>
      <c r="T575">
        <v>3.8747016340494156E-2</v>
      </c>
      <c r="U575">
        <v>5.3062178194522858E-2</v>
      </c>
      <c r="V575">
        <v>5.8579090982675552E-2</v>
      </c>
      <c r="W575">
        <v>6.2241885811090469E-2</v>
      </c>
      <c r="X575">
        <v>6.3779823482036591E-2</v>
      </c>
      <c r="Y575">
        <v>6.3997432589530945E-2</v>
      </c>
      <c r="Z575">
        <v>6.2829472124576569E-2</v>
      </c>
      <c r="AA575">
        <v>6.1062321066856384E-2</v>
      </c>
      <c r="AB575">
        <v>5.8518685400485992E-2</v>
      </c>
      <c r="AC575">
        <v>5.5650841444730759E-2</v>
      </c>
      <c r="AD575">
        <v>5.3037259727716446E-2</v>
      </c>
      <c r="AE575">
        <v>4.9614418298006058E-2</v>
      </c>
      <c r="AF575">
        <v>4.7032099217176437E-2</v>
      </c>
      <c r="AG575">
        <v>4.3807975947856903E-2</v>
      </c>
      <c r="AH575">
        <v>5.8688536286354065E-2</v>
      </c>
      <c r="AI575">
        <v>5.5836722254753113E-2</v>
      </c>
      <c r="AJ575">
        <v>5.2799440920352936E-2</v>
      </c>
      <c r="AK575">
        <v>4.9366775900125504E-2</v>
      </c>
      <c r="AL575">
        <v>4.6353302896022797E-2</v>
      </c>
    </row>
    <row r="576" spans="3:55" x14ac:dyDescent="0.25">
      <c r="D576">
        <v>2000</v>
      </c>
      <c r="S576">
        <v>1.7090789973735809E-2</v>
      </c>
      <c r="T576">
        <v>3.2845392823219299E-2</v>
      </c>
      <c r="U576">
        <v>5.3633764386177063E-2</v>
      </c>
      <c r="V576">
        <v>5.9090211987495422E-2</v>
      </c>
      <c r="W576">
        <v>6.199316680431366E-2</v>
      </c>
      <c r="X576">
        <v>6.458793580532074E-2</v>
      </c>
      <c r="Y576">
        <v>6.5732419490814209E-2</v>
      </c>
      <c r="Z576">
        <v>6.5088152885437012E-2</v>
      </c>
      <c r="AA576">
        <v>6.3110232353210449E-2</v>
      </c>
      <c r="AB576">
        <v>6.0291994363069534E-2</v>
      </c>
      <c r="AC576">
        <v>5.8643162250518799E-2</v>
      </c>
      <c r="AD576">
        <v>5.5465411394834518E-2</v>
      </c>
      <c r="AE576">
        <v>5.2711069583892822E-2</v>
      </c>
      <c r="AF576">
        <v>4.9506645649671555E-2</v>
      </c>
      <c r="AG576">
        <v>4.6616487205028534E-2</v>
      </c>
      <c r="AH576">
        <v>4.3030165135860443E-2</v>
      </c>
      <c r="AI576">
        <v>5.8167573064565659E-2</v>
      </c>
      <c r="AJ576">
        <v>5.5228628218173981E-2</v>
      </c>
      <c r="AK576">
        <v>5.2130501717329025E-2</v>
      </c>
      <c r="AL576">
        <v>4.8637345433235168E-2</v>
      </c>
    </row>
    <row r="577" spans="4:45" x14ac:dyDescent="0.25">
      <c r="D577">
        <v>3000</v>
      </c>
      <c r="S577">
        <v>1.4370947144925594E-2</v>
      </c>
      <c r="T577">
        <v>2.7453823015093803E-2</v>
      </c>
      <c r="U577">
        <v>5.0730224698781967E-2</v>
      </c>
      <c r="V577">
        <v>5.8820553123950958E-2</v>
      </c>
      <c r="W577">
        <v>6.3229665160179138E-2</v>
      </c>
      <c r="X577">
        <v>6.5349079668521881E-2</v>
      </c>
      <c r="Y577">
        <v>6.5724752843379974E-2</v>
      </c>
      <c r="Z577">
        <v>6.6265560686588287E-2</v>
      </c>
      <c r="AA577">
        <v>6.5049685537815094E-2</v>
      </c>
      <c r="AB577">
        <v>6.3520155847072601E-2</v>
      </c>
      <c r="AC577">
        <v>6.1100002378225327E-2</v>
      </c>
      <c r="AD577">
        <v>5.7787995785474777E-2</v>
      </c>
      <c r="AE577">
        <v>5.5596549063920975E-2</v>
      </c>
      <c r="AF577">
        <v>5.1985792815685272E-2</v>
      </c>
      <c r="AG577">
        <v>4.9336329102516174E-2</v>
      </c>
      <c r="AH577">
        <v>4.6004660427570343E-2</v>
      </c>
      <c r="AI577">
        <v>6.0478061437606812E-2</v>
      </c>
      <c r="AJ577">
        <v>5.7671956717967987E-2</v>
      </c>
      <c r="AK577">
        <v>5.4647002369165421E-2</v>
      </c>
      <c r="AL577">
        <v>5.1510661840438843E-2</v>
      </c>
      <c r="AM577">
        <v>4.7983862459659576E-2</v>
      </c>
    </row>
    <row r="578" spans="4:45" x14ac:dyDescent="0.25">
      <c r="D578">
        <v>4000</v>
      </c>
      <c r="S578">
        <v>1.2178567238152027E-2</v>
      </c>
      <c r="T578">
        <v>2.4532120674848557E-2</v>
      </c>
      <c r="U578">
        <v>4.5183219015598297E-2</v>
      </c>
      <c r="V578">
        <v>5.8099422603845596E-2</v>
      </c>
      <c r="W578">
        <v>6.25271275639534E-2</v>
      </c>
      <c r="X578">
        <v>6.6470727324485779E-2</v>
      </c>
      <c r="Y578">
        <v>6.8311907351016998E-2</v>
      </c>
      <c r="Z578">
        <v>6.9060578942298889E-2</v>
      </c>
      <c r="AA578">
        <v>6.801382452249527E-2</v>
      </c>
      <c r="AB578">
        <v>6.6037222743034363E-2</v>
      </c>
      <c r="AC578">
        <v>6.2901094555854797E-2</v>
      </c>
      <c r="AD578">
        <v>6.1099376529455185E-2</v>
      </c>
      <c r="AE578">
        <v>5.8185696601867676E-2</v>
      </c>
      <c r="AF578">
        <v>5.5246178060770035E-2</v>
      </c>
      <c r="AG578">
        <v>5.1916126161813736E-2</v>
      </c>
      <c r="AH578">
        <v>4.8929616808891296E-2</v>
      </c>
      <c r="AI578">
        <v>4.5264974236488342E-2</v>
      </c>
      <c r="AJ578">
        <v>6.0111179947853088E-2</v>
      </c>
      <c r="AK578">
        <v>5.7191856205463409E-2</v>
      </c>
      <c r="AL578">
        <v>5.410713329911232E-2</v>
      </c>
      <c r="AM578">
        <v>5.0396870821714401E-2</v>
      </c>
    </row>
    <row r="579" spans="4:45" x14ac:dyDescent="0.25">
      <c r="D579">
        <v>5000</v>
      </c>
      <c r="T579">
        <v>2.0279016345739365E-2</v>
      </c>
      <c r="U579">
        <v>3.8639310747385025E-2</v>
      </c>
      <c r="V579">
        <v>5.7898577302694321E-2</v>
      </c>
      <c r="W579">
        <v>6.3444949686527252E-2</v>
      </c>
      <c r="X579">
        <v>6.6457025706768036E-2</v>
      </c>
      <c r="Y579">
        <v>6.8688668310642242E-2</v>
      </c>
      <c r="Z579">
        <v>7.0245072245597839E-2</v>
      </c>
      <c r="AA579">
        <v>6.9884970784187317E-2</v>
      </c>
      <c r="AB579">
        <v>6.7706391215324402E-2</v>
      </c>
      <c r="AC579">
        <v>6.6128857433795929E-2</v>
      </c>
      <c r="AD579">
        <v>6.3902728259563446E-2</v>
      </c>
      <c r="AE579">
        <v>6.0523614287376404E-2</v>
      </c>
      <c r="AF579">
        <v>5.8291353285312653E-2</v>
      </c>
      <c r="AG579">
        <v>5.4558917880058289E-2</v>
      </c>
      <c r="AH579">
        <v>5.177268385887146E-2</v>
      </c>
      <c r="AI579">
        <v>4.8364348709583282E-2</v>
      </c>
      <c r="AJ579">
        <v>6.2531575560569763E-2</v>
      </c>
      <c r="AK579">
        <v>5.9759434312582016E-2</v>
      </c>
      <c r="AL579">
        <v>5.6761868298053741E-2</v>
      </c>
      <c r="AM579">
        <v>5.3642027080059052E-2</v>
      </c>
      <c r="AN579">
        <v>5.0570327788591385E-2</v>
      </c>
    </row>
    <row r="580" spans="4:45" x14ac:dyDescent="0.25">
      <c r="D580">
        <v>6000</v>
      </c>
      <c r="T580">
        <v>1.6843535006046295E-2</v>
      </c>
      <c r="U580">
        <v>3.2194707542657852E-2</v>
      </c>
      <c r="V580">
        <v>5.5512405931949615E-2</v>
      </c>
      <c r="W580">
        <v>6.2709592282772064E-2</v>
      </c>
      <c r="X580">
        <v>6.7210279405117035E-2</v>
      </c>
      <c r="Y580">
        <v>6.9853402674198151E-2</v>
      </c>
      <c r="Z580">
        <v>7.0981912314891815E-2</v>
      </c>
      <c r="AA580">
        <v>7.1634247899055481E-2</v>
      </c>
      <c r="AB580">
        <v>7.0590049028396606E-2</v>
      </c>
      <c r="AC580">
        <v>6.8727448582649231E-2</v>
      </c>
      <c r="AD580">
        <v>6.577707827091217E-2</v>
      </c>
      <c r="AE580">
        <v>6.378839910030365E-2</v>
      </c>
      <c r="AF580">
        <v>6.0759976506233215E-2</v>
      </c>
      <c r="AG580">
        <v>5.773843452334404E-2</v>
      </c>
      <c r="AH580">
        <v>5.4240193217992783E-2</v>
      </c>
      <c r="AI580">
        <v>5.1230836659669876E-2</v>
      </c>
      <c r="AJ580">
        <v>4.7823619097471237E-2</v>
      </c>
      <c r="AK580">
        <v>6.2118746340274811E-2</v>
      </c>
      <c r="AL580">
        <v>5.9245511889457703E-2</v>
      </c>
      <c r="AM580">
        <v>5.6195467710494995E-2</v>
      </c>
      <c r="AN580">
        <v>5.306369811296463E-2</v>
      </c>
    </row>
    <row r="581" spans="4:45" x14ac:dyDescent="0.25">
      <c r="D581">
        <v>7000</v>
      </c>
      <c r="U581">
        <v>2.8041485697031021E-2</v>
      </c>
      <c r="V581">
        <v>4.9769993871450424E-2</v>
      </c>
      <c r="W581">
        <v>6.1912562698125839E-2</v>
      </c>
      <c r="X581">
        <v>6.6531099379062653E-2</v>
      </c>
      <c r="Y581">
        <v>7.0013552904129028E-2</v>
      </c>
      <c r="Z581">
        <v>7.2513677179813385E-2</v>
      </c>
      <c r="AA581">
        <v>7.3523074388504028E-2</v>
      </c>
      <c r="AB581">
        <v>7.2695575654506683E-2</v>
      </c>
      <c r="AC581">
        <v>7.0418789982795715E-2</v>
      </c>
      <c r="AD581">
        <v>6.8380855023860931E-2</v>
      </c>
      <c r="AE581">
        <v>6.6499389708042145E-2</v>
      </c>
      <c r="AF581">
        <v>6.2984123826026917E-2</v>
      </c>
      <c r="AG581">
        <v>6.0650337487459183E-2</v>
      </c>
      <c r="AH581">
        <v>5.6904874742031097E-2</v>
      </c>
      <c r="AI581">
        <v>5.3961426019668579E-2</v>
      </c>
      <c r="AJ581">
        <v>5.0852421671152115E-2</v>
      </c>
      <c r="AK581">
        <v>6.4438439905643463E-2</v>
      </c>
      <c r="AL581">
        <v>6.1726775020360947E-2</v>
      </c>
      <c r="AM581">
        <v>5.8778785169124603E-2</v>
      </c>
      <c r="AN581">
        <v>5.5704891681671143E-2</v>
      </c>
      <c r="AO581">
        <v>5.1873631775379181E-2</v>
      </c>
    </row>
    <row r="582" spans="4:45" x14ac:dyDescent="0.25">
      <c r="D582">
        <v>8000</v>
      </c>
      <c r="U582">
        <v>2.2997617721557617E-2</v>
      </c>
      <c r="V582">
        <v>4.2556155472993851E-2</v>
      </c>
      <c r="W582">
        <v>6.1281148344278336E-2</v>
      </c>
      <c r="X582">
        <v>6.6712841391563416E-2</v>
      </c>
      <c r="Y582">
        <v>7.0493042469024658E-2</v>
      </c>
      <c r="Z582">
        <v>7.2020538151264191E-2</v>
      </c>
      <c r="AA582">
        <v>7.3331438004970551E-2</v>
      </c>
      <c r="AB582">
        <v>7.3817417025566101E-2</v>
      </c>
      <c r="AC582">
        <v>7.2980247437953949E-2</v>
      </c>
      <c r="AD582">
        <v>7.1291066706180573E-2</v>
      </c>
      <c r="AE582">
        <v>6.8517506122589111E-2</v>
      </c>
      <c r="AF582">
        <v>6.6408112645149231E-2</v>
      </c>
      <c r="AG582">
        <v>6.3199743628501892E-2</v>
      </c>
      <c r="AH582">
        <v>6.0190413147211075E-2</v>
      </c>
      <c r="AI582">
        <v>5.6497965008020401E-2</v>
      </c>
      <c r="AJ582">
        <v>5.3780537098646164E-2</v>
      </c>
      <c r="AK582">
        <v>5.0346996635198593E-2</v>
      </c>
      <c r="AL582">
        <v>6.418406218290329E-2</v>
      </c>
      <c r="AM582">
        <v>6.1373945325613022E-2</v>
      </c>
      <c r="AN582">
        <v>5.8389026671648026E-2</v>
      </c>
      <c r="AO582">
        <v>5.4934490472078323E-2</v>
      </c>
    </row>
    <row r="583" spans="4:45" x14ac:dyDescent="0.25">
      <c r="D583">
        <v>9000</v>
      </c>
      <c r="V583">
        <v>3.5426951944828033E-2</v>
      </c>
      <c r="W583">
        <v>5.8770298957824707E-2</v>
      </c>
      <c r="X583">
        <v>6.6378548741340637E-2</v>
      </c>
      <c r="Y583">
        <v>7.0249944925308228E-2</v>
      </c>
      <c r="Z583">
        <v>7.3942303657531738E-2</v>
      </c>
      <c r="AA583">
        <v>7.5692564249038696E-2</v>
      </c>
      <c r="AB583">
        <v>7.6535977423191071E-2</v>
      </c>
      <c r="AC583">
        <v>7.552780956029892E-2</v>
      </c>
      <c r="AD583">
        <v>7.3248237371444702E-2</v>
      </c>
      <c r="AE583">
        <v>7.1134187281131744E-2</v>
      </c>
      <c r="AF583">
        <v>6.9237150251865387E-2</v>
      </c>
      <c r="AG583">
        <v>6.571892648935318E-2</v>
      </c>
      <c r="AH583">
        <v>6.3176415860652924E-2</v>
      </c>
      <c r="AI583">
        <v>5.9529367834329605E-2</v>
      </c>
      <c r="AJ583">
        <v>5.6548349559307098E-2</v>
      </c>
      <c r="AK583">
        <v>5.3441893309354782E-2</v>
      </c>
      <c r="AL583">
        <v>6.6833555698394775E-2</v>
      </c>
      <c r="AM583">
        <v>6.3959911465644836E-2</v>
      </c>
      <c r="AN583">
        <v>6.1098784208297729E-2</v>
      </c>
      <c r="AO583">
        <v>5.7678036391735077E-2</v>
      </c>
      <c r="AP583">
        <v>5.4239846765995026E-2</v>
      </c>
    </row>
    <row r="584" spans="4:45" x14ac:dyDescent="0.25">
      <c r="D584">
        <v>10000</v>
      </c>
      <c r="V584">
        <v>3.0245374888181686E-2</v>
      </c>
      <c r="W584">
        <v>5.2552703768014908E-2</v>
      </c>
      <c r="X584">
        <v>6.4705982804298401E-2</v>
      </c>
      <c r="Y584">
        <v>7.0547737181186676E-2</v>
      </c>
      <c r="Z584">
        <v>7.2733946144580841E-2</v>
      </c>
      <c r="AA584">
        <v>7.5843483209609985E-2</v>
      </c>
      <c r="AB584">
        <v>7.7084079384803772E-2</v>
      </c>
      <c r="AC584">
        <v>7.6736964285373688E-2</v>
      </c>
      <c r="AD584">
        <v>7.5705379247665405E-2</v>
      </c>
      <c r="AE584">
        <v>7.4244074523448944E-2</v>
      </c>
      <c r="AF584">
        <v>7.1344390511512756E-2</v>
      </c>
      <c r="AG584">
        <v>6.9281645119190216E-2</v>
      </c>
      <c r="AH584">
        <v>6.580711156129837E-2</v>
      </c>
      <c r="AI584">
        <v>6.2937036156654358E-2</v>
      </c>
      <c r="AJ584">
        <v>5.9099249541759491E-2</v>
      </c>
      <c r="AK584">
        <v>5.6420419365167618E-2</v>
      </c>
      <c r="AL584">
        <v>5.299391970038414E-2</v>
      </c>
      <c r="AM584">
        <v>6.6537953913211823E-2</v>
      </c>
      <c r="AN584">
        <v>6.3813604414463043E-2</v>
      </c>
      <c r="AO584">
        <v>6.044764444231987E-2</v>
      </c>
      <c r="AP584">
        <v>5.7016406208276749E-2</v>
      </c>
    </row>
    <row r="585" spans="4:45" x14ac:dyDescent="0.25">
      <c r="D585">
        <v>11000</v>
      </c>
      <c r="V585">
        <v>2.4638893082737923E-2</v>
      </c>
      <c r="W585">
        <v>4.4585064053535461E-2</v>
      </c>
      <c r="X585">
        <v>6.4313128590583801E-2</v>
      </c>
      <c r="Y585">
        <v>6.9199956953525543E-2</v>
      </c>
      <c r="Z585">
        <v>7.4261322617530823E-2</v>
      </c>
      <c r="AA585">
        <v>7.6899446547031403E-2</v>
      </c>
      <c r="AB585">
        <v>7.8389547765254974E-2</v>
      </c>
      <c r="AC585">
        <v>7.9299680888652802E-2</v>
      </c>
      <c r="AD585">
        <v>7.8279733657836914E-2</v>
      </c>
      <c r="AE585">
        <v>7.6057665050029755E-2</v>
      </c>
      <c r="AF585">
        <v>7.3935166001319885E-2</v>
      </c>
      <c r="AG585">
        <v>7.1944341063499451E-2</v>
      </c>
      <c r="AH585">
        <v>6.8600282073020935E-2</v>
      </c>
      <c r="AI585">
        <v>6.589285284280777E-2</v>
      </c>
      <c r="AJ585">
        <v>6.2463324517011642E-2</v>
      </c>
      <c r="AK585">
        <v>5.9120651334524155E-2</v>
      </c>
      <c r="AL585">
        <v>5.609608069062233E-2</v>
      </c>
      <c r="AM585">
        <v>6.9339103996753693E-2</v>
      </c>
      <c r="AN585">
        <v>6.6249266266822815E-2</v>
      </c>
      <c r="AO585">
        <v>6.3002966344356537E-2</v>
      </c>
      <c r="AP585">
        <v>5.9635493904352188E-2</v>
      </c>
    </row>
    <row r="586" spans="4:45" x14ac:dyDescent="0.25">
      <c r="D586">
        <v>12000</v>
      </c>
      <c r="W586">
        <v>3.6815781146287918E-2</v>
      </c>
      <c r="X586">
        <v>6.0409843921661377E-2</v>
      </c>
      <c r="Y586">
        <v>6.9331265985965729E-2</v>
      </c>
      <c r="Z586">
        <v>7.2632350027561188E-2</v>
      </c>
      <c r="AA586">
        <v>7.6656460762023926E-2</v>
      </c>
      <c r="AB586">
        <v>7.9078704118728638E-2</v>
      </c>
      <c r="AC586">
        <v>8.0022141337394714E-2</v>
      </c>
      <c r="AD586">
        <v>7.939215749502182E-2</v>
      </c>
      <c r="AE586">
        <v>7.827296108007431E-2</v>
      </c>
      <c r="AF586">
        <v>7.687840610742569E-2</v>
      </c>
      <c r="AG586">
        <v>7.3797471821308136E-2</v>
      </c>
      <c r="AH586">
        <v>7.1983486413955688E-2</v>
      </c>
      <c r="AI586">
        <v>6.8442843854427338E-2</v>
      </c>
      <c r="AJ586">
        <v>6.5779551863670349E-2</v>
      </c>
      <c r="AK586">
        <v>6.188584491610527E-2</v>
      </c>
      <c r="AL586">
        <v>5.903417244553566E-2</v>
      </c>
      <c r="AM586">
        <v>5.5726107209920883E-2</v>
      </c>
      <c r="AN586">
        <v>6.8853460252285004E-2</v>
      </c>
      <c r="AO586">
        <v>6.5538816154003143E-2</v>
      </c>
      <c r="AP586">
        <v>6.22699074447155E-2</v>
      </c>
      <c r="AQ586">
        <v>5.7847600430250168E-2</v>
      </c>
    </row>
    <row r="587" spans="4:45" x14ac:dyDescent="0.25">
      <c r="D587">
        <v>13000</v>
      </c>
      <c r="W587">
        <v>3.0786195769906044E-2</v>
      </c>
      <c r="X587">
        <v>5.2982542663812637E-2</v>
      </c>
      <c r="Y587">
        <v>6.6940627992153168E-2</v>
      </c>
      <c r="Z587">
        <v>7.3409475386142731E-2</v>
      </c>
      <c r="AA587">
        <v>7.7184334397315979E-2</v>
      </c>
      <c r="AB587">
        <v>7.9359456896781921E-2</v>
      </c>
      <c r="AC587">
        <v>8.087342232465744E-2</v>
      </c>
      <c r="AD587">
        <v>8.1954449415206909E-2</v>
      </c>
      <c r="AE587">
        <v>8.1010878086090088E-2</v>
      </c>
      <c r="AF587">
        <v>7.8727595508098602E-2</v>
      </c>
      <c r="AG587">
        <v>7.6837554574012756E-2</v>
      </c>
      <c r="AH587">
        <v>7.4634693562984467E-2</v>
      </c>
      <c r="AI587">
        <v>7.164696604013443E-2</v>
      </c>
      <c r="AJ587">
        <v>6.8739511072635651E-2</v>
      </c>
      <c r="AK587">
        <v>6.5514042973518372E-2</v>
      </c>
      <c r="AL587">
        <v>6.1740349978208542E-2</v>
      </c>
      <c r="AM587">
        <v>5.8877870440483093E-2</v>
      </c>
      <c r="AN587">
        <v>7.1852341294288635E-2</v>
      </c>
      <c r="AO587">
        <v>6.8029753863811493E-2</v>
      </c>
      <c r="AP587">
        <v>6.48980513215065E-2</v>
      </c>
      <c r="AQ587">
        <v>6.0519743710756302E-2</v>
      </c>
    </row>
    <row r="588" spans="4:45" x14ac:dyDescent="0.25">
      <c r="D588">
        <v>14000</v>
      </c>
      <c r="X588">
        <v>4.4416319578886032E-2</v>
      </c>
      <c r="Y588">
        <v>6.6130585968494415E-2</v>
      </c>
      <c r="Z588">
        <v>7.2377711534500122E-2</v>
      </c>
      <c r="AA588">
        <v>7.6166927814483643E-2</v>
      </c>
      <c r="AB588">
        <v>8.0048911273479462E-2</v>
      </c>
      <c r="AC588">
        <v>8.2109503448009491E-2</v>
      </c>
      <c r="AD588">
        <v>8.2932673394680023E-2</v>
      </c>
      <c r="AE588">
        <v>8.2191921770572662E-2</v>
      </c>
      <c r="AF588">
        <v>8.122561126947403E-2</v>
      </c>
      <c r="AG588">
        <v>7.9784005880355835E-2</v>
      </c>
      <c r="AH588">
        <v>7.6400667428970337E-2</v>
      </c>
      <c r="AI588">
        <v>7.5021058320999146E-2</v>
      </c>
      <c r="AJ588">
        <v>7.1240000426769257E-2</v>
      </c>
      <c r="AK588">
        <v>6.8837724626064301E-2</v>
      </c>
      <c r="AL588">
        <v>6.5157711505889893E-2</v>
      </c>
      <c r="AM588">
        <v>6.1824969947338104E-2</v>
      </c>
      <c r="AN588">
        <v>5.8705072849988937E-2</v>
      </c>
      <c r="AO588">
        <v>7.10936039686203E-2</v>
      </c>
      <c r="AP588">
        <v>6.7495040595531464E-2</v>
      </c>
      <c r="AQ588">
        <v>6.3200764358043671E-2</v>
      </c>
      <c r="AR588">
        <v>5.7952743023633957E-2</v>
      </c>
    </row>
    <row r="589" spans="4:45" x14ac:dyDescent="0.25">
      <c r="D589">
        <v>15000</v>
      </c>
      <c r="X589">
        <v>3.6393683403730392E-2</v>
      </c>
      <c r="Y589">
        <v>6.0270126909017563E-2</v>
      </c>
      <c r="Z589">
        <v>7.067243754863739E-2</v>
      </c>
      <c r="AA589">
        <v>7.6735034584999084E-2</v>
      </c>
      <c r="AB589">
        <v>7.9879827797412872E-2</v>
      </c>
      <c r="AC589">
        <v>8.2006432116031647E-2</v>
      </c>
      <c r="AD589">
        <v>8.3698935806751251E-2</v>
      </c>
      <c r="AE589">
        <v>8.4957726299762726E-2</v>
      </c>
      <c r="AF589">
        <v>8.3983488380908966E-2</v>
      </c>
      <c r="AG589">
        <v>8.1557519733905792E-2</v>
      </c>
      <c r="AH589">
        <v>8.013046532869339E-2</v>
      </c>
      <c r="AI589">
        <v>7.7570438385009766E-2</v>
      </c>
      <c r="AJ589">
        <v>7.5024798512458801E-2</v>
      </c>
      <c r="AK589">
        <v>7.1756407618522644E-2</v>
      </c>
      <c r="AL589">
        <v>6.8820461630821228E-2</v>
      </c>
      <c r="AM589">
        <v>6.4782731235027313E-2</v>
      </c>
      <c r="AN589">
        <v>6.1877761036157608E-2</v>
      </c>
      <c r="AO589">
        <v>7.4087433516979218E-2</v>
      </c>
      <c r="AP589">
        <v>7.0435434579849243E-2</v>
      </c>
      <c r="AQ589">
        <v>6.5867163240909576E-2</v>
      </c>
      <c r="AR589">
        <v>6.0683451592922211E-2</v>
      </c>
    </row>
    <row r="590" spans="4:45" x14ac:dyDescent="0.25">
      <c r="D590">
        <v>16000</v>
      </c>
      <c r="X590">
        <v>2.978438138961792E-2</v>
      </c>
      <c r="Y590">
        <v>5.1530562341213226E-2</v>
      </c>
      <c r="Z590">
        <v>6.9951511919498444E-2</v>
      </c>
      <c r="AA590">
        <v>7.4429310858249664E-2</v>
      </c>
      <c r="AB590">
        <v>7.9567231237888336E-2</v>
      </c>
      <c r="AC590">
        <v>8.29763263463974E-2</v>
      </c>
      <c r="AD590">
        <v>8.4875702857971191E-2</v>
      </c>
      <c r="AE590">
        <v>8.5603363811969757E-2</v>
      </c>
      <c r="AF590">
        <v>8.4750078618526459E-2</v>
      </c>
      <c r="AG590">
        <v>8.4261491894721985E-2</v>
      </c>
      <c r="AH590">
        <v>8.2639306783676147E-2</v>
      </c>
      <c r="AI590">
        <v>7.9633042216300964E-2</v>
      </c>
      <c r="AJ590">
        <v>7.7959857881069183E-2</v>
      </c>
      <c r="AK590">
        <v>7.4494868516921997E-2</v>
      </c>
      <c r="AL590">
        <v>7.1844696998596191E-2</v>
      </c>
      <c r="AM590">
        <v>6.8487785756587982E-2</v>
      </c>
      <c r="AN590">
        <v>6.4605467021465302E-2</v>
      </c>
      <c r="AO590">
        <v>6.1591867357492447E-2</v>
      </c>
      <c r="AP590">
        <v>7.3312126100063324E-2</v>
      </c>
      <c r="AQ590">
        <v>6.8466857075691223E-2</v>
      </c>
      <c r="AR590">
        <v>6.3196450471878052E-2</v>
      </c>
    </row>
    <row r="591" spans="4:45" x14ac:dyDescent="0.25">
      <c r="D591">
        <v>17000</v>
      </c>
      <c r="Y591">
        <v>4.249422624707222E-2</v>
      </c>
      <c r="Z591">
        <v>6.5599091351032257E-2</v>
      </c>
      <c r="AA591">
        <v>7.436341792345047E-2</v>
      </c>
      <c r="AB591">
        <v>7.9236194491386414E-2</v>
      </c>
      <c r="AC591">
        <v>8.2180209457874298E-2</v>
      </c>
      <c r="AD591">
        <v>8.4441818296909332E-2</v>
      </c>
      <c r="AE591">
        <v>8.6363017559051514E-2</v>
      </c>
      <c r="AF591">
        <v>8.7602764368057251E-2</v>
      </c>
      <c r="AG591">
        <v>8.6525924503803253E-2</v>
      </c>
      <c r="AH591">
        <v>8.3667121827602386E-2</v>
      </c>
      <c r="AI591">
        <v>8.3049483597278595E-2</v>
      </c>
      <c r="AJ591">
        <v>7.996697723865509E-2</v>
      </c>
      <c r="AK591">
        <v>7.8044317662715912E-2</v>
      </c>
      <c r="AL591">
        <v>7.4378736317157745E-2</v>
      </c>
      <c r="AM591">
        <v>7.1859866380691528E-2</v>
      </c>
      <c r="AN591">
        <v>6.8181455135345459E-2</v>
      </c>
      <c r="AO591">
        <v>6.4524471759796143E-2</v>
      </c>
      <c r="AP591">
        <v>7.5951032340526581E-2</v>
      </c>
      <c r="AQ591">
        <v>7.1434631943702698E-2</v>
      </c>
      <c r="AR591">
        <v>6.5703049302101135E-2</v>
      </c>
    </row>
    <row r="592" spans="4:45" x14ac:dyDescent="0.25">
      <c r="D592">
        <v>18000</v>
      </c>
      <c r="Y592">
        <v>3.4527305513620377E-2</v>
      </c>
      <c r="Z592">
        <v>5.7192672044038773E-2</v>
      </c>
      <c r="AA592">
        <v>7.2633937001228333E-2</v>
      </c>
      <c r="AB592">
        <v>7.7491618692874908E-2</v>
      </c>
      <c r="AC592">
        <v>8.2342609763145447E-2</v>
      </c>
      <c r="AD592">
        <v>8.5538774728775024E-2</v>
      </c>
      <c r="AE592">
        <v>8.7396100163459778E-2</v>
      </c>
      <c r="AF592">
        <v>8.7913297116756439E-2</v>
      </c>
      <c r="AG592">
        <v>8.7721623480319977E-2</v>
      </c>
      <c r="AH592">
        <v>8.7281577289104462E-2</v>
      </c>
      <c r="AI592">
        <v>8.5152111947536469E-2</v>
      </c>
      <c r="AJ592">
        <v>8.3038628101348877E-2</v>
      </c>
      <c r="AK592">
        <v>8.0730162560939789E-2</v>
      </c>
      <c r="AL592">
        <v>7.7938288450241089E-2</v>
      </c>
      <c r="AM592">
        <v>7.4777737259864807E-2</v>
      </c>
      <c r="AN592">
        <v>7.1830824017524719E-2</v>
      </c>
      <c r="AO592">
        <v>6.7604832351207733E-2</v>
      </c>
      <c r="AP592">
        <v>7.8276596963405609E-2</v>
      </c>
      <c r="AQ592">
        <v>7.4167259037494659E-2</v>
      </c>
      <c r="AR592">
        <v>6.8634912371635437E-2</v>
      </c>
      <c r="AS592">
        <v>6.0830935835838318E-2</v>
      </c>
    </row>
    <row r="593" spans="4:45" x14ac:dyDescent="0.25">
      <c r="D593">
        <v>19000</v>
      </c>
      <c r="Z593">
        <v>4.7553554177284241E-2</v>
      </c>
      <c r="AA593">
        <v>6.9689467549324036E-2</v>
      </c>
      <c r="AB593">
        <v>7.736080139875412E-2</v>
      </c>
      <c r="AC593">
        <v>8.1764742732048035E-2</v>
      </c>
      <c r="AD593">
        <v>8.4816262125968933E-2</v>
      </c>
      <c r="AE593">
        <v>8.7391816079616547E-2</v>
      </c>
      <c r="AF593">
        <v>8.9326485991477966E-2</v>
      </c>
      <c r="AG593">
        <v>9.0394839644432068E-2</v>
      </c>
      <c r="AH593">
        <v>8.9170381426811218E-2</v>
      </c>
      <c r="AI593">
        <v>8.7314076721668243E-2</v>
      </c>
      <c r="AJ593">
        <v>8.6112208664417267E-2</v>
      </c>
      <c r="AK593">
        <v>8.2706630229949951E-2</v>
      </c>
      <c r="AL593">
        <v>8.1235632300376892E-2</v>
      </c>
      <c r="AM593">
        <v>7.7737890183925629E-2</v>
      </c>
      <c r="AN593">
        <v>7.5011476874351501E-2</v>
      </c>
      <c r="AO593">
        <v>7.1499161422252655E-2</v>
      </c>
      <c r="AP593">
        <v>6.7062288522720337E-2</v>
      </c>
      <c r="AQ593">
        <v>7.6583638787269592E-2</v>
      </c>
      <c r="AR593">
        <v>7.1372248232364655E-2</v>
      </c>
      <c r="AS593">
        <v>6.3668511807918549E-2</v>
      </c>
    </row>
    <row r="594" spans="4:45" x14ac:dyDescent="0.25">
      <c r="D594">
        <v>20000</v>
      </c>
      <c r="Z594">
        <v>3.834354504942894E-2</v>
      </c>
      <c r="AA594">
        <v>6.1659298837184906E-2</v>
      </c>
      <c r="AB594">
        <v>7.5066849589347839E-2</v>
      </c>
      <c r="AC594">
        <v>8.0314382910728455E-2</v>
      </c>
      <c r="AD594">
        <v>8.4912575781345367E-2</v>
      </c>
      <c r="AE594">
        <v>8.8146649301052094E-2</v>
      </c>
      <c r="AF594">
        <v>8.9830935001373291E-2</v>
      </c>
      <c r="AG594">
        <v>9.0058222413063049E-2</v>
      </c>
      <c r="AH594">
        <v>9.130580723285675E-2</v>
      </c>
      <c r="AI594">
        <v>9.0524770319461823E-2</v>
      </c>
      <c r="AJ594">
        <v>8.7732136249542236E-2</v>
      </c>
      <c r="AK594">
        <v>8.6666882038116455E-2</v>
      </c>
      <c r="AL594">
        <v>8.3576962351799011E-2</v>
      </c>
      <c r="AM594">
        <v>8.1634193658828735E-2</v>
      </c>
      <c r="AN594">
        <v>7.7592141926288605E-2</v>
      </c>
      <c r="AO594">
        <v>7.4982106685638428E-2</v>
      </c>
      <c r="AP594">
        <v>7.1191057562828064E-2</v>
      </c>
      <c r="AQ594">
        <v>7.8592255711555481E-2</v>
      </c>
      <c r="AR594">
        <v>7.3767751455307007E-2</v>
      </c>
      <c r="AS594">
        <v>6.6324509680271149E-2</v>
      </c>
    </row>
    <row r="595" spans="4:45" x14ac:dyDescent="0.25">
      <c r="D595">
        <v>21000</v>
      </c>
      <c r="AA595">
        <v>5.1473639905452728E-2</v>
      </c>
      <c r="AB595">
        <v>7.2741560637950897E-2</v>
      </c>
      <c r="AC595">
        <v>7.9848594963550568E-2</v>
      </c>
      <c r="AD595">
        <v>8.4262162446975708E-2</v>
      </c>
      <c r="AE595">
        <v>8.7604232132434845E-2</v>
      </c>
      <c r="AF595">
        <v>9.037085622549057E-2</v>
      </c>
      <c r="AG595">
        <v>9.2168964445590973E-2</v>
      </c>
      <c r="AH595">
        <v>9.2867657542228699E-2</v>
      </c>
      <c r="AI595">
        <v>9.1507919132709503E-2</v>
      </c>
      <c r="AJ595">
        <v>9.0944588184356689E-2</v>
      </c>
      <c r="AK595">
        <v>8.8887333869934082E-2</v>
      </c>
      <c r="AL595">
        <v>8.6606636643409729E-2</v>
      </c>
      <c r="AM595">
        <v>8.4208860993385315E-2</v>
      </c>
      <c r="AN595">
        <v>8.1589557230472565E-2</v>
      </c>
      <c r="AO595">
        <v>7.7567525207996368E-2</v>
      </c>
      <c r="AP595">
        <v>7.4608162045478821E-2</v>
      </c>
      <c r="AQ595">
        <v>8.1140585243701935E-2</v>
      </c>
      <c r="AR595">
        <v>7.5447782874107361E-2</v>
      </c>
      <c r="AS595">
        <v>6.8328015506267548E-2</v>
      </c>
    </row>
    <row r="596" spans="4:45" x14ac:dyDescent="0.25">
      <c r="D596">
        <v>22000</v>
      </c>
      <c r="AA596">
        <v>4.0973357856273651E-2</v>
      </c>
      <c r="AB596">
        <v>6.4664393663406372E-2</v>
      </c>
      <c r="AC596">
        <v>7.7244065701961517E-2</v>
      </c>
      <c r="AD596">
        <v>8.2118138670921326E-2</v>
      </c>
      <c r="AE596">
        <v>8.6804509162902832E-2</v>
      </c>
      <c r="AF596">
        <v>9.0007506310939789E-2</v>
      </c>
      <c r="AG596">
        <v>9.1424241662025452E-2</v>
      </c>
      <c r="AH596">
        <v>9.2619627714157104E-2</v>
      </c>
      <c r="AI596">
        <v>9.4349473714828491E-2</v>
      </c>
      <c r="AJ596">
        <v>9.3168973922729492E-2</v>
      </c>
      <c r="AK596">
        <v>9.0907774865627289E-2</v>
      </c>
      <c r="AL596">
        <v>8.9665941894054413E-2</v>
      </c>
      <c r="AM596">
        <v>8.6391068994998932E-2</v>
      </c>
      <c r="AN596">
        <v>8.4699906408786774E-2</v>
      </c>
      <c r="AO596">
        <v>8.0969549715518951E-2</v>
      </c>
      <c r="AP596">
        <v>7.7492974698543549E-2</v>
      </c>
      <c r="AQ596">
        <v>7.2935409843921661E-2</v>
      </c>
      <c r="AR596">
        <v>7.7741630375385284E-2</v>
      </c>
      <c r="AS596">
        <v>6.9872938096523285E-2</v>
      </c>
    </row>
    <row r="597" spans="4:45" x14ac:dyDescent="0.25">
      <c r="D597">
        <v>23000</v>
      </c>
      <c r="AB597">
        <v>5.4089590907096863E-2</v>
      </c>
      <c r="AC597">
        <v>7.4939832091331482E-2</v>
      </c>
      <c r="AD597">
        <v>8.1945084035396576E-2</v>
      </c>
      <c r="AE597">
        <v>8.673027902841568E-2</v>
      </c>
      <c r="AF597">
        <v>9.023815393447876E-2</v>
      </c>
      <c r="AG597">
        <v>9.3080848455429077E-2</v>
      </c>
      <c r="AH597">
        <v>9.4550006091594696E-2</v>
      </c>
      <c r="AI597">
        <v>9.4722017645835876E-2</v>
      </c>
      <c r="AJ597">
        <v>9.4755597412586212E-2</v>
      </c>
      <c r="AK597">
        <v>9.4257079064846039E-2</v>
      </c>
      <c r="AL597">
        <v>9.113580733537674E-2</v>
      </c>
      <c r="AM597">
        <v>9.0196385979652405E-2</v>
      </c>
      <c r="AN597">
        <v>8.6705237627029419E-2</v>
      </c>
      <c r="AO597">
        <v>8.4522329270839691E-2</v>
      </c>
      <c r="AP597">
        <v>8.0374442040920258E-2</v>
      </c>
      <c r="AQ597">
        <v>7.5958520174026489E-2</v>
      </c>
      <c r="AR597">
        <v>8.0527834594249725E-2</v>
      </c>
      <c r="AS597">
        <v>7.1618117392063141E-2</v>
      </c>
    </row>
    <row r="598" spans="4:45" x14ac:dyDescent="0.25">
      <c r="D598">
        <v>24000</v>
      </c>
      <c r="AB598">
        <v>4.2490988969802856E-2</v>
      </c>
      <c r="AC598">
        <v>6.6506870090961456E-2</v>
      </c>
      <c r="AD598">
        <v>7.9603873193264008E-2</v>
      </c>
      <c r="AE598">
        <v>8.4060527384281158E-2</v>
      </c>
      <c r="AF598">
        <v>8.8155888020992279E-2</v>
      </c>
      <c r="AG598">
        <v>9.1329053044319153E-2</v>
      </c>
      <c r="AH598">
        <v>9.39360111951828E-2</v>
      </c>
      <c r="AI598">
        <v>9.6193075180053711E-2</v>
      </c>
      <c r="AJ598">
        <v>9.7056224942207336E-2</v>
      </c>
      <c r="AK598">
        <v>9.553343802690506E-2</v>
      </c>
      <c r="AL598">
        <v>9.4948209822177887E-2</v>
      </c>
      <c r="AM598">
        <v>9.2459015548229218E-2</v>
      </c>
      <c r="AN598">
        <v>9.0621352195739746E-2</v>
      </c>
      <c r="AO598">
        <v>8.7019234895706177E-2</v>
      </c>
      <c r="AP598">
        <v>8.4305226802825928E-2</v>
      </c>
      <c r="AQ598">
        <v>7.8429587185382843E-2</v>
      </c>
      <c r="AR598">
        <v>8.2618497312068939E-2</v>
      </c>
      <c r="AS598">
        <v>7.4261017143726349E-2</v>
      </c>
    </row>
    <row r="599" spans="4:45" x14ac:dyDescent="0.25">
      <c r="D599">
        <v>25000</v>
      </c>
      <c r="AC599">
        <v>5.5457845330238342E-2</v>
      </c>
      <c r="AD599">
        <v>7.6353453099727631E-2</v>
      </c>
      <c r="AE599">
        <v>8.3710424602031708E-2</v>
      </c>
      <c r="AF599">
        <v>8.8979899883270264E-2</v>
      </c>
      <c r="AG599">
        <v>9.2618599534034729E-2</v>
      </c>
      <c r="AH599">
        <v>9.5441952347755432E-2</v>
      </c>
      <c r="AI599">
        <v>9.662976861000061E-2</v>
      </c>
      <c r="AJ599">
        <v>9.6656776964664459E-2</v>
      </c>
      <c r="AK599">
        <v>9.8495170474052429E-2</v>
      </c>
      <c r="AL599">
        <v>9.728657454252243E-2</v>
      </c>
      <c r="AM599">
        <v>9.5400355756282806E-2</v>
      </c>
      <c r="AN599">
        <v>9.3727156519889832E-2</v>
      </c>
      <c r="AO599">
        <v>9.0454526245594025E-2</v>
      </c>
      <c r="AP599">
        <v>8.7257571518421173E-2</v>
      </c>
      <c r="AQ599">
        <v>8.2677409052848816E-2</v>
      </c>
      <c r="AR599">
        <v>8.3881154656410217E-2</v>
      </c>
      <c r="AS599">
        <v>7.6117806136608124E-2</v>
      </c>
    </row>
    <row r="600" spans="4:45" x14ac:dyDescent="0.25">
      <c r="D600">
        <v>26000</v>
      </c>
      <c r="AC600">
        <v>4.2802270501852036E-2</v>
      </c>
      <c r="AD600">
        <v>6.665550172328949E-2</v>
      </c>
      <c r="AE600">
        <v>8.1694468855857849E-2</v>
      </c>
      <c r="AF600">
        <v>8.6921475827693939E-2</v>
      </c>
      <c r="AG600">
        <v>9.0709693729877472E-2</v>
      </c>
      <c r="AH600">
        <v>9.41510871052742E-2</v>
      </c>
      <c r="AI600">
        <v>9.7304277122020721E-2</v>
      </c>
      <c r="AJ600">
        <v>9.8956689238548279E-2</v>
      </c>
      <c r="AK600">
        <v>9.8607473075389862E-2</v>
      </c>
      <c r="AL600">
        <v>9.8891198635101318E-2</v>
      </c>
      <c r="AM600">
        <v>9.8283961415290833E-2</v>
      </c>
      <c r="AN600">
        <v>9.5341667532920837E-2</v>
      </c>
      <c r="AO600">
        <v>9.3748509883880615E-2</v>
      </c>
      <c r="AP600">
        <v>8.9918948709964752E-2</v>
      </c>
      <c r="AQ600">
        <v>8.5704341530799866E-2</v>
      </c>
      <c r="AR600">
        <v>7.9332441091537476E-2</v>
      </c>
      <c r="AS600">
        <v>7.6843351125717163E-2</v>
      </c>
    </row>
    <row r="601" spans="4:45" x14ac:dyDescent="0.25">
      <c r="D601">
        <v>27000</v>
      </c>
      <c r="AD601">
        <v>5.4763004183769226E-2</v>
      </c>
      <c r="AE601">
        <v>7.6478376984596252E-2</v>
      </c>
      <c r="AF601">
        <v>8.4012545645236969E-2</v>
      </c>
      <c r="AG601">
        <v>8.9835934340953827E-2</v>
      </c>
      <c r="AH601">
        <v>9.3452997505664825E-2</v>
      </c>
      <c r="AI601">
        <v>9.5923811197280884E-2</v>
      </c>
      <c r="AJ601">
        <v>9.777425229549408E-2</v>
      </c>
      <c r="AK601">
        <v>0.1002800464630127</v>
      </c>
      <c r="AL601">
        <v>0.10060558468103409</v>
      </c>
      <c r="AM601">
        <v>9.8886080086231232E-2</v>
      </c>
      <c r="AN601">
        <v>9.9008388817310333E-2</v>
      </c>
      <c r="AO601">
        <v>9.5409117639064789E-2</v>
      </c>
      <c r="AP601">
        <v>9.3716159462928772E-2</v>
      </c>
      <c r="AQ601">
        <v>8.7571576237678528E-2</v>
      </c>
      <c r="AR601">
        <v>8.2339383661746979E-2</v>
      </c>
      <c r="AS601">
        <v>7.9070970416069031E-2</v>
      </c>
    </row>
    <row r="602" spans="4:45" x14ac:dyDescent="0.25">
      <c r="D602">
        <v>28000</v>
      </c>
      <c r="AD602">
        <v>4.1502725332975388E-2</v>
      </c>
      <c r="AE602">
        <v>6.5581947565078735E-2</v>
      </c>
      <c r="AF602">
        <v>8.2878164947032928E-2</v>
      </c>
      <c r="AG602">
        <v>8.8825434446334839E-2</v>
      </c>
      <c r="AH602">
        <v>9.3195080757141113E-2</v>
      </c>
      <c r="AI602">
        <v>9.6605472266674042E-2</v>
      </c>
      <c r="AJ602">
        <v>9.9199861288070679E-2</v>
      </c>
      <c r="AK602">
        <v>0.10022749006748199</v>
      </c>
      <c r="AL602">
        <v>0.10090253502130508</v>
      </c>
      <c r="AM602">
        <v>0.10203976929187775</v>
      </c>
      <c r="AN602">
        <v>0.10027041286230087</v>
      </c>
      <c r="AO602">
        <v>9.8971620202064514E-2</v>
      </c>
      <c r="AP602">
        <v>9.5925338566303253E-2</v>
      </c>
      <c r="AQ602">
        <v>9.1681033372879028E-2</v>
      </c>
      <c r="AR602">
        <v>8.4168605506420135E-2</v>
      </c>
      <c r="AS602">
        <v>8.067978173494339E-2</v>
      </c>
    </row>
    <row r="603" spans="4:45" x14ac:dyDescent="0.25">
      <c r="D603">
        <v>29000</v>
      </c>
      <c r="AE603">
        <v>5.0474546849727631E-2</v>
      </c>
      <c r="AF603">
        <v>7.5275734066963196E-2</v>
      </c>
      <c r="AG603">
        <v>8.5388600826263428E-2</v>
      </c>
      <c r="AH603">
        <v>9.0333074331283569E-2</v>
      </c>
      <c r="AI603">
        <v>9.4315633177757263E-2</v>
      </c>
      <c r="AJ603">
        <v>9.8013848066329956E-2</v>
      </c>
      <c r="AK603">
        <v>0.10123419016599655</v>
      </c>
      <c r="AL603">
        <v>0.10269559174776077</v>
      </c>
      <c r="AM603">
        <v>0.10131637752056122</v>
      </c>
      <c r="AN603">
        <v>0.10323505848646164</v>
      </c>
      <c r="AO603">
        <v>0.10104086250066757</v>
      </c>
      <c r="AP603">
        <v>9.8893925547599792E-2</v>
      </c>
      <c r="AQ603">
        <v>9.4218716025352478E-2</v>
      </c>
      <c r="AR603">
        <v>8.8020473718643188E-2</v>
      </c>
      <c r="AS603">
        <v>8.0676138401031494E-2</v>
      </c>
    </row>
    <row r="604" spans="4:45" x14ac:dyDescent="0.25">
      <c r="D604">
        <v>30000</v>
      </c>
      <c r="AF604">
        <v>6.3089415431022644E-2</v>
      </c>
      <c r="AG604">
        <v>8.270738273859024E-2</v>
      </c>
      <c r="AH604">
        <v>8.9187964797019958E-2</v>
      </c>
      <c r="AI604">
        <v>9.421239048242569E-2</v>
      </c>
      <c r="AJ604">
        <v>9.7484372556209564E-2</v>
      </c>
      <c r="AK604">
        <v>9.9304661154747009E-2</v>
      </c>
      <c r="AL604">
        <v>0.10239887982606888</v>
      </c>
      <c r="AM604">
        <v>0.10460790991783142</v>
      </c>
      <c r="AN604">
        <v>0.1041264608502388</v>
      </c>
      <c r="AO604">
        <v>0.10326694697141647</v>
      </c>
      <c r="AP604">
        <v>0.10165488719940186</v>
      </c>
      <c r="AQ604">
        <v>9.6645630896091461E-2</v>
      </c>
      <c r="AR604">
        <v>9.0586043894290924E-2</v>
      </c>
      <c r="AS604">
        <v>8.2630112767219543E-2</v>
      </c>
    </row>
    <row r="605" spans="4:45" x14ac:dyDescent="0.25">
      <c r="D605">
        <v>31000</v>
      </c>
      <c r="AF605">
        <v>4.7218978404998779E-2</v>
      </c>
      <c r="AG605">
        <v>7.2122134268283844E-2</v>
      </c>
      <c r="AH605">
        <v>8.6959101259708405E-2</v>
      </c>
      <c r="AI605">
        <v>9.2579960823059082E-2</v>
      </c>
      <c r="AJ605">
        <v>9.6838086843490601E-2</v>
      </c>
      <c r="AK605">
        <v>0.10010815411806107</v>
      </c>
      <c r="AL605">
        <v>0.10218304395675659</v>
      </c>
      <c r="AM605">
        <v>0.10269745439291</v>
      </c>
      <c r="AN605">
        <v>0.10550627112388611</v>
      </c>
      <c r="AO605">
        <v>0.10466524958610535</v>
      </c>
      <c r="AP605">
        <v>0.10269422084093094</v>
      </c>
      <c r="AQ605">
        <v>9.9330291152000427E-2</v>
      </c>
      <c r="AR605">
        <v>9.2118300497531891E-2</v>
      </c>
      <c r="AS605">
        <v>8.3166234195232391E-2</v>
      </c>
    </row>
    <row r="606" spans="4:45" x14ac:dyDescent="0.25">
      <c r="D606">
        <v>32000</v>
      </c>
      <c r="AG606">
        <v>5.5001497268676758E-2</v>
      </c>
      <c r="AH606">
        <v>7.9767987132072449E-2</v>
      </c>
      <c r="AI606">
        <v>8.8547885417938232E-2</v>
      </c>
      <c r="AJ606">
        <v>9.384472668170929E-2</v>
      </c>
      <c r="AK606">
        <v>9.8004035651683807E-2</v>
      </c>
      <c r="AL606">
        <v>0.10167653858661652</v>
      </c>
      <c r="AM606">
        <v>0.10425525158643723</v>
      </c>
      <c r="AN606">
        <v>0.10479000955820084</v>
      </c>
      <c r="AO606">
        <v>0.10483924299478531</v>
      </c>
      <c r="AP606">
        <v>0.10498405992984772</v>
      </c>
      <c r="AQ606">
        <v>9.9099300801753998E-2</v>
      </c>
      <c r="AR606">
        <v>9.4374172389507294E-2</v>
      </c>
      <c r="AS606">
        <v>8.2442566752433777E-2</v>
      </c>
    </row>
    <row r="607" spans="4:45" x14ac:dyDescent="0.25">
      <c r="D607">
        <v>33000</v>
      </c>
      <c r="AH607">
        <v>6.6905252635478973E-2</v>
      </c>
      <c r="AI607">
        <v>8.5696853697299957E-2</v>
      </c>
      <c r="AJ607">
        <v>9.1353133320808411E-2</v>
      </c>
      <c r="AK607">
        <v>9.6100233495235443E-2</v>
      </c>
      <c r="AL607">
        <v>9.8856784403324127E-2</v>
      </c>
      <c r="AM607">
        <v>0.10252621024847031</v>
      </c>
      <c r="AN607">
        <v>0.10579206794500351</v>
      </c>
      <c r="AO607">
        <v>0.10543892532587051</v>
      </c>
      <c r="AP607">
        <v>0.10411055386066437</v>
      </c>
      <c r="AQ607">
        <v>0.10175416618585587</v>
      </c>
      <c r="AR607">
        <v>9.3197450041770935E-2</v>
      </c>
      <c r="AS607">
        <v>8.324558287858963E-2</v>
      </c>
    </row>
    <row r="608" spans="4:45" x14ac:dyDescent="0.25">
      <c r="D608">
        <v>34000</v>
      </c>
      <c r="AI608">
        <v>7.4686057865619659E-2</v>
      </c>
      <c r="AJ608">
        <v>8.9552745223045349E-2</v>
      </c>
      <c r="AK608">
        <v>9.4921857118606567E-2</v>
      </c>
      <c r="AL608">
        <v>9.9065415561199188E-2</v>
      </c>
      <c r="AM608">
        <v>0.10180717706680298</v>
      </c>
      <c r="AN608">
        <v>0.10300830751657486</v>
      </c>
      <c r="AO608">
        <v>0.1053299605846405</v>
      </c>
      <c r="AP608">
        <v>0.10578833520412445</v>
      </c>
      <c r="AQ608">
        <v>9.9993936717510223E-2</v>
      </c>
      <c r="AR608">
        <v>9.5824405550956726E-2</v>
      </c>
      <c r="AS608">
        <v>8.0158591270446777E-2</v>
      </c>
    </row>
    <row r="609" spans="4:45" x14ac:dyDescent="0.25">
      <c r="D609">
        <v>35000</v>
      </c>
      <c r="AJ609">
        <v>8.1088326871395111E-2</v>
      </c>
      <c r="AK609">
        <v>9.1800518333911896E-2</v>
      </c>
      <c r="AL609">
        <v>9.7178667783737183E-2</v>
      </c>
      <c r="AM609">
        <v>0.1011926531791687</v>
      </c>
      <c r="AN609">
        <v>0.10406447947025299</v>
      </c>
      <c r="AO609">
        <v>0.10381995886564255</v>
      </c>
      <c r="AP609">
        <v>0.1047581285238266</v>
      </c>
      <c r="AQ609">
        <v>0.10216851532459259</v>
      </c>
      <c r="AR609">
        <v>9.3601293861865997E-2</v>
      </c>
      <c r="AS609">
        <v>8.1095613539218903E-2</v>
      </c>
    </row>
    <row r="610" spans="4:45" x14ac:dyDescent="0.25">
      <c r="D610">
        <v>36000</v>
      </c>
      <c r="AL610">
        <v>9.2172347009181976E-2</v>
      </c>
      <c r="AM610">
        <v>9.768984466791153E-2</v>
      </c>
      <c r="AN610">
        <v>0.1018230989575386</v>
      </c>
      <c r="AO610">
        <v>0.10300986468791962</v>
      </c>
      <c r="AP610">
        <v>0.10341135412454605</v>
      </c>
      <c r="AQ610">
        <v>9.9339120090007782E-2</v>
      </c>
      <c r="AR610">
        <v>9.4500891864299774E-2</v>
      </c>
      <c r="AS610">
        <v>7.819780707359314E-2</v>
      </c>
    </row>
    <row r="611" spans="4:45" x14ac:dyDescent="0.25">
      <c r="D611">
        <v>37000</v>
      </c>
      <c r="AN611">
        <v>9.7944870591163635E-2</v>
      </c>
      <c r="AO611">
        <v>0.10002025961875916</v>
      </c>
      <c r="AP611">
        <v>0.10198934376239777</v>
      </c>
      <c r="AQ611">
        <v>9.8732665181159973E-2</v>
      </c>
      <c r="AR611">
        <v>8.9294254779815674E-2</v>
      </c>
    </row>
    <row r="612" spans="4:45" x14ac:dyDescent="0.25">
      <c r="D612">
        <v>38000</v>
      </c>
    </row>
    <row r="613" spans="4:45" x14ac:dyDescent="0.25">
      <c r="D613">
        <v>39000</v>
      </c>
    </row>
    <row r="614" spans="4:45" x14ac:dyDescent="0.25">
      <c r="D614">
        <v>40000</v>
      </c>
    </row>
    <row r="615" spans="4:45" x14ac:dyDescent="0.25">
      <c r="D615">
        <v>41000</v>
      </c>
    </row>
    <row r="616" spans="4:45" x14ac:dyDescent="0.25">
      <c r="D616">
        <v>42000</v>
      </c>
    </row>
    <row r="617" spans="4:45" x14ac:dyDescent="0.25">
      <c r="D617">
        <v>43000</v>
      </c>
    </row>
    <row r="618" spans="4:45" x14ac:dyDescent="0.25">
      <c r="D618">
        <v>44000</v>
      </c>
    </row>
    <row r="619" spans="4:45" x14ac:dyDescent="0.25">
      <c r="D619">
        <v>45000</v>
      </c>
    </row>
    <row r="620" spans="4:45" x14ac:dyDescent="0.25">
      <c r="D620">
        <v>46000</v>
      </c>
    </row>
    <row r="621" spans="4:45" x14ac:dyDescent="0.25">
      <c r="D621">
        <v>47000</v>
      </c>
    </row>
    <row r="622" spans="4:45" x14ac:dyDescent="0.25">
      <c r="D622">
        <v>48000</v>
      </c>
    </row>
    <row r="623" spans="4:45" x14ac:dyDescent="0.25">
      <c r="D623">
        <v>49000</v>
      </c>
    </row>
    <row r="624" spans="4:45" x14ac:dyDescent="0.25">
      <c r="D624">
        <v>50000</v>
      </c>
    </row>
    <row r="625" spans="3:55" x14ac:dyDescent="0.25">
      <c r="C625" t="s">
        <v>145</v>
      </c>
      <c r="D625" t="s">
        <v>133</v>
      </c>
      <c r="E625">
        <v>0</v>
      </c>
      <c r="F625">
        <v>0.02</v>
      </c>
      <c r="G625">
        <v>0.04</v>
      </c>
      <c r="H625">
        <v>0.06</v>
      </c>
      <c r="I625">
        <v>0.08</v>
      </c>
      <c r="J625">
        <v>0.1</v>
      </c>
      <c r="K625">
        <v>0.12</v>
      </c>
      <c r="L625">
        <v>0.14000000000000001</v>
      </c>
      <c r="M625">
        <v>0.16</v>
      </c>
      <c r="N625">
        <v>0.18</v>
      </c>
      <c r="O625">
        <v>0.2</v>
      </c>
      <c r="P625">
        <v>0.22</v>
      </c>
      <c r="Q625">
        <v>0.24</v>
      </c>
      <c r="R625">
        <v>0.26</v>
      </c>
      <c r="S625">
        <v>0.28000000000000003</v>
      </c>
      <c r="T625">
        <v>0.3</v>
      </c>
      <c r="U625">
        <v>0.32</v>
      </c>
      <c r="V625">
        <v>0.34</v>
      </c>
      <c r="W625">
        <v>0.36</v>
      </c>
      <c r="X625">
        <v>0.38</v>
      </c>
      <c r="Y625">
        <v>0.4</v>
      </c>
      <c r="Z625">
        <v>0.42</v>
      </c>
      <c r="AA625">
        <v>0.44</v>
      </c>
      <c r="AB625">
        <v>0.46</v>
      </c>
      <c r="AC625">
        <v>0.48</v>
      </c>
      <c r="AD625">
        <v>0.5</v>
      </c>
      <c r="AE625">
        <v>0.52</v>
      </c>
      <c r="AF625">
        <v>0.54</v>
      </c>
      <c r="AG625">
        <v>0.56000000000000005</v>
      </c>
      <c r="AH625">
        <v>0.57999999999999996</v>
      </c>
      <c r="AI625">
        <v>0.6</v>
      </c>
      <c r="AJ625">
        <v>0.62</v>
      </c>
      <c r="AK625">
        <v>0.64</v>
      </c>
      <c r="AL625">
        <v>0.66</v>
      </c>
      <c r="AM625">
        <v>0.68</v>
      </c>
      <c r="AN625">
        <v>0.7</v>
      </c>
      <c r="AO625">
        <v>0.72</v>
      </c>
      <c r="AP625">
        <v>0.74</v>
      </c>
      <c r="AQ625">
        <v>0.76</v>
      </c>
      <c r="AR625">
        <v>0.78</v>
      </c>
      <c r="AS625">
        <v>0.8</v>
      </c>
      <c r="AT625">
        <v>0.82</v>
      </c>
      <c r="AU625">
        <v>0.84</v>
      </c>
      <c r="AV625">
        <v>0.86</v>
      </c>
      <c r="AW625">
        <v>0.88</v>
      </c>
      <c r="AX625">
        <v>0.9</v>
      </c>
      <c r="AY625">
        <v>0.92</v>
      </c>
      <c r="AZ625">
        <v>0.94</v>
      </c>
      <c r="BA625">
        <v>0.96</v>
      </c>
      <c r="BB625">
        <v>0.98</v>
      </c>
      <c r="BC625">
        <v>1</v>
      </c>
    </row>
    <row r="626" spans="3:55" x14ac:dyDescent="0.25">
      <c r="D626">
        <v>0</v>
      </c>
      <c r="R626">
        <v>40408.31640625</v>
      </c>
      <c r="S626">
        <v>39762.11328125</v>
      </c>
      <c r="T626">
        <v>39115.9140625</v>
      </c>
      <c r="U626">
        <v>38595.02734375</v>
      </c>
      <c r="V626">
        <v>38074.13671875</v>
      </c>
      <c r="W626">
        <v>37553.25</v>
      </c>
      <c r="X626">
        <v>37032.36328125</v>
      </c>
      <c r="Y626">
        <v>36511.4765625</v>
      </c>
      <c r="Z626">
        <v>32589.0390625</v>
      </c>
      <c r="AA626">
        <v>28666.6015625</v>
      </c>
      <c r="AB626">
        <v>24744.166015625</v>
      </c>
      <c r="AC626">
        <v>20821.728515625</v>
      </c>
      <c r="AD626">
        <v>16899.291015625</v>
      </c>
      <c r="AE626">
        <v>16414.8984375</v>
      </c>
      <c r="AF626">
        <v>15930.5048828125</v>
      </c>
      <c r="AG626">
        <v>15446.111328125</v>
      </c>
      <c r="AH626">
        <v>14961.7177734375</v>
      </c>
      <c r="AI626">
        <v>14477.32421875</v>
      </c>
      <c r="AJ626">
        <v>14019.0419921875</v>
      </c>
      <c r="AK626">
        <v>13560.759765625</v>
      </c>
    </row>
    <row r="627" spans="3:55" x14ac:dyDescent="0.25">
      <c r="D627">
        <v>1000</v>
      </c>
      <c r="S627">
        <v>38919.421875</v>
      </c>
      <c r="T627">
        <v>38291.45703125</v>
      </c>
      <c r="U627">
        <v>37786.99609375</v>
      </c>
      <c r="V627">
        <v>37282.53515625</v>
      </c>
      <c r="W627">
        <v>36778.078125</v>
      </c>
      <c r="X627">
        <v>36273.6171875</v>
      </c>
      <c r="Y627">
        <v>35769.15625</v>
      </c>
      <c r="Z627">
        <v>32008.609375</v>
      </c>
      <c r="AA627">
        <v>28248.0625</v>
      </c>
      <c r="AB627">
        <v>24487.515625</v>
      </c>
      <c r="AC627">
        <v>20726.966796875</v>
      </c>
      <c r="AD627">
        <v>16966.419921875</v>
      </c>
      <c r="AE627">
        <v>16490.498046875</v>
      </c>
      <c r="AF627">
        <v>16014.5751953125</v>
      </c>
      <c r="AG627">
        <v>15538.65234375</v>
      </c>
      <c r="AH627">
        <v>15062.7294921875</v>
      </c>
      <c r="AI627">
        <v>14586.806640625</v>
      </c>
      <c r="AJ627">
        <v>14136.6865234375</v>
      </c>
      <c r="AK627">
        <v>13686.56640625</v>
      </c>
      <c r="AL627">
        <v>13236.4453125</v>
      </c>
    </row>
    <row r="628" spans="3:55" x14ac:dyDescent="0.25">
      <c r="D628">
        <v>2000</v>
      </c>
      <c r="S628">
        <v>38076.73046875</v>
      </c>
      <c r="T628">
        <v>37467</v>
      </c>
      <c r="U628">
        <v>36978.96875</v>
      </c>
      <c r="V628">
        <v>36490.9375</v>
      </c>
      <c r="W628">
        <v>36002.90234375</v>
      </c>
      <c r="X628">
        <v>35514.87109375</v>
      </c>
      <c r="Y628">
        <v>35026.8359375</v>
      </c>
      <c r="Z628">
        <v>31428.1796875</v>
      </c>
      <c r="AA628">
        <v>27829.521484375</v>
      </c>
      <c r="AB628">
        <v>24230.865234375</v>
      </c>
      <c r="AC628">
        <v>20632.20703125</v>
      </c>
      <c r="AD628">
        <v>17033.548828125</v>
      </c>
      <c r="AE628">
        <v>16566.09765625</v>
      </c>
      <c r="AF628">
        <v>16098.64453125</v>
      </c>
      <c r="AG628">
        <v>15631.1923828125</v>
      </c>
      <c r="AH628">
        <v>15163.740234375</v>
      </c>
      <c r="AI628">
        <v>14696.2890625</v>
      </c>
      <c r="AJ628">
        <v>14254.3310546875</v>
      </c>
      <c r="AK628">
        <v>13812.373046875</v>
      </c>
      <c r="AL628">
        <v>13370.4150390625</v>
      </c>
    </row>
    <row r="629" spans="3:55" x14ac:dyDescent="0.25">
      <c r="D629">
        <v>3000</v>
      </c>
      <c r="S629">
        <v>37234.03515625</v>
      </c>
      <c r="T629">
        <v>36642.546875</v>
      </c>
      <c r="U629">
        <v>36170.94140625</v>
      </c>
      <c r="V629">
        <v>35699.3359375</v>
      </c>
      <c r="W629">
        <v>35227.73046875</v>
      </c>
      <c r="X629">
        <v>34756.125</v>
      </c>
      <c r="Y629">
        <v>34284.51953125</v>
      </c>
      <c r="Z629">
        <v>30847.75</v>
      </c>
      <c r="AA629">
        <v>27410.982421875</v>
      </c>
      <c r="AB629">
        <v>23974.212890625</v>
      </c>
      <c r="AC629">
        <v>20537.4453125</v>
      </c>
      <c r="AD629">
        <v>17100.677734375</v>
      </c>
      <c r="AE629">
        <v>16641.6953125</v>
      </c>
      <c r="AF629">
        <v>16182.71484375</v>
      </c>
      <c r="AG629">
        <v>15723.7333984375</v>
      </c>
      <c r="AH629">
        <v>15264.751953125</v>
      </c>
      <c r="AI629">
        <v>14805.7705078125</v>
      </c>
      <c r="AJ629">
        <v>14371.974609375</v>
      </c>
      <c r="AK629">
        <v>13938.1796875</v>
      </c>
      <c r="AL629">
        <v>13504.3837890625</v>
      </c>
      <c r="AM629">
        <v>13070.587890625</v>
      </c>
    </row>
    <row r="630" spans="3:55" x14ac:dyDescent="0.25">
      <c r="D630">
        <v>4000</v>
      </c>
      <c r="S630">
        <v>36391.34375</v>
      </c>
      <c r="T630">
        <v>35818.08984375</v>
      </c>
      <c r="U630">
        <v>35362.91015625</v>
      </c>
      <c r="V630">
        <v>34907.734375</v>
      </c>
      <c r="W630">
        <v>34452.5546875</v>
      </c>
      <c r="X630">
        <v>33997.37890625</v>
      </c>
      <c r="Y630">
        <v>33542.19921875</v>
      </c>
      <c r="Z630">
        <v>30267.3203125</v>
      </c>
      <c r="AA630">
        <v>26992.44140625</v>
      </c>
      <c r="AB630">
        <v>23717.5625</v>
      </c>
      <c r="AC630">
        <v>20442.68359375</v>
      </c>
      <c r="AD630">
        <v>17167.8046875</v>
      </c>
      <c r="AE630">
        <v>16717.294921875</v>
      </c>
      <c r="AF630">
        <v>16266.7841796875</v>
      </c>
      <c r="AG630">
        <v>15816.2734375</v>
      </c>
      <c r="AH630">
        <v>15365.763671875</v>
      </c>
      <c r="AI630">
        <v>14915.2529296875</v>
      </c>
      <c r="AJ630">
        <v>14489.619140625</v>
      </c>
      <c r="AK630">
        <v>14063.986328125</v>
      </c>
      <c r="AL630">
        <v>13638.3525390625</v>
      </c>
      <c r="AM630">
        <v>13212.71875</v>
      </c>
    </row>
    <row r="631" spans="3:55" x14ac:dyDescent="0.25">
      <c r="D631">
        <v>5000</v>
      </c>
      <c r="T631">
        <v>34993.6328125</v>
      </c>
      <c r="U631">
        <v>34554.8828125</v>
      </c>
      <c r="V631">
        <v>34116.1328125</v>
      </c>
      <c r="W631">
        <v>33677.3828125</v>
      </c>
      <c r="X631">
        <v>33238.6328125</v>
      </c>
      <c r="Y631">
        <v>32799.8828125</v>
      </c>
      <c r="Z631">
        <v>29686.892578125</v>
      </c>
      <c r="AA631">
        <v>26573.90234375</v>
      </c>
      <c r="AB631">
        <v>23460.912109375</v>
      </c>
      <c r="AC631">
        <v>20347.923828125</v>
      </c>
      <c r="AD631">
        <v>17234.93359375</v>
      </c>
      <c r="AE631">
        <v>16792.89453125</v>
      </c>
      <c r="AF631">
        <v>16350.8544921875</v>
      </c>
      <c r="AG631">
        <v>15908.814453125</v>
      </c>
      <c r="AH631">
        <v>15466.7744140625</v>
      </c>
      <c r="AI631">
        <v>15024.734375</v>
      </c>
      <c r="AJ631">
        <v>14607.263671875</v>
      </c>
      <c r="AK631">
        <v>14189.79296875</v>
      </c>
      <c r="AL631">
        <v>13772.3212890625</v>
      </c>
      <c r="AM631">
        <v>13354.8505859375</v>
      </c>
      <c r="AN631">
        <v>12937.3798828125</v>
      </c>
    </row>
    <row r="632" spans="3:55" x14ac:dyDescent="0.25">
      <c r="D632">
        <v>6000</v>
      </c>
      <c r="T632">
        <v>32326.693359375</v>
      </c>
      <c r="U632">
        <v>31882.267578125</v>
      </c>
      <c r="V632">
        <v>31437.84375</v>
      </c>
      <c r="W632">
        <v>30993.41796875</v>
      </c>
      <c r="X632">
        <v>30548.9921875</v>
      </c>
      <c r="Y632">
        <v>30104.568359375</v>
      </c>
      <c r="Z632">
        <v>27529.982421875</v>
      </c>
      <c r="AA632">
        <v>24955.3984375</v>
      </c>
      <c r="AB632">
        <v>22380.814453125</v>
      </c>
      <c r="AC632">
        <v>19806.228515625</v>
      </c>
      <c r="AD632">
        <v>17231.64453125</v>
      </c>
      <c r="AE632">
        <v>16802.0234375</v>
      </c>
      <c r="AF632">
        <v>16372.4013671875</v>
      </c>
      <c r="AG632">
        <v>15942.779296875</v>
      </c>
      <c r="AH632">
        <v>15513.158203125</v>
      </c>
      <c r="AI632">
        <v>15083.5361328125</v>
      </c>
      <c r="AJ632">
        <v>14676.6943359375</v>
      </c>
      <c r="AK632">
        <v>14269.853515625</v>
      </c>
      <c r="AL632">
        <v>13863.01171875</v>
      </c>
      <c r="AM632">
        <v>13456.169921875</v>
      </c>
      <c r="AN632">
        <v>13049.328125</v>
      </c>
    </row>
    <row r="633" spans="3:55" x14ac:dyDescent="0.25">
      <c r="D633">
        <v>7000</v>
      </c>
      <c r="U633">
        <v>29209.65234375</v>
      </c>
      <c r="V633">
        <v>28759.552734375</v>
      </c>
      <c r="W633">
        <v>28309.453125</v>
      </c>
      <c r="X633">
        <v>27859.353515625</v>
      </c>
      <c r="Y633">
        <v>27409.25390625</v>
      </c>
      <c r="Z633">
        <v>25373.07421875</v>
      </c>
      <c r="AA633">
        <v>23336.89453125</v>
      </c>
      <c r="AB633">
        <v>21300.71484375</v>
      </c>
      <c r="AC633">
        <v>19264.53515625</v>
      </c>
      <c r="AD633">
        <v>17228.353515625</v>
      </c>
      <c r="AE633">
        <v>16811.150390625</v>
      </c>
      <c r="AF633">
        <v>16393.947265625</v>
      </c>
      <c r="AG633">
        <v>15976.744140625</v>
      </c>
      <c r="AH633">
        <v>15559.541015625</v>
      </c>
      <c r="AI633">
        <v>15142.337890625</v>
      </c>
      <c r="AJ633">
        <v>14746.1259765625</v>
      </c>
      <c r="AK633">
        <v>14349.9140625</v>
      </c>
      <c r="AL633">
        <v>13953.701171875</v>
      </c>
      <c r="AM633">
        <v>13557.4892578125</v>
      </c>
      <c r="AN633">
        <v>13161.27734375</v>
      </c>
      <c r="AO633">
        <v>12786.7568359375</v>
      </c>
    </row>
    <row r="634" spans="3:55" x14ac:dyDescent="0.25">
      <c r="D634">
        <v>8000</v>
      </c>
      <c r="U634">
        <v>26537.037109375</v>
      </c>
      <c r="V634">
        <v>26081.263671875</v>
      </c>
      <c r="W634">
        <v>25625.490234375</v>
      </c>
      <c r="X634">
        <v>25169.71484375</v>
      </c>
      <c r="Y634">
        <v>24713.94140625</v>
      </c>
      <c r="Z634">
        <v>23216.166015625</v>
      </c>
      <c r="AA634">
        <v>21718.390625</v>
      </c>
      <c r="AB634">
        <v>20220.615234375</v>
      </c>
      <c r="AC634">
        <v>18722.83984375</v>
      </c>
      <c r="AD634">
        <v>17225.064453125</v>
      </c>
      <c r="AE634">
        <v>16820.279296875</v>
      </c>
      <c r="AF634">
        <v>16415.494140625</v>
      </c>
      <c r="AG634">
        <v>16010.708984375</v>
      </c>
      <c r="AH634">
        <v>15605.9248046875</v>
      </c>
      <c r="AI634">
        <v>15201.1396484375</v>
      </c>
      <c r="AJ634">
        <v>14815.556640625</v>
      </c>
      <c r="AK634">
        <v>14429.974609375</v>
      </c>
      <c r="AL634">
        <v>14044.3916015625</v>
      </c>
      <c r="AM634">
        <v>13658.8095703125</v>
      </c>
      <c r="AN634">
        <v>13273.2265625</v>
      </c>
      <c r="AO634">
        <v>12905.83984375</v>
      </c>
    </row>
    <row r="635" spans="3:55" x14ac:dyDescent="0.25">
      <c r="D635">
        <v>9000</v>
      </c>
      <c r="V635">
        <v>23402.974609375</v>
      </c>
      <c r="W635">
        <v>22941.525390625</v>
      </c>
      <c r="X635">
        <v>22480.076171875</v>
      </c>
      <c r="Y635">
        <v>22018.62890625</v>
      </c>
      <c r="Z635">
        <v>21059.2578125</v>
      </c>
      <c r="AA635">
        <v>20099.88671875</v>
      </c>
      <c r="AB635">
        <v>19140.515625</v>
      </c>
      <c r="AC635">
        <v>18181.146484375</v>
      </c>
      <c r="AD635">
        <v>17221.775390625</v>
      </c>
      <c r="AE635">
        <v>16829.408203125</v>
      </c>
      <c r="AF635">
        <v>16437.041015625</v>
      </c>
      <c r="AG635">
        <v>16044.6748046875</v>
      </c>
      <c r="AH635">
        <v>15652.3076171875</v>
      </c>
      <c r="AI635">
        <v>15259.9404296875</v>
      </c>
      <c r="AJ635">
        <v>14884.9873046875</v>
      </c>
      <c r="AK635">
        <v>14510.03515625</v>
      </c>
      <c r="AL635">
        <v>14135.08203125</v>
      </c>
      <c r="AM635">
        <v>13760.12890625</v>
      </c>
      <c r="AN635">
        <v>13385.17578125</v>
      </c>
      <c r="AO635">
        <v>13024.923828125</v>
      </c>
      <c r="AP635">
        <v>12664.671875</v>
      </c>
    </row>
    <row r="636" spans="3:55" x14ac:dyDescent="0.25">
      <c r="D636">
        <v>10000</v>
      </c>
      <c r="V636">
        <v>20724.68359375</v>
      </c>
      <c r="W636">
        <v>20257.560546875</v>
      </c>
      <c r="X636">
        <v>19790.4375</v>
      </c>
      <c r="Y636">
        <v>19323.314453125</v>
      </c>
      <c r="Z636">
        <v>18902.349609375</v>
      </c>
      <c r="AA636">
        <v>18481.3828125</v>
      </c>
      <c r="AB636">
        <v>18060.41796875</v>
      </c>
      <c r="AC636">
        <v>17639.451171875</v>
      </c>
      <c r="AD636">
        <v>17218.484375</v>
      </c>
      <c r="AE636">
        <v>16838.537109375</v>
      </c>
      <c r="AF636">
        <v>16458.587890625</v>
      </c>
      <c r="AG636">
        <v>16078.6396484375</v>
      </c>
      <c r="AH636">
        <v>15698.6904296875</v>
      </c>
      <c r="AI636">
        <v>15318.7421875</v>
      </c>
      <c r="AJ636">
        <v>14954.4189453125</v>
      </c>
      <c r="AK636">
        <v>14590.095703125</v>
      </c>
      <c r="AL636">
        <v>14225.771484375</v>
      </c>
      <c r="AM636">
        <v>13861.4482421875</v>
      </c>
      <c r="AN636">
        <v>13497.125</v>
      </c>
      <c r="AO636">
        <v>13144.0068359375</v>
      </c>
      <c r="AP636">
        <v>12790.888671875</v>
      </c>
    </row>
    <row r="637" spans="3:55" x14ac:dyDescent="0.25">
      <c r="D637">
        <v>11000</v>
      </c>
      <c r="V637">
        <v>20690.01953125</v>
      </c>
      <c r="W637">
        <v>20228.900390625</v>
      </c>
      <c r="X637">
        <v>19767.78125</v>
      </c>
      <c r="Y637">
        <v>19306.662109375</v>
      </c>
      <c r="Z637">
        <v>18887.052734375</v>
      </c>
      <c r="AA637">
        <v>18467.443359375</v>
      </c>
      <c r="AB637">
        <v>18047.833984375</v>
      </c>
      <c r="AC637">
        <v>17628.224609375</v>
      </c>
      <c r="AD637">
        <v>17208.6171875</v>
      </c>
      <c r="AE637">
        <v>16831.484375</v>
      </c>
      <c r="AF637">
        <v>16454.353515625</v>
      </c>
      <c r="AG637">
        <v>16077.220703125</v>
      </c>
      <c r="AH637">
        <v>15700.0888671875</v>
      </c>
      <c r="AI637">
        <v>15322.95703125</v>
      </c>
      <c r="AJ637">
        <v>14966.4462890625</v>
      </c>
      <c r="AK637">
        <v>14609.935546875</v>
      </c>
      <c r="AL637">
        <v>14253.4248046875</v>
      </c>
      <c r="AM637">
        <v>13896.9140625</v>
      </c>
      <c r="AN637">
        <v>13540.404296875</v>
      </c>
      <c r="AO637">
        <v>13199.5810546875</v>
      </c>
      <c r="AP637">
        <v>12858.7578125</v>
      </c>
    </row>
    <row r="638" spans="3:55" x14ac:dyDescent="0.25">
      <c r="D638">
        <v>12000</v>
      </c>
      <c r="W638">
        <v>20200.240234375</v>
      </c>
      <c r="X638">
        <v>19745.125</v>
      </c>
      <c r="Y638">
        <v>19290.0078125</v>
      </c>
      <c r="Z638">
        <v>18871.755859375</v>
      </c>
      <c r="AA638">
        <v>18453.50390625</v>
      </c>
      <c r="AB638">
        <v>18035.251953125</v>
      </c>
      <c r="AC638">
        <v>17617</v>
      </c>
      <c r="AD638">
        <v>17198.748046875</v>
      </c>
      <c r="AE638">
        <v>16824.431640625</v>
      </c>
      <c r="AF638">
        <v>16450.1171875</v>
      </c>
      <c r="AG638">
        <v>16075.8017578125</v>
      </c>
      <c r="AH638">
        <v>15701.4873046875</v>
      </c>
      <c r="AI638">
        <v>15327.171875</v>
      </c>
      <c r="AJ638">
        <v>14978.4736328125</v>
      </c>
      <c r="AK638">
        <v>14629.7763671875</v>
      </c>
      <c r="AL638">
        <v>14281.078125</v>
      </c>
      <c r="AM638">
        <v>13932.380859375</v>
      </c>
      <c r="AN638">
        <v>13583.6826171875</v>
      </c>
      <c r="AO638">
        <v>13255.154296875</v>
      </c>
      <c r="AP638">
        <v>12926.626953125</v>
      </c>
      <c r="AQ638">
        <v>12598.0986328125</v>
      </c>
    </row>
    <row r="639" spans="3:55" x14ac:dyDescent="0.25">
      <c r="D639">
        <v>13000</v>
      </c>
      <c r="W639">
        <v>20171.580078125</v>
      </c>
      <c r="X639">
        <v>19722.466796875</v>
      </c>
      <c r="Y639">
        <v>19273.353515625</v>
      </c>
      <c r="Z639">
        <v>18856.458984375</v>
      </c>
      <c r="AA639">
        <v>18439.564453125</v>
      </c>
      <c r="AB639">
        <v>18022.669921875</v>
      </c>
      <c r="AC639">
        <v>17605.7734375</v>
      </c>
      <c r="AD639">
        <v>17188.87890625</v>
      </c>
      <c r="AE639">
        <v>16817.380859375</v>
      </c>
      <c r="AF639">
        <v>16445.8828125</v>
      </c>
      <c r="AG639">
        <v>16074.3837890625</v>
      </c>
      <c r="AH639">
        <v>15702.884765625</v>
      </c>
      <c r="AI639">
        <v>15331.3857421875</v>
      </c>
      <c r="AJ639">
        <v>14990.5009765625</v>
      </c>
      <c r="AK639">
        <v>14649.6162109375</v>
      </c>
      <c r="AL639">
        <v>14308.7314453125</v>
      </c>
      <c r="AM639">
        <v>13967.8466796875</v>
      </c>
      <c r="AN639">
        <v>13626.9619140625</v>
      </c>
      <c r="AO639">
        <v>13310.728515625</v>
      </c>
      <c r="AP639">
        <v>12994.4951171875</v>
      </c>
      <c r="AQ639">
        <v>12678.26171875</v>
      </c>
    </row>
    <row r="640" spans="3:55" x14ac:dyDescent="0.25">
      <c r="D640">
        <v>14000</v>
      </c>
      <c r="X640">
        <v>19699.810546875</v>
      </c>
      <c r="Y640">
        <v>19256.701171875</v>
      </c>
      <c r="Z640">
        <v>18841.162109375</v>
      </c>
      <c r="AA640">
        <v>18425.625</v>
      </c>
      <c r="AB640">
        <v>18010.0859375</v>
      </c>
      <c r="AC640">
        <v>17594.548828125</v>
      </c>
      <c r="AD640">
        <v>17179.009765625</v>
      </c>
      <c r="AE640">
        <v>16810.328125</v>
      </c>
      <c r="AF640">
        <v>16441.646484375</v>
      </c>
      <c r="AG640">
        <v>16072.96484375</v>
      </c>
      <c r="AH640">
        <v>15704.283203125</v>
      </c>
      <c r="AI640">
        <v>15335.6005859375</v>
      </c>
      <c r="AJ640">
        <v>15002.5283203125</v>
      </c>
      <c r="AK640">
        <v>14669.45703125</v>
      </c>
      <c r="AL640">
        <v>14336.384765625</v>
      </c>
      <c r="AM640">
        <v>14003.3125</v>
      </c>
      <c r="AN640">
        <v>13670.240234375</v>
      </c>
      <c r="AO640">
        <v>13366.3017578125</v>
      </c>
      <c r="AP640">
        <v>13062.3642578125</v>
      </c>
      <c r="AQ640">
        <v>12758.42578125</v>
      </c>
      <c r="AR640">
        <v>12454.4873046875</v>
      </c>
    </row>
    <row r="641" spans="4:45" x14ac:dyDescent="0.25">
      <c r="D641">
        <v>15000</v>
      </c>
      <c r="X641">
        <v>19677.15234375</v>
      </c>
      <c r="Y641">
        <v>19240.046875</v>
      </c>
      <c r="Z641">
        <v>18825.8671875</v>
      </c>
      <c r="AA641">
        <v>18411.685546875</v>
      </c>
      <c r="AB641">
        <v>17997.50390625</v>
      </c>
      <c r="AC641">
        <v>17583.322265625</v>
      </c>
      <c r="AD641">
        <v>17169.142578125</v>
      </c>
      <c r="AE641">
        <v>16803.27734375</v>
      </c>
      <c r="AF641">
        <v>16437.412109375</v>
      </c>
      <c r="AG641">
        <v>16071.5458984375</v>
      </c>
      <c r="AH641">
        <v>15705.6806640625</v>
      </c>
      <c r="AI641">
        <v>15339.8154296875</v>
      </c>
      <c r="AJ641">
        <v>15014.556640625</v>
      </c>
      <c r="AK641">
        <v>14689.296875</v>
      </c>
      <c r="AL641">
        <v>14364.0380859375</v>
      </c>
      <c r="AM641">
        <v>14038.7783203125</v>
      </c>
      <c r="AN641">
        <v>13713.51953125</v>
      </c>
      <c r="AO641">
        <v>13421.8759765625</v>
      </c>
      <c r="AP641">
        <v>13130.232421875</v>
      </c>
      <c r="AQ641">
        <v>12838.5888671875</v>
      </c>
      <c r="AR641">
        <v>12546.9453125</v>
      </c>
    </row>
    <row r="642" spans="4:45" x14ac:dyDescent="0.25">
      <c r="D642">
        <v>16000</v>
      </c>
      <c r="X642">
        <v>19516.353515625</v>
      </c>
      <c r="Y642">
        <v>19103.837890625</v>
      </c>
      <c r="Z642">
        <v>18711.943359375</v>
      </c>
      <c r="AA642">
        <v>18320.048828125</v>
      </c>
      <c r="AB642">
        <v>17928.154296875</v>
      </c>
      <c r="AC642">
        <v>17536.26171875</v>
      </c>
      <c r="AD642">
        <v>17144.3671875</v>
      </c>
      <c r="AE642">
        <v>16786.046875</v>
      </c>
      <c r="AF642">
        <v>16427.7265625</v>
      </c>
      <c r="AG642">
        <v>16069.408203125</v>
      </c>
      <c r="AH642">
        <v>15711.087890625</v>
      </c>
      <c r="AI642">
        <v>15352.7685546875</v>
      </c>
      <c r="AJ642">
        <v>15027.9619140625</v>
      </c>
      <c r="AK642">
        <v>14703.154296875</v>
      </c>
      <c r="AL642">
        <v>14378.34765625</v>
      </c>
      <c r="AM642">
        <v>14053.541015625</v>
      </c>
      <c r="AN642">
        <v>13728.734375</v>
      </c>
      <c r="AO642">
        <v>13438.8173828125</v>
      </c>
      <c r="AP642">
        <v>13148.9013671875</v>
      </c>
      <c r="AQ642">
        <v>12858.984375</v>
      </c>
      <c r="AR642">
        <v>12569.068359375</v>
      </c>
    </row>
    <row r="643" spans="4:45" x14ac:dyDescent="0.25">
      <c r="D643">
        <v>17000</v>
      </c>
      <c r="Y643">
        <v>18967.626953125</v>
      </c>
      <c r="Z643">
        <v>18598.01953125</v>
      </c>
      <c r="AA643">
        <v>18228.4140625</v>
      </c>
      <c r="AB643">
        <v>17858.806640625</v>
      </c>
      <c r="AC643">
        <v>17489.19921875</v>
      </c>
      <c r="AD643">
        <v>17119.591796875</v>
      </c>
      <c r="AE643">
        <v>16768.818359375</v>
      </c>
      <c r="AF643">
        <v>16418.04296875</v>
      </c>
      <c r="AG643">
        <v>16067.26953125</v>
      </c>
      <c r="AH643">
        <v>15716.4951171875</v>
      </c>
      <c r="AI643">
        <v>15365.7216796875</v>
      </c>
      <c r="AJ643">
        <v>15041.3662109375</v>
      </c>
      <c r="AK643">
        <v>14717.01171875</v>
      </c>
      <c r="AL643">
        <v>14392.6572265625</v>
      </c>
      <c r="AM643">
        <v>14068.302734375</v>
      </c>
      <c r="AN643">
        <v>13743.9482421875</v>
      </c>
      <c r="AO643">
        <v>13455.7587890625</v>
      </c>
      <c r="AP643">
        <v>13167.5693359375</v>
      </c>
      <c r="AQ643">
        <v>12879.3798828125</v>
      </c>
      <c r="AR643">
        <v>12591.1904296875</v>
      </c>
    </row>
    <row r="644" spans="4:45" x14ac:dyDescent="0.25">
      <c r="D644">
        <v>18000</v>
      </c>
      <c r="Y644">
        <v>18831.41796875</v>
      </c>
      <c r="Z644">
        <v>18484.09765625</v>
      </c>
      <c r="AA644">
        <v>18136.77734375</v>
      </c>
      <c r="AB644">
        <v>17789.45703125</v>
      </c>
      <c r="AC644">
        <v>17442.13671875</v>
      </c>
      <c r="AD644">
        <v>17094.81640625</v>
      </c>
      <c r="AE644">
        <v>16751.587890625</v>
      </c>
      <c r="AF644">
        <v>16408.359375</v>
      </c>
      <c r="AG644">
        <v>16065.1318359375</v>
      </c>
      <c r="AH644">
        <v>15721.90234375</v>
      </c>
      <c r="AI644">
        <v>15378.673828125</v>
      </c>
      <c r="AJ644">
        <v>15054.771484375</v>
      </c>
      <c r="AK644">
        <v>14730.8701171875</v>
      </c>
      <c r="AL644">
        <v>14406.9677734375</v>
      </c>
      <c r="AM644">
        <v>14083.0654296875</v>
      </c>
      <c r="AN644">
        <v>13759.1630859375</v>
      </c>
      <c r="AO644">
        <v>13472.7001953125</v>
      </c>
      <c r="AP644">
        <v>13186.23828125</v>
      </c>
      <c r="AQ644">
        <v>12899.775390625</v>
      </c>
      <c r="AR644">
        <v>12613.3134765625</v>
      </c>
      <c r="AS644">
        <v>12326.8505859375</v>
      </c>
    </row>
    <row r="645" spans="4:45" x14ac:dyDescent="0.25">
      <c r="D645">
        <v>19000</v>
      </c>
      <c r="Z645">
        <v>18370.173828125</v>
      </c>
      <c r="AA645">
        <v>18045.140625</v>
      </c>
      <c r="AB645">
        <v>17720.107421875</v>
      </c>
      <c r="AC645">
        <v>17395.076171875</v>
      </c>
      <c r="AD645">
        <v>17070.04296875</v>
      </c>
      <c r="AE645">
        <v>16734.359375</v>
      </c>
      <c r="AF645">
        <v>16398.67578125</v>
      </c>
      <c r="AG645">
        <v>16062.9931640625</v>
      </c>
      <c r="AH645">
        <v>15727.310546875</v>
      </c>
      <c r="AI645">
        <v>15391.626953125</v>
      </c>
      <c r="AJ645">
        <v>15068.1767578125</v>
      </c>
      <c r="AK645">
        <v>14744.7275390625</v>
      </c>
      <c r="AL645">
        <v>14421.27734375</v>
      </c>
      <c r="AM645">
        <v>14097.8271484375</v>
      </c>
      <c r="AN645">
        <v>13774.376953125</v>
      </c>
      <c r="AO645">
        <v>13489.6416015625</v>
      </c>
      <c r="AP645">
        <v>13204.90625</v>
      </c>
      <c r="AQ645">
        <v>12920.1708984375</v>
      </c>
      <c r="AR645">
        <v>12635.435546875</v>
      </c>
      <c r="AS645">
        <v>12350.7001953125</v>
      </c>
    </row>
    <row r="646" spans="4:45" x14ac:dyDescent="0.25">
      <c r="D646">
        <v>20000</v>
      </c>
      <c r="Z646">
        <v>18256.251953125</v>
      </c>
      <c r="AA646">
        <v>17953.505859375</v>
      </c>
      <c r="AB646">
        <v>17650.759765625</v>
      </c>
      <c r="AC646">
        <v>17348.013671875</v>
      </c>
      <c r="AD646">
        <v>17045.267578125</v>
      </c>
      <c r="AE646">
        <v>16717.12890625</v>
      </c>
      <c r="AF646">
        <v>16388.9921875</v>
      </c>
      <c r="AG646">
        <v>16060.8544921875</v>
      </c>
      <c r="AH646">
        <v>15732.7177734375</v>
      </c>
      <c r="AI646">
        <v>15404.580078125</v>
      </c>
      <c r="AJ646">
        <v>15081.58203125</v>
      </c>
      <c r="AK646">
        <v>14758.5849609375</v>
      </c>
      <c r="AL646">
        <v>14435.5869140625</v>
      </c>
      <c r="AM646">
        <v>14112.58984375</v>
      </c>
      <c r="AN646">
        <v>13789.591796875</v>
      </c>
      <c r="AO646">
        <v>13506.5830078125</v>
      </c>
      <c r="AP646">
        <v>13223.5751953125</v>
      </c>
      <c r="AQ646">
        <v>12940.56640625</v>
      </c>
      <c r="AR646">
        <v>12657.55859375</v>
      </c>
      <c r="AS646">
        <v>12374.5498046875</v>
      </c>
    </row>
    <row r="647" spans="4:45" x14ac:dyDescent="0.25">
      <c r="D647">
        <v>21000</v>
      </c>
      <c r="AA647">
        <v>17683.44921875</v>
      </c>
      <c r="AB647">
        <v>17398.076171875</v>
      </c>
      <c r="AC647">
        <v>17112.705078125</v>
      </c>
      <c r="AD647">
        <v>16827.33203125</v>
      </c>
      <c r="AE647">
        <v>16524.21484375</v>
      </c>
      <c r="AF647">
        <v>16221.099609375</v>
      </c>
      <c r="AG647">
        <v>15917.9833984375</v>
      </c>
      <c r="AH647">
        <v>15614.8671875</v>
      </c>
      <c r="AI647">
        <v>15311.751953125</v>
      </c>
      <c r="AJ647">
        <v>15008.8408203125</v>
      </c>
      <c r="AK647">
        <v>14705.9306640625</v>
      </c>
      <c r="AL647">
        <v>14403.01953125</v>
      </c>
      <c r="AM647">
        <v>14100.109375</v>
      </c>
      <c r="AN647">
        <v>13797.19921875</v>
      </c>
      <c r="AO647">
        <v>13516.205078125</v>
      </c>
      <c r="AP647">
        <v>13235.2119140625</v>
      </c>
      <c r="AQ647">
        <v>12954.21875</v>
      </c>
      <c r="AR647">
        <v>12673.224609375</v>
      </c>
      <c r="AS647">
        <v>12392.2314453125</v>
      </c>
    </row>
    <row r="648" spans="4:45" x14ac:dyDescent="0.25">
      <c r="D648">
        <v>22000</v>
      </c>
      <c r="AA648">
        <v>17413.39453125</v>
      </c>
      <c r="AB648">
        <v>17145.39453125</v>
      </c>
      <c r="AC648">
        <v>16877.39453125</v>
      </c>
      <c r="AD648">
        <v>16609.39453125</v>
      </c>
      <c r="AE648">
        <v>16331.30078125</v>
      </c>
      <c r="AF648">
        <v>16053.2060546875</v>
      </c>
      <c r="AG648">
        <v>15775.1123046875</v>
      </c>
      <c r="AH648">
        <v>15497.017578125</v>
      </c>
      <c r="AI648">
        <v>15218.9228515625</v>
      </c>
      <c r="AJ648">
        <v>14936.099609375</v>
      </c>
      <c r="AK648">
        <v>14653.2763671875</v>
      </c>
      <c r="AL648">
        <v>14370.453125</v>
      </c>
      <c r="AM648">
        <v>14087.62890625</v>
      </c>
      <c r="AN648">
        <v>13804.8056640625</v>
      </c>
      <c r="AO648">
        <v>13525.8271484375</v>
      </c>
      <c r="AP648">
        <v>13246.8486328125</v>
      </c>
      <c r="AQ648">
        <v>12967.8701171875</v>
      </c>
      <c r="AR648">
        <v>12688.8916015625</v>
      </c>
      <c r="AS648">
        <v>12409.9130859375</v>
      </c>
    </row>
    <row r="649" spans="4:45" x14ac:dyDescent="0.25">
      <c r="D649">
        <v>23000</v>
      </c>
      <c r="AB649">
        <v>16892.712890625</v>
      </c>
      <c r="AC649">
        <v>16642.0859375</v>
      </c>
      <c r="AD649">
        <v>16391.458984375</v>
      </c>
      <c r="AE649">
        <v>16138.38671875</v>
      </c>
      <c r="AF649">
        <v>15885.3134765625</v>
      </c>
      <c r="AG649">
        <v>15632.240234375</v>
      </c>
      <c r="AH649">
        <v>15379.16796875</v>
      </c>
      <c r="AI649">
        <v>15126.0947265625</v>
      </c>
      <c r="AJ649">
        <v>14863.3583984375</v>
      </c>
      <c r="AK649">
        <v>14600.6220703125</v>
      </c>
      <c r="AL649">
        <v>14337.8857421875</v>
      </c>
      <c r="AM649">
        <v>14075.1494140625</v>
      </c>
      <c r="AN649">
        <v>13812.4130859375</v>
      </c>
      <c r="AO649">
        <v>13535.44921875</v>
      </c>
      <c r="AP649">
        <v>13258.4853515625</v>
      </c>
      <c r="AQ649">
        <v>12981.521484375</v>
      </c>
      <c r="AR649">
        <v>12704.55859375</v>
      </c>
      <c r="AS649">
        <v>12427.5947265625</v>
      </c>
    </row>
    <row r="650" spans="4:45" x14ac:dyDescent="0.25">
      <c r="D650">
        <v>24000</v>
      </c>
      <c r="AB650">
        <v>16640.029296875</v>
      </c>
      <c r="AC650">
        <v>16406.77734375</v>
      </c>
      <c r="AD650">
        <v>16173.5234375</v>
      </c>
      <c r="AE650">
        <v>15945.4716796875</v>
      </c>
      <c r="AF650">
        <v>15717.4208984375</v>
      </c>
      <c r="AG650">
        <v>15489.369140625</v>
      </c>
      <c r="AH650">
        <v>15261.3173828125</v>
      </c>
      <c r="AI650">
        <v>15033.265625</v>
      </c>
      <c r="AJ650">
        <v>14790.6171875</v>
      </c>
      <c r="AK650">
        <v>14547.9677734375</v>
      </c>
      <c r="AL650">
        <v>14305.318359375</v>
      </c>
      <c r="AM650">
        <v>14062.6689453125</v>
      </c>
      <c r="AN650">
        <v>13820.0205078125</v>
      </c>
      <c r="AO650">
        <v>13545.0712890625</v>
      </c>
      <c r="AP650">
        <v>13270.1220703125</v>
      </c>
      <c r="AQ650">
        <v>12995.173828125</v>
      </c>
      <c r="AR650">
        <v>12720.224609375</v>
      </c>
      <c r="AS650">
        <v>12445.2763671875</v>
      </c>
    </row>
    <row r="651" spans="4:45" x14ac:dyDescent="0.25">
      <c r="D651">
        <v>25000</v>
      </c>
      <c r="AC651">
        <v>16171.4677734375</v>
      </c>
      <c r="AD651">
        <v>15955.5869140625</v>
      </c>
      <c r="AE651">
        <v>15752.5576171875</v>
      </c>
      <c r="AF651">
        <v>15549.52734375</v>
      </c>
      <c r="AG651">
        <v>15346.4970703125</v>
      </c>
      <c r="AH651">
        <v>15143.4677734375</v>
      </c>
      <c r="AI651">
        <v>14940.4375</v>
      </c>
      <c r="AJ651">
        <v>14717.8759765625</v>
      </c>
      <c r="AK651">
        <v>14495.3134765625</v>
      </c>
      <c r="AL651">
        <v>14272.7509765625</v>
      </c>
      <c r="AM651">
        <v>14050.189453125</v>
      </c>
      <c r="AN651">
        <v>13827.626953125</v>
      </c>
      <c r="AO651">
        <v>13554.693359375</v>
      </c>
      <c r="AP651">
        <v>13281.759765625</v>
      </c>
      <c r="AQ651">
        <v>13008.8251953125</v>
      </c>
      <c r="AR651">
        <v>12735.8916015625</v>
      </c>
      <c r="AS651">
        <v>12462.9580078125</v>
      </c>
    </row>
    <row r="652" spans="4:45" x14ac:dyDescent="0.25">
      <c r="D652">
        <v>26000</v>
      </c>
      <c r="AC652">
        <v>15856.9404296875</v>
      </c>
      <c r="AD652">
        <v>15652.533203125</v>
      </c>
      <c r="AE652">
        <v>15461.982421875</v>
      </c>
      <c r="AF652">
        <v>15271.4326171875</v>
      </c>
      <c r="AG652">
        <v>15080.8828125</v>
      </c>
      <c r="AH652">
        <v>14890.3330078125</v>
      </c>
      <c r="AI652">
        <v>14699.783203125</v>
      </c>
      <c r="AJ652">
        <v>14494.634765625</v>
      </c>
      <c r="AK652">
        <v>14289.4873046875</v>
      </c>
      <c r="AL652">
        <v>14084.33984375</v>
      </c>
      <c r="AM652">
        <v>13879.1923828125</v>
      </c>
      <c r="AN652">
        <v>13674.0439453125</v>
      </c>
      <c r="AO652">
        <v>13426.357421875</v>
      </c>
      <c r="AP652">
        <v>13178.671875</v>
      </c>
      <c r="AQ652">
        <v>12930.9853515625</v>
      </c>
      <c r="AR652">
        <v>12683.298828125</v>
      </c>
      <c r="AS652">
        <v>12435.61328125</v>
      </c>
    </row>
    <row r="653" spans="4:45" x14ac:dyDescent="0.25">
      <c r="D653">
        <v>27000</v>
      </c>
      <c r="AD653">
        <v>15349.478515625</v>
      </c>
      <c r="AE653">
        <v>15171.408203125</v>
      </c>
      <c r="AF653">
        <v>14993.3388671875</v>
      </c>
      <c r="AG653">
        <v>14815.2685546875</v>
      </c>
      <c r="AH653">
        <v>14637.1982421875</v>
      </c>
      <c r="AI653">
        <v>14459.1279296875</v>
      </c>
      <c r="AJ653">
        <v>14271.39453125</v>
      </c>
      <c r="AK653">
        <v>14083.6611328125</v>
      </c>
      <c r="AL653">
        <v>13895.927734375</v>
      </c>
      <c r="AM653">
        <v>13708.1943359375</v>
      </c>
      <c r="AN653">
        <v>13520.4609375</v>
      </c>
      <c r="AO653">
        <v>13298.0224609375</v>
      </c>
      <c r="AP653">
        <v>13075.583984375</v>
      </c>
      <c r="AQ653">
        <v>12853.1455078125</v>
      </c>
      <c r="AR653">
        <v>12630.70703125</v>
      </c>
      <c r="AS653">
        <v>12408.2685546875</v>
      </c>
    </row>
    <row r="654" spans="4:45" x14ac:dyDescent="0.25">
      <c r="D654">
        <v>28000</v>
      </c>
      <c r="AD654">
        <v>15046.423828125</v>
      </c>
      <c r="AE654">
        <v>14880.833984375</v>
      </c>
      <c r="AF654">
        <v>14715.244140625</v>
      </c>
      <c r="AG654">
        <v>14549.6533203125</v>
      </c>
      <c r="AH654">
        <v>14384.0634765625</v>
      </c>
      <c r="AI654">
        <v>14218.4736328125</v>
      </c>
      <c r="AJ654">
        <v>14048.154296875</v>
      </c>
      <c r="AK654">
        <v>13877.8349609375</v>
      </c>
      <c r="AL654">
        <v>13707.5166015625</v>
      </c>
      <c r="AM654">
        <v>13537.197265625</v>
      </c>
      <c r="AN654">
        <v>13366.8779296875</v>
      </c>
      <c r="AO654">
        <v>13169.6875</v>
      </c>
      <c r="AP654">
        <v>12972.49609375</v>
      </c>
      <c r="AQ654">
        <v>12775.3056640625</v>
      </c>
      <c r="AR654">
        <v>12578.1142578125</v>
      </c>
      <c r="AS654">
        <v>12380.923828125</v>
      </c>
    </row>
    <row r="655" spans="4:45" x14ac:dyDescent="0.25">
      <c r="D655">
        <v>29000</v>
      </c>
      <c r="AE655">
        <v>14590.259765625</v>
      </c>
      <c r="AF655">
        <v>14437.1494140625</v>
      </c>
      <c r="AG655">
        <v>14284.0390625</v>
      </c>
      <c r="AH655">
        <v>14130.9287109375</v>
      </c>
      <c r="AI655">
        <v>13977.8193359375</v>
      </c>
      <c r="AJ655">
        <v>13824.9140625</v>
      </c>
      <c r="AK655">
        <v>13672.009765625</v>
      </c>
      <c r="AL655">
        <v>13519.1044921875</v>
      </c>
      <c r="AM655">
        <v>13366.2001953125</v>
      </c>
      <c r="AN655">
        <v>13213.294921875</v>
      </c>
      <c r="AO655">
        <v>13041.3515625</v>
      </c>
      <c r="AP655">
        <v>12869.408203125</v>
      </c>
      <c r="AQ655">
        <v>12697.46484375</v>
      </c>
      <c r="AR655">
        <v>12525.5224609375</v>
      </c>
      <c r="AS655">
        <v>12353.5791015625</v>
      </c>
    </row>
    <row r="656" spans="4:45" x14ac:dyDescent="0.25">
      <c r="D656">
        <v>30000</v>
      </c>
      <c r="AF656">
        <v>14159.0546875</v>
      </c>
      <c r="AG656">
        <v>14018.4248046875</v>
      </c>
      <c r="AH656">
        <v>13877.794921875</v>
      </c>
      <c r="AI656">
        <v>13737.1640625</v>
      </c>
      <c r="AJ656">
        <v>13601.673828125</v>
      </c>
      <c r="AK656">
        <v>13466.18359375</v>
      </c>
      <c r="AL656">
        <v>13330.6923828125</v>
      </c>
      <c r="AM656">
        <v>13195.2021484375</v>
      </c>
      <c r="AN656">
        <v>13059.7119140625</v>
      </c>
      <c r="AO656">
        <v>12913.0166015625</v>
      </c>
      <c r="AP656">
        <v>12766.3212890625</v>
      </c>
      <c r="AQ656">
        <v>12619.625</v>
      </c>
      <c r="AR656">
        <v>12472.9296875</v>
      </c>
      <c r="AS656">
        <v>12326.234375</v>
      </c>
    </row>
    <row r="657" spans="4:45" x14ac:dyDescent="0.25">
      <c r="D657">
        <v>31000</v>
      </c>
      <c r="AF657">
        <v>13843.5615234375</v>
      </c>
      <c r="AG657">
        <v>13712.697265625</v>
      </c>
      <c r="AH657">
        <v>13581.8330078125</v>
      </c>
      <c r="AI657">
        <v>13450.96875</v>
      </c>
      <c r="AJ657">
        <v>13324.2578125</v>
      </c>
      <c r="AK657">
        <v>13197.5458984375</v>
      </c>
      <c r="AL657">
        <v>13070.8349609375</v>
      </c>
      <c r="AM657">
        <v>12944.1240234375</v>
      </c>
      <c r="AN657">
        <v>12817.412109375</v>
      </c>
      <c r="AO657">
        <v>12682.39453125</v>
      </c>
      <c r="AP657">
        <v>12547.376953125</v>
      </c>
      <c r="AQ657">
        <v>12412.3603515625</v>
      </c>
      <c r="AR657">
        <v>12277.3427734375</v>
      </c>
      <c r="AS657">
        <v>12142.3251953125</v>
      </c>
    </row>
    <row r="658" spans="4:45" x14ac:dyDescent="0.25">
      <c r="D658">
        <v>32000</v>
      </c>
      <c r="AG658">
        <v>13406.9697265625</v>
      </c>
      <c r="AH658">
        <v>13285.8720703125</v>
      </c>
      <c r="AI658">
        <v>13164.7734375</v>
      </c>
      <c r="AJ658">
        <v>13046.841796875</v>
      </c>
      <c r="AK658">
        <v>12928.9091796875</v>
      </c>
      <c r="AL658">
        <v>12810.9775390625</v>
      </c>
      <c r="AM658">
        <v>12693.044921875</v>
      </c>
      <c r="AN658">
        <v>12575.1123046875</v>
      </c>
      <c r="AO658">
        <v>12451.7734375</v>
      </c>
      <c r="AP658">
        <v>12328.43359375</v>
      </c>
      <c r="AQ658">
        <v>12205.0947265625</v>
      </c>
      <c r="AR658">
        <v>12081.7548828125</v>
      </c>
      <c r="AS658">
        <v>11958.416015625</v>
      </c>
    </row>
    <row r="659" spans="4:45" x14ac:dyDescent="0.25">
      <c r="D659">
        <v>33000</v>
      </c>
      <c r="AH659">
        <v>12989.91015625</v>
      </c>
      <c r="AI659">
        <v>12878.578125</v>
      </c>
      <c r="AJ659">
        <v>12769.4248046875</v>
      </c>
      <c r="AK659">
        <v>12660.2724609375</v>
      </c>
      <c r="AL659">
        <v>12551.119140625</v>
      </c>
      <c r="AM659">
        <v>12441.9658203125</v>
      </c>
      <c r="AN659">
        <v>12332.8134765625</v>
      </c>
      <c r="AO659">
        <v>12221.1513671875</v>
      </c>
      <c r="AP659">
        <v>12109.490234375</v>
      </c>
      <c r="AQ659">
        <v>11997.8291015625</v>
      </c>
      <c r="AR659">
        <v>11886.16796875</v>
      </c>
      <c r="AS659">
        <v>11774.505859375</v>
      </c>
    </row>
    <row r="660" spans="4:45" x14ac:dyDescent="0.25">
      <c r="D660">
        <v>34000</v>
      </c>
      <c r="AI660">
        <v>12592.3828125</v>
      </c>
      <c r="AJ660">
        <v>12492.0087890625</v>
      </c>
      <c r="AK660">
        <v>12391.634765625</v>
      </c>
      <c r="AL660">
        <v>12291.26171875</v>
      </c>
      <c r="AM660">
        <v>12190.8876953125</v>
      </c>
      <c r="AN660">
        <v>12090.513671875</v>
      </c>
      <c r="AO660">
        <v>11990.5302734375</v>
      </c>
      <c r="AP660">
        <v>11890.546875</v>
      </c>
      <c r="AQ660">
        <v>11790.5634765625</v>
      </c>
      <c r="AR660">
        <v>11690.580078125</v>
      </c>
      <c r="AS660">
        <v>11590.5966796875</v>
      </c>
    </row>
    <row r="661" spans="4:45" x14ac:dyDescent="0.25">
      <c r="D661">
        <v>35000</v>
      </c>
      <c r="AJ661">
        <v>12214.5927734375</v>
      </c>
      <c r="AK661">
        <v>12122.998046875</v>
      </c>
      <c r="AL661">
        <v>12031.4033203125</v>
      </c>
      <c r="AM661">
        <v>11939.80859375</v>
      </c>
      <c r="AN661">
        <v>11848.2138671875</v>
      </c>
      <c r="AO661">
        <v>11759.9091796875</v>
      </c>
      <c r="AP661">
        <v>11671.603515625</v>
      </c>
      <c r="AQ661">
        <v>11583.2978515625</v>
      </c>
      <c r="AR661">
        <v>11494.9931640625</v>
      </c>
      <c r="AS661">
        <v>11406.6875</v>
      </c>
    </row>
    <row r="662" spans="4:45" x14ac:dyDescent="0.25">
      <c r="D662">
        <v>36000</v>
      </c>
      <c r="AL662">
        <v>11570.3251953125</v>
      </c>
      <c r="AM662">
        <v>11480.2314453125</v>
      </c>
      <c r="AN662">
        <v>11390.1376953125</v>
      </c>
      <c r="AO662">
        <v>11307.30078125</v>
      </c>
      <c r="AP662">
        <v>11224.46484375</v>
      </c>
      <c r="AQ662">
        <v>11141.6279296875</v>
      </c>
      <c r="AR662">
        <v>11058.7919921875</v>
      </c>
      <c r="AS662">
        <v>10975.955078125</v>
      </c>
    </row>
    <row r="663" spans="4:45" x14ac:dyDescent="0.25">
      <c r="D663">
        <v>37000</v>
      </c>
      <c r="AN663">
        <v>10932.060546875</v>
      </c>
      <c r="AO663">
        <v>10854.693359375</v>
      </c>
      <c r="AP663">
        <v>10777.3251953125</v>
      </c>
      <c r="AQ663">
        <v>10699.9580078125</v>
      </c>
      <c r="AR663">
        <v>10622.5908203125</v>
      </c>
    </row>
    <row r="664" spans="4:45" x14ac:dyDescent="0.25">
      <c r="D664">
        <v>38000</v>
      </c>
    </row>
    <row r="665" spans="4:45" x14ac:dyDescent="0.25">
      <c r="D665">
        <v>39000</v>
      </c>
    </row>
    <row r="666" spans="4:45" x14ac:dyDescent="0.25">
      <c r="D666">
        <v>40000</v>
      </c>
    </row>
    <row r="667" spans="4:45" x14ac:dyDescent="0.25">
      <c r="D667">
        <v>41000</v>
      </c>
    </row>
    <row r="668" spans="4:45" x14ac:dyDescent="0.25">
      <c r="D668">
        <v>42000</v>
      </c>
    </row>
    <row r="669" spans="4:45" x14ac:dyDescent="0.25">
      <c r="D669">
        <v>43000</v>
      </c>
    </row>
    <row r="670" spans="4:45" x14ac:dyDescent="0.25">
      <c r="D670">
        <v>44000</v>
      </c>
    </row>
    <row r="671" spans="4:45" x14ac:dyDescent="0.25">
      <c r="D671">
        <v>45000</v>
      </c>
    </row>
    <row r="672" spans="4:45" x14ac:dyDescent="0.25">
      <c r="D672">
        <v>46000</v>
      </c>
    </row>
    <row r="673" spans="3:55" x14ac:dyDescent="0.25">
      <c r="D673">
        <v>47000</v>
      </c>
    </row>
    <row r="674" spans="3:55" x14ac:dyDescent="0.25">
      <c r="D674">
        <v>48000</v>
      </c>
    </row>
    <row r="675" spans="3:55" x14ac:dyDescent="0.25">
      <c r="D675">
        <v>49000</v>
      </c>
    </row>
    <row r="676" spans="3:55" x14ac:dyDescent="0.25">
      <c r="D676">
        <v>50000</v>
      </c>
    </row>
    <row r="677" spans="3:55" x14ac:dyDescent="0.25">
      <c r="C677" t="s">
        <v>146</v>
      </c>
      <c r="D677" t="s">
        <v>133</v>
      </c>
      <c r="E677">
        <v>0</v>
      </c>
      <c r="F677">
        <v>0.02</v>
      </c>
      <c r="G677">
        <v>0.04</v>
      </c>
      <c r="H677">
        <v>0.06</v>
      </c>
      <c r="I677">
        <v>0.08</v>
      </c>
      <c r="J677">
        <v>0.1</v>
      </c>
      <c r="K677">
        <v>0.12</v>
      </c>
      <c r="L677">
        <v>0.14000000000000001</v>
      </c>
      <c r="M677">
        <v>0.16</v>
      </c>
      <c r="N677">
        <v>0.18</v>
      </c>
      <c r="O677">
        <v>0.2</v>
      </c>
      <c r="P677">
        <v>0.22</v>
      </c>
      <c r="Q677">
        <v>0.24</v>
      </c>
      <c r="R677">
        <v>0.26</v>
      </c>
      <c r="S677">
        <v>0.28000000000000003</v>
      </c>
      <c r="T677">
        <v>0.3</v>
      </c>
      <c r="U677">
        <v>0.32</v>
      </c>
      <c r="V677">
        <v>0.34</v>
      </c>
      <c r="W677">
        <v>0.36</v>
      </c>
      <c r="X677">
        <v>0.38</v>
      </c>
      <c r="Y677">
        <v>0.4</v>
      </c>
      <c r="Z677">
        <v>0.42</v>
      </c>
      <c r="AA677">
        <v>0.44</v>
      </c>
      <c r="AB677">
        <v>0.46</v>
      </c>
      <c r="AC677">
        <v>0.48</v>
      </c>
      <c r="AD677">
        <v>0.5</v>
      </c>
      <c r="AE677">
        <v>0.52</v>
      </c>
      <c r="AF677">
        <v>0.54</v>
      </c>
      <c r="AG677">
        <v>0.56000000000000005</v>
      </c>
      <c r="AH677">
        <v>0.57999999999999996</v>
      </c>
      <c r="AI677">
        <v>0.6</v>
      </c>
      <c r="AJ677">
        <v>0.62</v>
      </c>
      <c r="AK677">
        <v>0.64</v>
      </c>
      <c r="AL677">
        <v>0.66</v>
      </c>
      <c r="AM677">
        <v>0.68</v>
      </c>
      <c r="AN677">
        <v>0.7</v>
      </c>
      <c r="AO677">
        <v>0.72</v>
      </c>
      <c r="AP677">
        <v>0.74</v>
      </c>
      <c r="AQ677">
        <v>0.76</v>
      </c>
      <c r="AR677">
        <v>0.78</v>
      </c>
      <c r="AS677">
        <v>0.8</v>
      </c>
      <c r="AT677">
        <v>0.82</v>
      </c>
      <c r="AU677">
        <v>0.84</v>
      </c>
      <c r="AV677">
        <v>0.86</v>
      </c>
      <c r="AW677">
        <v>0.88</v>
      </c>
      <c r="AX677">
        <v>0.9</v>
      </c>
      <c r="AY677">
        <v>0.92</v>
      </c>
      <c r="AZ677">
        <v>0.94</v>
      </c>
      <c r="BA677">
        <v>0.96</v>
      </c>
      <c r="BB677">
        <v>0.98</v>
      </c>
      <c r="BC677">
        <v>1</v>
      </c>
    </row>
    <row r="678" spans="3:55" x14ac:dyDescent="0.25">
      <c r="D678">
        <v>0</v>
      </c>
      <c r="R678">
        <v>2030.5054931640625</v>
      </c>
      <c r="S678">
        <v>2334.690673828125</v>
      </c>
      <c r="T678">
        <v>2638.876220703125</v>
      </c>
      <c r="U678">
        <v>2429.986572265625</v>
      </c>
      <c r="V678">
        <v>2221.096923828125</v>
      </c>
      <c r="W678">
        <v>2012.207275390625</v>
      </c>
      <c r="X678">
        <v>1803.3177490234375</v>
      </c>
      <c r="Y678">
        <v>1594.4281005859375</v>
      </c>
      <c r="Z678">
        <v>1418.845703125</v>
      </c>
      <c r="AA678">
        <v>1243.26318359375</v>
      </c>
      <c r="AB678">
        <v>1067.6807861328125</v>
      </c>
      <c r="AC678">
        <v>892.098388671875</v>
      </c>
      <c r="AD678">
        <v>716.51593017578125</v>
      </c>
      <c r="AE678">
        <v>618.13641357421875</v>
      </c>
      <c r="AF678">
        <v>519.7568359375</v>
      </c>
      <c r="AG678">
        <v>421.37725830078125</v>
      </c>
      <c r="AH678">
        <v>322.9976806640625</v>
      </c>
      <c r="AI678">
        <v>224.61808776855469</v>
      </c>
      <c r="AJ678">
        <v>145.97605895996094</v>
      </c>
      <c r="AK678">
        <v>67.334037780761719</v>
      </c>
    </row>
    <row r="679" spans="3:55" x14ac:dyDescent="0.25">
      <c r="D679">
        <v>1000</v>
      </c>
      <c r="S679">
        <v>2454.84326171875</v>
      </c>
      <c r="T679">
        <v>2750.825439453125</v>
      </c>
      <c r="U679">
        <v>2543.21044921875</v>
      </c>
      <c r="V679">
        <v>2335.595458984375</v>
      </c>
      <c r="W679">
        <v>2127.980712890625</v>
      </c>
      <c r="X679">
        <v>1920.36572265625</v>
      </c>
      <c r="Y679">
        <v>1712.7508544921875</v>
      </c>
      <c r="Z679">
        <v>1536.8599853515625</v>
      </c>
      <c r="AA679">
        <v>1360.96923828125</v>
      </c>
      <c r="AB679">
        <v>1185.078369140625</v>
      </c>
      <c r="AC679">
        <v>1009.1875610351563</v>
      </c>
      <c r="AD679">
        <v>833.2967529296875</v>
      </c>
      <c r="AE679">
        <v>730.887451171875</v>
      </c>
      <c r="AF679">
        <v>628.47808837890625</v>
      </c>
      <c r="AG679">
        <v>526.06878662109375</v>
      </c>
      <c r="AH679">
        <v>423.65945434570313</v>
      </c>
      <c r="AI679">
        <v>321.25009155273438</v>
      </c>
      <c r="AJ679">
        <v>240.03805541992188</v>
      </c>
      <c r="AK679">
        <v>158.82603454589844</v>
      </c>
      <c r="AL679">
        <v>77.614013671875</v>
      </c>
    </row>
    <row r="680" spans="3:55" x14ac:dyDescent="0.25">
      <c r="D680">
        <v>2000</v>
      </c>
      <c r="S680">
        <v>2574.995849609375</v>
      </c>
      <c r="T680">
        <v>2862.7744140625</v>
      </c>
      <c r="U680">
        <v>2656.434326171875</v>
      </c>
      <c r="V680">
        <v>2450.09423828125</v>
      </c>
      <c r="W680">
        <v>2243.75390625</v>
      </c>
      <c r="X680">
        <v>2037.413818359375</v>
      </c>
      <c r="Y680">
        <v>1831.0736083984375</v>
      </c>
      <c r="Z680">
        <v>1654.8743896484375</v>
      </c>
      <c r="AA680">
        <v>1478.6751708984375</v>
      </c>
      <c r="AB680">
        <v>1302.4759521484375</v>
      </c>
      <c r="AC680">
        <v>1126.2767333984375</v>
      </c>
      <c r="AD680">
        <v>950.07757568359375</v>
      </c>
      <c r="AE680">
        <v>843.63848876953125</v>
      </c>
      <c r="AF680">
        <v>737.19940185546875</v>
      </c>
      <c r="AG680">
        <v>630.76031494140625</v>
      </c>
      <c r="AH680">
        <v>524.32122802734375</v>
      </c>
      <c r="AI680">
        <v>417.882080078125</v>
      </c>
      <c r="AJ680">
        <v>334.10006713867188</v>
      </c>
      <c r="AK680">
        <v>250.31803894042969</v>
      </c>
      <c r="AL680">
        <v>166.5360107421875</v>
      </c>
    </row>
    <row r="681" spans="3:55" x14ac:dyDescent="0.25">
      <c r="D681">
        <v>3000</v>
      </c>
      <c r="S681">
        <v>2695.1484375</v>
      </c>
      <c r="T681">
        <v>2974.7236328125</v>
      </c>
      <c r="U681">
        <v>2769.658203125</v>
      </c>
      <c r="V681">
        <v>2564.5927734375</v>
      </c>
      <c r="W681">
        <v>2359.52734375</v>
      </c>
      <c r="X681">
        <v>2154.4619140625</v>
      </c>
      <c r="Y681">
        <v>1949.3963623046875</v>
      </c>
      <c r="Z681">
        <v>1772.8887939453125</v>
      </c>
      <c r="AA681">
        <v>1596.3812255859375</v>
      </c>
      <c r="AB681">
        <v>1419.87353515625</v>
      </c>
      <c r="AC681">
        <v>1243.365966796875</v>
      </c>
      <c r="AD681">
        <v>1066.8583984375</v>
      </c>
      <c r="AE681">
        <v>956.3895263671875</v>
      </c>
      <c r="AF681">
        <v>845.920654296875</v>
      </c>
      <c r="AG681">
        <v>735.4517822265625</v>
      </c>
      <c r="AH681">
        <v>624.98297119140625</v>
      </c>
      <c r="AI681">
        <v>514.51409912109375</v>
      </c>
      <c r="AJ681">
        <v>428.16204833984375</v>
      </c>
      <c r="AK681">
        <v>341.81002807617188</v>
      </c>
      <c r="AL681">
        <v>255.4580078125</v>
      </c>
      <c r="AM681">
        <v>169.10597229003906</v>
      </c>
    </row>
    <row r="682" spans="3:55" x14ac:dyDescent="0.25">
      <c r="D682">
        <v>4000</v>
      </c>
      <c r="S682">
        <v>2815.301025390625</v>
      </c>
      <c r="T682">
        <v>3086.6728515625</v>
      </c>
      <c r="U682">
        <v>2882.882080078125</v>
      </c>
      <c r="V682">
        <v>2679.09130859375</v>
      </c>
      <c r="W682">
        <v>2475.300537109375</v>
      </c>
      <c r="X682">
        <v>2271.510009765625</v>
      </c>
      <c r="Y682">
        <v>2067.71923828125</v>
      </c>
      <c r="Z682">
        <v>1890.9031982421875</v>
      </c>
      <c r="AA682">
        <v>1714.087158203125</v>
      </c>
      <c r="AB682">
        <v>1537.2711181640625</v>
      </c>
      <c r="AC682">
        <v>1360.4552001953125</v>
      </c>
      <c r="AD682">
        <v>1183.63916015625</v>
      </c>
      <c r="AE682">
        <v>1069.1405029296875</v>
      </c>
      <c r="AF682">
        <v>954.6419677734375</v>
      </c>
      <c r="AG682">
        <v>840.143310546875</v>
      </c>
      <c r="AH682">
        <v>725.64471435546875</v>
      </c>
      <c r="AI682">
        <v>611.14605712890625</v>
      </c>
      <c r="AJ682">
        <v>522.22406005859375</v>
      </c>
      <c r="AK682">
        <v>433.30203247070313</v>
      </c>
      <c r="AL682">
        <v>344.3800048828125</v>
      </c>
      <c r="AM682">
        <v>255.45797729492188</v>
      </c>
    </row>
    <row r="683" spans="3:55" x14ac:dyDescent="0.25">
      <c r="D683">
        <v>5000</v>
      </c>
      <c r="T683">
        <v>3198.6220703125</v>
      </c>
      <c r="U683">
        <v>2996.10595703125</v>
      </c>
      <c r="V683">
        <v>2793.58984375</v>
      </c>
      <c r="W683">
        <v>2591.073974609375</v>
      </c>
      <c r="X683">
        <v>2388.557861328125</v>
      </c>
      <c r="Y683">
        <v>2186.0419921875</v>
      </c>
      <c r="Z683">
        <v>2008.91748046875</v>
      </c>
      <c r="AA683">
        <v>1831.7930908203125</v>
      </c>
      <c r="AB683">
        <v>1654.668701171875</v>
      </c>
      <c r="AC683">
        <v>1477.5443115234375</v>
      </c>
      <c r="AD683">
        <v>1300.419921875</v>
      </c>
      <c r="AE683">
        <v>1181.8916015625</v>
      </c>
      <c r="AF683">
        <v>1063.36328125</v>
      </c>
      <c r="AG683">
        <v>944.8348388671875</v>
      </c>
      <c r="AH683">
        <v>826.30645751953125</v>
      </c>
      <c r="AI683">
        <v>707.778076171875</v>
      </c>
      <c r="AJ683">
        <v>616.28607177734375</v>
      </c>
      <c r="AK683">
        <v>524.79400634765625</v>
      </c>
      <c r="AL683">
        <v>433.302001953125</v>
      </c>
      <c r="AM683">
        <v>341.80996704101563</v>
      </c>
      <c r="AN683">
        <v>250.31794738769531</v>
      </c>
    </row>
    <row r="684" spans="3:55" x14ac:dyDescent="0.25">
      <c r="D684">
        <v>6000</v>
      </c>
      <c r="T684">
        <v>3281.684326171875</v>
      </c>
      <c r="U684">
        <v>3081.820556640625</v>
      </c>
      <c r="V684">
        <v>2881.956787109375</v>
      </c>
      <c r="W684">
        <v>2682.093017578125</v>
      </c>
      <c r="X684">
        <v>2482.229248046875</v>
      </c>
      <c r="Y684">
        <v>2282.365478515625</v>
      </c>
      <c r="Z684">
        <v>2106.885986328125</v>
      </c>
      <c r="AA684">
        <v>1931.4063720703125</v>
      </c>
      <c r="AB684">
        <v>1755.9267578125</v>
      </c>
      <c r="AC684">
        <v>1580.4471435546875</v>
      </c>
      <c r="AD684">
        <v>1404.967529296875</v>
      </c>
      <c r="AE684">
        <v>1284.40380859375</v>
      </c>
      <c r="AF684">
        <v>1163.8399658203125</v>
      </c>
      <c r="AG684">
        <v>1043.276123046875</v>
      </c>
      <c r="AH684">
        <v>922.71234130859375</v>
      </c>
      <c r="AI684">
        <v>802.14849853515625</v>
      </c>
      <c r="AJ684">
        <v>708.33319091796875</v>
      </c>
      <c r="AK684">
        <v>614.51788330078125</v>
      </c>
      <c r="AL684">
        <v>520.70257568359375</v>
      </c>
      <c r="AM684">
        <v>426.88723754882813</v>
      </c>
      <c r="AN684">
        <v>333.07192993164063</v>
      </c>
    </row>
    <row r="685" spans="3:55" x14ac:dyDescent="0.25">
      <c r="D685">
        <v>7000</v>
      </c>
      <c r="U685">
        <v>3167.53515625</v>
      </c>
      <c r="V685">
        <v>2970.32373046875</v>
      </c>
      <c r="W685">
        <v>2773.1123046875</v>
      </c>
      <c r="X685">
        <v>2575.900634765625</v>
      </c>
      <c r="Y685">
        <v>2378.689208984375</v>
      </c>
      <c r="Z685">
        <v>2204.854248046875</v>
      </c>
      <c r="AA685">
        <v>2031.01953125</v>
      </c>
      <c r="AB685">
        <v>1857.184814453125</v>
      </c>
      <c r="AC685">
        <v>1683.3499755859375</v>
      </c>
      <c r="AD685">
        <v>1509.51513671875</v>
      </c>
      <c r="AE685">
        <v>1386.9158935546875</v>
      </c>
      <c r="AF685">
        <v>1264.316650390625</v>
      </c>
      <c r="AG685">
        <v>1141.7174072265625</v>
      </c>
      <c r="AH685">
        <v>1019.1181640625</v>
      </c>
      <c r="AI685">
        <v>896.51885986328125</v>
      </c>
      <c r="AJ685">
        <v>800.38031005859375</v>
      </c>
      <c r="AK685">
        <v>704.24169921875</v>
      </c>
      <c r="AL685">
        <v>608.10308837890625</v>
      </c>
      <c r="AM685">
        <v>511.96450805664063</v>
      </c>
      <c r="AN685">
        <v>415.825927734375</v>
      </c>
      <c r="AO685">
        <v>326.63668823242188</v>
      </c>
    </row>
    <row r="686" spans="3:55" x14ac:dyDescent="0.25">
      <c r="D686">
        <v>8000</v>
      </c>
      <c r="U686">
        <v>3253.249755859375</v>
      </c>
      <c r="V686">
        <v>3058.690673828125</v>
      </c>
      <c r="W686">
        <v>2864.13134765625</v>
      </c>
      <c r="X686">
        <v>2669.572021484375</v>
      </c>
      <c r="Y686">
        <v>2475.0126953125</v>
      </c>
      <c r="Z686">
        <v>2302.82275390625</v>
      </c>
      <c r="AA686">
        <v>2130.6328125</v>
      </c>
      <c r="AB686">
        <v>1958.4427490234375</v>
      </c>
      <c r="AC686">
        <v>1786.2528076171875</v>
      </c>
      <c r="AD686">
        <v>1614.062744140625</v>
      </c>
      <c r="AE686">
        <v>1489.4281005859375</v>
      </c>
      <c r="AF686">
        <v>1364.79345703125</v>
      </c>
      <c r="AG686">
        <v>1240.15869140625</v>
      </c>
      <c r="AH686">
        <v>1115.5240478515625</v>
      </c>
      <c r="AI686">
        <v>990.8892822265625</v>
      </c>
      <c r="AJ686">
        <v>892.42742919921875</v>
      </c>
      <c r="AK686">
        <v>793.96551513671875</v>
      </c>
      <c r="AL686">
        <v>695.503662109375</v>
      </c>
      <c r="AM686">
        <v>597.04180908203125</v>
      </c>
      <c r="AN686">
        <v>498.57992553710938</v>
      </c>
      <c r="AO686">
        <v>408.79443359375</v>
      </c>
    </row>
    <row r="687" spans="3:55" x14ac:dyDescent="0.25">
      <c r="D687">
        <v>9000</v>
      </c>
      <c r="V687">
        <v>3147.057373046875</v>
      </c>
      <c r="W687">
        <v>2955.150390625</v>
      </c>
      <c r="X687">
        <v>2763.243408203125</v>
      </c>
      <c r="Y687">
        <v>2571.33642578125</v>
      </c>
      <c r="Z687">
        <v>2400.791259765625</v>
      </c>
      <c r="AA687">
        <v>2230.24609375</v>
      </c>
      <c r="AB687">
        <v>2059.70068359375</v>
      </c>
      <c r="AC687">
        <v>1889.1556396484375</v>
      </c>
      <c r="AD687">
        <v>1718.6103515625</v>
      </c>
      <c r="AE687">
        <v>1591.9403076171875</v>
      </c>
      <c r="AF687">
        <v>1465.2701416015625</v>
      </c>
      <c r="AG687">
        <v>1338.5999755859375</v>
      </c>
      <c r="AH687">
        <v>1211.9298095703125</v>
      </c>
      <c r="AI687">
        <v>1085.2596435546875</v>
      </c>
      <c r="AJ687">
        <v>984.47454833984375</v>
      </c>
      <c r="AK687">
        <v>883.68939208984375</v>
      </c>
      <c r="AL687">
        <v>782.90423583984375</v>
      </c>
      <c r="AM687">
        <v>682.11907958984375</v>
      </c>
      <c r="AN687">
        <v>581.33392333984375</v>
      </c>
      <c r="AO687">
        <v>490.95217895507813</v>
      </c>
      <c r="AP687">
        <v>400.57046508789063</v>
      </c>
    </row>
    <row r="688" spans="3:55" x14ac:dyDescent="0.25">
      <c r="D688">
        <v>10000</v>
      </c>
      <c r="V688">
        <v>3235.42431640625</v>
      </c>
      <c r="W688">
        <v>3046.16943359375</v>
      </c>
      <c r="X688">
        <v>2856.914794921875</v>
      </c>
      <c r="Y688">
        <v>2667.659912109375</v>
      </c>
      <c r="Z688">
        <v>2498.759521484375</v>
      </c>
      <c r="AA688">
        <v>2329.859130859375</v>
      </c>
      <c r="AB688">
        <v>2160.958740234375</v>
      </c>
      <c r="AC688">
        <v>1992.058349609375</v>
      </c>
      <c r="AD688">
        <v>1823.157958984375</v>
      </c>
      <c r="AE688">
        <v>1694.452392578125</v>
      </c>
      <c r="AF688">
        <v>1565.746826171875</v>
      </c>
      <c r="AG688">
        <v>1437.041259765625</v>
      </c>
      <c r="AH688">
        <v>1308.335693359375</v>
      </c>
      <c r="AI688">
        <v>1179.630126953125</v>
      </c>
      <c r="AJ688">
        <v>1076.5216064453125</v>
      </c>
      <c r="AK688">
        <v>973.4132080078125</v>
      </c>
      <c r="AL688">
        <v>870.3048095703125</v>
      </c>
      <c r="AM688">
        <v>767.19635009765625</v>
      </c>
      <c r="AN688">
        <v>664.087890625</v>
      </c>
      <c r="AO688">
        <v>573.10992431640625</v>
      </c>
      <c r="AP688">
        <v>482.1319580078125</v>
      </c>
    </row>
    <row r="689" spans="4:45" x14ac:dyDescent="0.25">
      <c r="D689">
        <v>11000</v>
      </c>
      <c r="V689">
        <v>3320.2138671875</v>
      </c>
      <c r="W689">
        <v>3133.26171875</v>
      </c>
      <c r="X689">
        <v>2946.3095703125</v>
      </c>
      <c r="Y689">
        <v>2759.357666015625</v>
      </c>
      <c r="Z689">
        <v>2591.855224609375</v>
      </c>
      <c r="AA689">
        <v>2424.35302734375</v>
      </c>
      <c r="AB689">
        <v>2256.8505859375</v>
      </c>
      <c r="AC689">
        <v>2089.348388671875</v>
      </c>
      <c r="AD689">
        <v>1921.8460693359375</v>
      </c>
      <c r="AE689">
        <v>1791.4544677734375</v>
      </c>
      <c r="AF689">
        <v>1661.06298828125</v>
      </c>
      <c r="AG689">
        <v>1530.6715087890625</v>
      </c>
      <c r="AH689">
        <v>1400.280029296875</v>
      </c>
      <c r="AI689">
        <v>1269.888427734375</v>
      </c>
      <c r="AJ689">
        <v>1164.9501953125</v>
      </c>
      <c r="AK689">
        <v>1060.011962890625</v>
      </c>
      <c r="AL689">
        <v>955.07366943359375</v>
      </c>
      <c r="AM689">
        <v>850.1353759765625</v>
      </c>
      <c r="AN689">
        <v>745.1971435546875</v>
      </c>
      <c r="AO689">
        <v>653.581787109375</v>
      </c>
      <c r="AP689">
        <v>561.9664306640625</v>
      </c>
    </row>
    <row r="690" spans="4:45" x14ac:dyDescent="0.25">
      <c r="D690">
        <v>12000</v>
      </c>
      <c r="W690">
        <v>3220.353759765625</v>
      </c>
      <c r="X690">
        <v>3035.70458984375</v>
      </c>
      <c r="Y690">
        <v>2851.05517578125</v>
      </c>
      <c r="Z690">
        <v>2684.950927734375</v>
      </c>
      <c r="AA690">
        <v>2518.8466796875</v>
      </c>
      <c r="AB690">
        <v>2352.742431640625</v>
      </c>
      <c r="AC690">
        <v>2186.63818359375</v>
      </c>
      <c r="AD690">
        <v>2020.5340576171875</v>
      </c>
      <c r="AE690">
        <v>1888.45654296875</v>
      </c>
      <c r="AF690">
        <v>1756.379150390625</v>
      </c>
      <c r="AG690">
        <v>1624.3017578125</v>
      </c>
      <c r="AH690">
        <v>1492.224365234375</v>
      </c>
      <c r="AI690">
        <v>1360.1468505859375</v>
      </c>
      <c r="AJ690">
        <v>1253.3787841796875</v>
      </c>
      <c r="AK690">
        <v>1146.610595703125</v>
      </c>
      <c r="AL690">
        <v>1039.842529296875</v>
      </c>
      <c r="AM690">
        <v>933.07440185546875</v>
      </c>
      <c r="AN690">
        <v>826.30633544921875</v>
      </c>
      <c r="AO690">
        <v>734.05364990234375</v>
      </c>
      <c r="AP690">
        <v>641.80096435546875</v>
      </c>
      <c r="AQ690">
        <v>549.5482177734375</v>
      </c>
    </row>
    <row r="691" spans="4:45" x14ac:dyDescent="0.25">
      <c r="D691">
        <v>13000</v>
      </c>
      <c r="W691">
        <v>3307.446044921875</v>
      </c>
      <c r="X691">
        <v>3125.099365234375</v>
      </c>
      <c r="Y691">
        <v>2942.7529296875</v>
      </c>
      <c r="Z691">
        <v>2778.046630859375</v>
      </c>
      <c r="AA691">
        <v>2613.340576171875</v>
      </c>
      <c r="AB691">
        <v>2448.63427734375</v>
      </c>
      <c r="AC691">
        <v>2283.92822265625</v>
      </c>
      <c r="AD691">
        <v>2119.221923828125</v>
      </c>
      <c r="AE691">
        <v>1985.4586181640625</v>
      </c>
      <c r="AF691">
        <v>1851.6953125</v>
      </c>
      <c r="AG691">
        <v>1717.9320068359375</v>
      </c>
      <c r="AH691">
        <v>1584.1685791015625</v>
      </c>
      <c r="AI691">
        <v>1450.4052734375</v>
      </c>
      <c r="AJ691">
        <v>1341.8072509765625</v>
      </c>
      <c r="AK691">
        <v>1233.2093505859375</v>
      </c>
      <c r="AL691">
        <v>1124.6114501953125</v>
      </c>
      <c r="AM691">
        <v>1016.0134887695313</v>
      </c>
      <c r="AN691">
        <v>907.41552734375</v>
      </c>
      <c r="AO691">
        <v>814.52545166015625</v>
      </c>
      <c r="AP691">
        <v>721.63543701171875</v>
      </c>
      <c r="AQ691">
        <v>628.745361328125</v>
      </c>
    </row>
    <row r="692" spans="4:45" x14ac:dyDescent="0.25">
      <c r="D692">
        <v>14000</v>
      </c>
      <c r="X692">
        <v>3214.494384765625</v>
      </c>
      <c r="Y692">
        <v>3034.450439453125</v>
      </c>
      <c r="Z692">
        <v>2871.142333984375</v>
      </c>
      <c r="AA692">
        <v>2707.834228515625</v>
      </c>
      <c r="AB692">
        <v>2544.526123046875</v>
      </c>
      <c r="AC692">
        <v>2381.218017578125</v>
      </c>
      <c r="AD692">
        <v>2217.909912109375</v>
      </c>
      <c r="AE692">
        <v>2082.460693359375</v>
      </c>
      <c r="AF692">
        <v>1947.011474609375</v>
      </c>
      <c r="AG692">
        <v>1811.562255859375</v>
      </c>
      <c r="AH692">
        <v>1676.1129150390625</v>
      </c>
      <c r="AI692">
        <v>1540.6636962890625</v>
      </c>
      <c r="AJ692">
        <v>1430.23583984375</v>
      </c>
      <c r="AK692">
        <v>1319.80810546875</v>
      </c>
      <c r="AL692">
        <v>1209.3802490234375</v>
      </c>
      <c r="AM692">
        <v>1098.9525146484375</v>
      </c>
      <c r="AN692">
        <v>988.52471923828125</v>
      </c>
      <c r="AO692">
        <v>894.997314453125</v>
      </c>
      <c r="AP692">
        <v>801.46990966796875</v>
      </c>
      <c r="AQ692">
        <v>707.9425048828125</v>
      </c>
      <c r="AR692">
        <v>614.4150390625</v>
      </c>
    </row>
    <row r="693" spans="4:45" x14ac:dyDescent="0.25">
      <c r="D693">
        <v>15000</v>
      </c>
      <c r="X693">
        <v>3303.88916015625</v>
      </c>
      <c r="Y693">
        <v>3126.14794921875</v>
      </c>
      <c r="Z693">
        <v>2964.238037109375</v>
      </c>
      <c r="AA693">
        <v>2802.328125</v>
      </c>
      <c r="AB693">
        <v>2640.41796875</v>
      </c>
      <c r="AC693">
        <v>2478.508056640625</v>
      </c>
      <c r="AD693">
        <v>2316.597900390625</v>
      </c>
      <c r="AE693">
        <v>2179.462890625</v>
      </c>
      <c r="AF693">
        <v>2042.32763671875</v>
      </c>
      <c r="AG693">
        <v>1905.1923828125</v>
      </c>
      <c r="AH693">
        <v>1768.0572509765625</v>
      </c>
      <c r="AI693">
        <v>1630.9219970703125</v>
      </c>
      <c r="AJ693">
        <v>1518.6644287109375</v>
      </c>
      <c r="AK693">
        <v>1406.40673828125</v>
      </c>
      <c r="AL693">
        <v>1294.149169921875</v>
      </c>
      <c r="AM693">
        <v>1181.8916015625</v>
      </c>
      <c r="AN693">
        <v>1069.6339111328125</v>
      </c>
      <c r="AO693">
        <v>975.46917724609375</v>
      </c>
      <c r="AP693">
        <v>881.30438232421875</v>
      </c>
      <c r="AQ693">
        <v>787.13958740234375</v>
      </c>
      <c r="AR693">
        <v>692.97479248046875</v>
      </c>
    </row>
    <row r="694" spans="4:45" x14ac:dyDescent="0.25">
      <c r="D694">
        <v>16000</v>
      </c>
      <c r="X694">
        <v>3388.94580078125</v>
      </c>
      <c r="Y694">
        <v>3213.42529296875</v>
      </c>
      <c r="Z694">
        <v>3052.0498046875</v>
      </c>
      <c r="AA694">
        <v>2890.67431640625</v>
      </c>
      <c r="AB694">
        <v>2729.298828125</v>
      </c>
      <c r="AC694">
        <v>2567.92333984375</v>
      </c>
      <c r="AD694">
        <v>2406.548095703125</v>
      </c>
      <c r="AE694">
        <v>2268.508056640625</v>
      </c>
      <c r="AF694">
        <v>2130.46826171875</v>
      </c>
      <c r="AG694">
        <v>1992.428466796875</v>
      </c>
      <c r="AH694">
        <v>1854.388671875</v>
      </c>
      <c r="AI694">
        <v>1716.348876953125</v>
      </c>
      <c r="AJ694">
        <v>1602.5286865234375</v>
      </c>
      <c r="AK694">
        <v>1488.70849609375</v>
      </c>
      <c r="AL694">
        <v>1374.8883056640625</v>
      </c>
      <c r="AM694">
        <v>1261.068115234375</v>
      </c>
      <c r="AN694">
        <v>1147.2479248046875</v>
      </c>
      <c r="AO694">
        <v>1052.7952880859375</v>
      </c>
      <c r="AP694">
        <v>958.34271240234375</v>
      </c>
      <c r="AQ694">
        <v>863.89007568359375</v>
      </c>
      <c r="AR694">
        <v>769.43743896484375</v>
      </c>
    </row>
    <row r="695" spans="4:45" x14ac:dyDescent="0.25">
      <c r="D695">
        <v>17000</v>
      </c>
      <c r="Y695">
        <v>3300.702392578125</v>
      </c>
      <c r="Z695">
        <v>3139.861572265625</v>
      </c>
      <c r="AA695">
        <v>2979.0205078125</v>
      </c>
      <c r="AB695">
        <v>2818.1796875</v>
      </c>
      <c r="AC695">
        <v>2657.3388671875</v>
      </c>
      <c r="AD695">
        <v>2496.498046875</v>
      </c>
      <c r="AE695">
        <v>2357.553466796875</v>
      </c>
      <c r="AF695">
        <v>2218.609130859375</v>
      </c>
      <c r="AG695">
        <v>2079.66455078125</v>
      </c>
      <c r="AH695">
        <v>1940.7200927734375</v>
      </c>
      <c r="AI695">
        <v>1801.775634765625</v>
      </c>
      <c r="AJ695">
        <v>1686.3929443359375</v>
      </c>
      <c r="AK695">
        <v>1571.0101318359375</v>
      </c>
      <c r="AL695">
        <v>1455.62744140625</v>
      </c>
      <c r="AM695">
        <v>1340.24462890625</v>
      </c>
      <c r="AN695">
        <v>1224.8619384765625</v>
      </c>
      <c r="AO695">
        <v>1130.1214599609375</v>
      </c>
      <c r="AP695">
        <v>1035.3809814453125</v>
      </c>
      <c r="AQ695">
        <v>940.64056396484375</v>
      </c>
      <c r="AR695">
        <v>845.90008544921875</v>
      </c>
    </row>
    <row r="696" spans="4:45" x14ac:dyDescent="0.25">
      <c r="D696">
        <v>18000</v>
      </c>
      <c r="Y696">
        <v>3387.9794921875</v>
      </c>
      <c r="Z696">
        <v>3227.673095703125</v>
      </c>
      <c r="AA696">
        <v>3067.366943359375</v>
      </c>
      <c r="AB696">
        <v>2907.060546875</v>
      </c>
      <c r="AC696">
        <v>2746.75439453125</v>
      </c>
      <c r="AD696">
        <v>2586.447998046875</v>
      </c>
      <c r="AE696">
        <v>2446.598876953125</v>
      </c>
      <c r="AF696">
        <v>2306.749755859375</v>
      </c>
      <c r="AG696">
        <v>2166.900634765625</v>
      </c>
      <c r="AH696">
        <v>2027.0516357421875</v>
      </c>
      <c r="AI696">
        <v>1887.202392578125</v>
      </c>
      <c r="AJ696">
        <v>1770.2572021484375</v>
      </c>
      <c r="AK696">
        <v>1653.3118896484375</v>
      </c>
      <c r="AL696">
        <v>1536.3665771484375</v>
      </c>
      <c r="AM696">
        <v>1419.4212646484375</v>
      </c>
      <c r="AN696">
        <v>1302.4759521484375</v>
      </c>
      <c r="AO696">
        <v>1207.4476318359375</v>
      </c>
      <c r="AP696">
        <v>1112.4193115234375</v>
      </c>
      <c r="AQ696">
        <v>1017.3910522460938</v>
      </c>
      <c r="AR696">
        <v>922.36273193359375</v>
      </c>
      <c r="AS696">
        <v>827.33447265625</v>
      </c>
    </row>
    <row r="697" spans="4:45" x14ac:dyDescent="0.25">
      <c r="D697">
        <v>19000</v>
      </c>
      <c r="Z697">
        <v>3315.48486328125</v>
      </c>
      <c r="AA697">
        <v>3155.713134765625</v>
      </c>
      <c r="AB697">
        <v>2995.94140625</v>
      </c>
      <c r="AC697">
        <v>2836.169677734375</v>
      </c>
      <c r="AD697">
        <v>2676.39794921875</v>
      </c>
      <c r="AE697">
        <v>2535.644287109375</v>
      </c>
      <c r="AF697">
        <v>2394.890625</v>
      </c>
      <c r="AG697">
        <v>2254.13671875</v>
      </c>
      <c r="AH697">
        <v>2113.383056640625</v>
      </c>
      <c r="AI697">
        <v>1972.6292724609375</v>
      </c>
      <c r="AJ697">
        <v>1854.121337890625</v>
      </c>
      <c r="AK697">
        <v>1735.613525390625</v>
      </c>
      <c r="AL697">
        <v>1617.105712890625</v>
      </c>
      <c r="AM697">
        <v>1498.5977783203125</v>
      </c>
      <c r="AN697">
        <v>1380.0899658203125</v>
      </c>
      <c r="AO697">
        <v>1284.7738037109375</v>
      </c>
      <c r="AP697">
        <v>1189.4576416015625</v>
      </c>
      <c r="AQ697">
        <v>1094.1414794921875</v>
      </c>
      <c r="AR697">
        <v>998.82537841796875</v>
      </c>
      <c r="AS697">
        <v>903.50927734375</v>
      </c>
    </row>
    <row r="698" spans="4:45" x14ac:dyDescent="0.25">
      <c r="D698">
        <v>20000</v>
      </c>
      <c r="Z698">
        <v>3403.296630859375</v>
      </c>
      <c r="AA698">
        <v>3244.0595703125</v>
      </c>
      <c r="AB698">
        <v>3084.822265625</v>
      </c>
      <c r="AC698">
        <v>2925.585205078125</v>
      </c>
      <c r="AD698">
        <v>2766.347900390625</v>
      </c>
      <c r="AE698">
        <v>2624.689697265625</v>
      </c>
      <c r="AF698">
        <v>2483.03125</v>
      </c>
      <c r="AG698">
        <v>2341.372802734375</v>
      </c>
      <c r="AH698">
        <v>2199.71435546875</v>
      </c>
      <c r="AI698">
        <v>2058.05615234375</v>
      </c>
      <c r="AJ698">
        <v>1937.985595703125</v>
      </c>
      <c r="AK698">
        <v>1817.9151611328125</v>
      </c>
      <c r="AL698">
        <v>1697.8447265625</v>
      </c>
      <c r="AM698">
        <v>1577.7742919921875</v>
      </c>
      <c r="AN698">
        <v>1457.7039794921875</v>
      </c>
      <c r="AO698">
        <v>1362.0999755859375</v>
      </c>
      <c r="AP698">
        <v>1266.4959716796875</v>
      </c>
      <c r="AQ698">
        <v>1170.8919677734375</v>
      </c>
      <c r="AR698">
        <v>1075.2880859375</v>
      </c>
      <c r="AS698">
        <v>979.68408203125</v>
      </c>
    </row>
    <row r="699" spans="4:45" x14ac:dyDescent="0.25">
      <c r="D699">
        <v>21000</v>
      </c>
      <c r="AA699">
        <v>3316.944580078125</v>
      </c>
      <c r="AB699">
        <v>3160.277587890625</v>
      </c>
      <c r="AC699">
        <v>3003.6103515625</v>
      </c>
      <c r="AD699">
        <v>2846.943115234375</v>
      </c>
      <c r="AE699">
        <v>2705.716552734375</v>
      </c>
      <c r="AF699">
        <v>2564.489990234375</v>
      </c>
      <c r="AG699">
        <v>2423.263427734375</v>
      </c>
      <c r="AH699">
        <v>2282.03662109375</v>
      </c>
      <c r="AI699">
        <v>2140.81005859375</v>
      </c>
      <c r="AJ699">
        <v>2019.526611328125</v>
      </c>
      <c r="AK699">
        <v>1898.2431640625</v>
      </c>
      <c r="AL699">
        <v>1776.959716796875</v>
      </c>
      <c r="AM699">
        <v>1655.6761474609375</v>
      </c>
      <c r="AN699">
        <v>1534.3927001953125</v>
      </c>
      <c r="AO699">
        <v>1437.843017578125</v>
      </c>
      <c r="AP699">
        <v>1341.293212890625</v>
      </c>
      <c r="AQ699">
        <v>1244.7435302734375</v>
      </c>
      <c r="AR699">
        <v>1148.19384765625</v>
      </c>
      <c r="AS699">
        <v>1051.64404296875</v>
      </c>
    </row>
    <row r="700" spans="4:45" x14ac:dyDescent="0.25">
      <c r="D700">
        <v>22000</v>
      </c>
      <c r="AA700">
        <v>3389.829833984375</v>
      </c>
      <c r="AB700">
        <v>3235.732666015625</v>
      </c>
      <c r="AC700">
        <v>3081.635498046875</v>
      </c>
      <c r="AD700">
        <v>2927.538330078125</v>
      </c>
      <c r="AE700">
        <v>2786.743408203125</v>
      </c>
      <c r="AF700">
        <v>2645.94873046875</v>
      </c>
      <c r="AG700">
        <v>2505.15380859375</v>
      </c>
      <c r="AH700">
        <v>2364.35888671875</v>
      </c>
      <c r="AI700">
        <v>2223.56396484375</v>
      </c>
      <c r="AJ700">
        <v>2101.067626953125</v>
      </c>
      <c r="AK700">
        <v>1978.571044921875</v>
      </c>
      <c r="AL700">
        <v>1856.0745849609375</v>
      </c>
      <c r="AM700">
        <v>1733.5780029296875</v>
      </c>
      <c r="AN700">
        <v>1611.08154296875</v>
      </c>
      <c r="AO700">
        <v>1513.5860595703125</v>
      </c>
      <c r="AP700">
        <v>1416.090576171875</v>
      </c>
      <c r="AQ700">
        <v>1318.5950927734375</v>
      </c>
      <c r="AR700">
        <v>1221.099609375</v>
      </c>
      <c r="AS700">
        <v>1123.60400390625</v>
      </c>
    </row>
    <row r="701" spans="4:45" x14ac:dyDescent="0.25">
      <c r="D701">
        <v>23000</v>
      </c>
      <c r="AB701">
        <v>3311.18798828125</v>
      </c>
      <c r="AC701">
        <v>3159.66064453125</v>
      </c>
      <c r="AD701">
        <v>3008.133544921875</v>
      </c>
      <c r="AE701">
        <v>2867.7705078125</v>
      </c>
      <c r="AF701">
        <v>2727.4072265625</v>
      </c>
      <c r="AG701">
        <v>2587.044189453125</v>
      </c>
      <c r="AH701">
        <v>2446.68115234375</v>
      </c>
      <c r="AI701">
        <v>2306.318115234375</v>
      </c>
      <c r="AJ701">
        <v>2182.6083984375</v>
      </c>
      <c r="AK701">
        <v>2058.89892578125</v>
      </c>
      <c r="AL701">
        <v>1935.189453125</v>
      </c>
      <c r="AM701">
        <v>1811.4798583984375</v>
      </c>
      <c r="AN701">
        <v>1687.7703857421875</v>
      </c>
      <c r="AO701">
        <v>1589.3291015625</v>
      </c>
      <c r="AP701">
        <v>1490.8878173828125</v>
      </c>
      <c r="AQ701">
        <v>1392.446533203125</v>
      </c>
      <c r="AR701">
        <v>1294.00537109375</v>
      </c>
      <c r="AS701">
        <v>1195.5640869140625</v>
      </c>
    </row>
    <row r="702" spans="4:45" x14ac:dyDescent="0.25">
      <c r="D702">
        <v>24000</v>
      </c>
      <c r="AB702">
        <v>3386.64306640625</v>
      </c>
      <c r="AC702">
        <v>3237.685791015625</v>
      </c>
      <c r="AD702">
        <v>3088.728515625</v>
      </c>
      <c r="AE702">
        <v>2948.79736328125</v>
      </c>
      <c r="AF702">
        <v>2808.865966796875</v>
      </c>
      <c r="AG702">
        <v>2668.934814453125</v>
      </c>
      <c r="AH702">
        <v>2529.00341796875</v>
      </c>
      <c r="AI702">
        <v>2389.072021484375</v>
      </c>
      <c r="AJ702">
        <v>2264.1494140625</v>
      </c>
      <c r="AK702">
        <v>2139.226806640625</v>
      </c>
      <c r="AL702">
        <v>2014.3043212890625</v>
      </c>
      <c r="AM702">
        <v>1889.3817138671875</v>
      </c>
      <c r="AN702">
        <v>1764.4591064453125</v>
      </c>
      <c r="AO702">
        <v>1665.0721435546875</v>
      </c>
      <c r="AP702">
        <v>1565.68505859375</v>
      </c>
      <c r="AQ702">
        <v>1466.298095703125</v>
      </c>
      <c r="AR702">
        <v>1366.9111328125</v>
      </c>
      <c r="AS702">
        <v>1267.5240478515625</v>
      </c>
    </row>
    <row r="703" spans="4:45" x14ac:dyDescent="0.25">
      <c r="D703">
        <v>25000</v>
      </c>
      <c r="AC703">
        <v>3315.7109375</v>
      </c>
      <c r="AD703">
        <v>3169.32373046875</v>
      </c>
      <c r="AE703">
        <v>3029.82421875</v>
      </c>
      <c r="AF703">
        <v>2890.32470703125</v>
      </c>
      <c r="AG703">
        <v>2750.8251953125</v>
      </c>
      <c r="AH703">
        <v>2611.32568359375</v>
      </c>
      <c r="AI703">
        <v>2471.826171875</v>
      </c>
      <c r="AJ703">
        <v>2345.6904296875</v>
      </c>
      <c r="AK703">
        <v>2219.5546875</v>
      </c>
      <c r="AL703">
        <v>2093.419189453125</v>
      </c>
      <c r="AM703">
        <v>1967.2835693359375</v>
      </c>
      <c r="AN703">
        <v>1841.14794921875</v>
      </c>
      <c r="AO703">
        <v>1740.815185546875</v>
      </c>
      <c r="AP703">
        <v>1640.482421875</v>
      </c>
      <c r="AQ703">
        <v>1540.149658203125</v>
      </c>
      <c r="AR703">
        <v>1439.81689453125</v>
      </c>
      <c r="AS703">
        <v>1339.4840087890625</v>
      </c>
    </row>
    <row r="704" spans="4:45" x14ac:dyDescent="0.25">
      <c r="D704">
        <v>26000</v>
      </c>
      <c r="AC704">
        <v>3373.3818359375</v>
      </c>
      <c r="AD704">
        <v>3229.770263671875</v>
      </c>
      <c r="AE704">
        <v>3092.779052734375</v>
      </c>
      <c r="AF704">
        <v>2955.787841796875</v>
      </c>
      <c r="AG704">
        <v>2818.796630859375</v>
      </c>
      <c r="AH704">
        <v>2681.805419921875</v>
      </c>
      <c r="AI704">
        <v>2544.81396484375</v>
      </c>
      <c r="AJ704">
        <v>2420.199951171875</v>
      </c>
      <c r="AK704">
        <v>2295.585693359375</v>
      </c>
      <c r="AL704">
        <v>2170.971435546875</v>
      </c>
      <c r="AM704">
        <v>2046.3572998046875</v>
      </c>
      <c r="AN704">
        <v>1921.7431640625</v>
      </c>
      <c r="AO704">
        <v>1820.6085205078125</v>
      </c>
      <c r="AP704">
        <v>1719.473876953125</v>
      </c>
      <c r="AQ704">
        <v>1618.3392333984375</v>
      </c>
      <c r="AR704">
        <v>1517.2047119140625</v>
      </c>
      <c r="AS704">
        <v>1416.070068359375</v>
      </c>
    </row>
    <row r="705" spans="4:45" x14ac:dyDescent="0.25">
      <c r="D705">
        <v>27000</v>
      </c>
      <c r="AD705">
        <v>3290.216796875</v>
      </c>
      <c r="AE705">
        <v>3155.73388671875</v>
      </c>
      <c r="AF705">
        <v>3021.2509765625</v>
      </c>
      <c r="AG705">
        <v>2886.76806640625</v>
      </c>
      <c r="AH705">
        <v>2752.28515625</v>
      </c>
      <c r="AI705">
        <v>2617.802001953125</v>
      </c>
      <c r="AJ705">
        <v>2494.70947265625</v>
      </c>
      <c r="AK705">
        <v>2371.61669921875</v>
      </c>
      <c r="AL705">
        <v>2248.52392578125</v>
      </c>
      <c r="AM705">
        <v>2125.43115234375</v>
      </c>
      <c r="AN705">
        <v>2002.33837890625</v>
      </c>
      <c r="AO705">
        <v>1900.40185546875</v>
      </c>
      <c r="AP705">
        <v>1798.4654541015625</v>
      </c>
      <c r="AQ705">
        <v>1696.5289306640625</v>
      </c>
      <c r="AR705">
        <v>1594.592529296875</v>
      </c>
      <c r="AS705">
        <v>1492.656005859375</v>
      </c>
    </row>
    <row r="706" spans="4:45" x14ac:dyDescent="0.25">
      <c r="D706">
        <v>28000</v>
      </c>
      <c r="AD706">
        <v>3350.6630859375</v>
      </c>
      <c r="AE706">
        <v>3218.6884765625</v>
      </c>
      <c r="AF706">
        <v>3086.7138671875</v>
      </c>
      <c r="AG706">
        <v>2954.7392578125</v>
      </c>
      <c r="AH706">
        <v>2822.7646484375</v>
      </c>
      <c r="AI706">
        <v>2690.7900390625</v>
      </c>
      <c r="AJ706">
        <v>2569.21875</v>
      </c>
      <c r="AK706">
        <v>2447.6474609375</v>
      </c>
      <c r="AL706">
        <v>2326.076171875</v>
      </c>
      <c r="AM706">
        <v>2204.5048828125</v>
      </c>
      <c r="AN706">
        <v>2082.93359375</v>
      </c>
      <c r="AO706">
        <v>1980.1951904296875</v>
      </c>
      <c r="AP706">
        <v>1877.4569091796875</v>
      </c>
      <c r="AQ706">
        <v>1774.7186279296875</v>
      </c>
      <c r="AR706">
        <v>1671.9803466796875</v>
      </c>
      <c r="AS706">
        <v>1569.2420654296875</v>
      </c>
    </row>
    <row r="707" spans="4:45" x14ac:dyDescent="0.25">
      <c r="D707">
        <v>29000</v>
      </c>
      <c r="AE707">
        <v>3281.643310546875</v>
      </c>
      <c r="AF707">
        <v>3152.177001953125</v>
      </c>
      <c r="AG707">
        <v>3022.710693359375</v>
      </c>
      <c r="AH707">
        <v>2893.244384765625</v>
      </c>
      <c r="AI707">
        <v>2763.778076171875</v>
      </c>
      <c r="AJ707">
        <v>2643.728271484375</v>
      </c>
      <c r="AK707">
        <v>2523.678466796875</v>
      </c>
      <c r="AL707">
        <v>2403.62841796875</v>
      </c>
      <c r="AM707">
        <v>2283.57861328125</v>
      </c>
      <c r="AN707">
        <v>2163.52880859375</v>
      </c>
      <c r="AO707">
        <v>2059.988525390625</v>
      </c>
      <c r="AP707">
        <v>1956.448486328125</v>
      </c>
      <c r="AQ707">
        <v>1852.9083251953125</v>
      </c>
      <c r="AR707">
        <v>1749.3681640625</v>
      </c>
      <c r="AS707">
        <v>1645.8280029296875</v>
      </c>
    </row>
    <row r="708" spans="4:45" x14ac:dyDescent="0.25">
      <c r="D708">
        <v>30000</v>
      </c>
      <c r="AF708">
        <v>3217.64013671875</v>
      </c>
      <c r="AG708">
        <v>3090.68212890625</v>
      </c>
      <c r="AH708">
        <v>2963.72412109375</v>
      </c>
      <c r="AI708">
        <v>2836.76611328125</v>
      </c>
      <c r="AJ708">
        <v>2718.23779296875</v>
      </c>
      <c r="AK708">
        <v>2599.709228515625</v>
      </c>
      <c r="AL708">
        <v>2481.180908203125</v>
      </c>
      <c r="AM708">
        <v>2362.65234375</v>
      </c>
      <c r="AN708">
        <v>2244.1240234375</v>
      </c>
      <c r="AO708">
        <v>2139.781982421875</v>
      </c>
      <c r="AP708">
        <v>2035.43994140625</v>
      </c>
      <c r="AQ708">
        <v>1931.0980224609375</v>
      </c>
      <c r="AR708">
        <v>1826.7559814453125</v>
      </c>
      <c r="AS708">
        <v>1722.4140625</v>
      </c>
    </row>
    <row r="709" spans="4:45" x14ac:dyDescent="0.25">
      <c r="D709">
        <v>31000</v>
      </c>
      <c r="AF709">
        <v>3261.49462890625</v>
      </c>
      <c r="AG709">
        <v>3137.702880859375</v>
      </c>
      <c r="AH709">
        <v>3013.9111328125</v>
      </c>
      <c r="AI709">
        <v>2890.119384765625</v>
      </c>
      <c r="AJ709">
        <v>2774.2841796875</v>
      </c>
      <c r="AK709">
        <v>2658.44921875</v>
      </c>
      <c r="AL709">
        <v>2542.614013671875</v>
      </c>
      <c r="AM709">
        <v>2426.779052734375</v>
      </c>
      <c r="AN709">
        <v>2310.94384765625</v>
      </c>
      <c r="AO709">
        <v>2208.041015625</v>
      </c>
      <c r="AP709">
        <v>2105.138427734375</v>
      </c>
      <c r="AQ709">
        <v>2002.235595703125</v>
      </c>
      <c r="AR709">
        <v>1899.332763671875</v>
      </c>
      <c r="AS709">
        <v>1796.4300537109375</v>
      </c>
    </row>
    <row r="710" spans="4:45" x14ac:dyDescent="0.25">
      <c r="D710">
        <v>32000</v>
      </c>
      <c r="AG710">
        <v>3184.7236328125</v>
      </c>
      <c r="AH710">
        <v>3064.097900390625</v>
      </c>
      <c r="AI710">
        <v>2943.472412109375</v>
      </c>
      <c r="AJ710">
        <v>2830.330810546875</v>
      </c>
      <c r="AK710">
        <v>2717.18896484375</v>
      </c>
      <c r="AL710">
        <v>2604.04736328125</v>
      </c>
      <c r="AM710">
        <v>2490.905517578125</v>
      </c>
      <c r="AN710">
        <v>2377.763916015625</v>
      </c>
      <c r="AO710">
        <v>2276.30029296875</v>
      </c>
      <c r="AP710">
        <v>2174.836669921875</v>
      </c>
      <c r="AQ710">
        <v>2073.373291015625</v>
      </c>
      <c r="AR710">
        <v>1971.90966796875</v>
      </c>
      <c r="AS710">
        <v>1870.446044921875</v>
      </c>
    </row>
    <row r="711" spans="4:45" x14ac:dyDescent="0.25">
      <c r="D711">
        <v>33000</v>
      </c>
      <c r="AH711">
        <v>3114.284912109375</v>
      </c>
      <c r="AI711">
        <v>2996.82568359375</v>
      </c>
      <c r="AJ711">
        <v>2886.377197265625</v>
      </c>
      <c r="AK711">
        <v>2775.928955078125</v>
      </c>
      <c r="AL711">
        <v>2665.480712890625</v>
      </c>
      <c r="AM711">
        <v>2555.0322265625</v>
      </c>
      <c r="AN711">
        <v>2444.583984375</v>
      </c>
      <c r="AO711">
        <v>2344.5595703125</v>
      </c>
      <c r="AP711">
        <v>2244.53515625</v>
      </c>
      <c r="AQ711">
        <v>2144.5107421875</v>
      </c>
      <c r="AR711">
        <v>2044.4864501953125</v>
      </c>
      <c r="AS711">
        <v>1944.4620361328125</v>
      </c>
    </row>
    <row r="712" spans="4:45" x14ac:dyDescent="0.25">
      <c r="D712">
        <v>34000</v>
      </c>
      <c r="AI712">
        <v>3050.1787109375</v>
      </c>
      <c r="AJ712">
        <v>2942.423828125</v>
      </c>
      <c r="AK712">
        <v>2834.6689453125</v>
      </c>
      <c r="AL712">
        <v>2726.913818359375</v>
      </c>
      <c r="AM712">
        <v>2619.158935546875</v>
      </c>
      <c r="AN712">
        <v>2511.40380859375</v>
      </c>
      <c r="AO712">
        <v>2412.81884765625</v>
      </c>
      <c r="AP712">
        <v>2314.233642578125</v>
      </c>
      <c r="AQ712">
        <v>2215.6484375</v>
      </c>
      <c r="AR712">
        <v>2117.063232421875</v>
      </c>
      <c r="AS712">
        <v>2018.47802734375</v>
      </c>
    </row>
    <row r="713" spans="4:45" x14ac:dyDescent="0.25">
      <c r="D713">
        <v>35000</v>
      </c>
      <c r="AJ713">
        <v>2998.470458984375</v>
      </c>
      <c r="AK713">
        <v>2893.40869140625</v>
      </c>
      <c r="AL713">
        <v>2788.34716796875</v>
      </c>
      <c r="AM713">
        <v>2683.285400390625</v>
      </c>
      <c r="AN713">
        <v>2578.223876953125</v>
      </c>
      <c r="AO713">
        <v>2481.077880859375</v>
      </c>
      <c r="AP713">
        <v>2383.931884765625</v>
      </c>
      <c r="AQ713">
        <v>2286.785888671875</v>
      </c>
      <c r="AR713">
        <v>2189.639892578125</v>
      </c>
      <c r="AS713">
        <v>2092.494140625</v>
      </c>
    </row>
    <row r="714" spans="4:45" x14ac:dyDescent="0.25">
      <c r="D714">
        <v>36000</v>
      </c>
      <c r="AL714">
        <v>2701.6044921875</v>
      </c>
      <c r="AM714">
        <v>2600.59326171875</v>
      </c>
      <c r="AN714">
        <v>2499.58203125</v>
      </c>
      <c r="AO714">
        <v>2406.198486328125</v>
      </c>
      <c r="AP714">
        <v>2312.81494140625</v>
      </c>
      <c r="AQ714">
        <v>2219.431396484375</v>
      </c>
      <c r="AR714">
        <v>2126.0478515625</v>
      </c>
      <c r="AS714">
        <v>2032.6644287109375</v>
      </c>
    </row>
    <row r="715" spans="4:45" x14ac:dyDescent="0.25">
      <c r="D715">
        <v>37000</v>
      </c>
      <c r="AN715">
        <v>2420.93994140625</v>
      </c>
      <c r="AO715">
        <v>2331.31884765625</v>
      </c>
      <c r="AP715">
        <v>2241.69775390625</v>
      </c>
      <c r="AQ715">
        <v>2152.076904296875</v>
      </c>
      <c r="AR715">
        <v>2062.455810546875</v>
      </c>
    </row>
    <row r="716" spans="4:45" x14ac:dyDescent="0.25">
      <c r="D716">
        <v>38000</v>
      </c>
    </row>
    <row r="717" spans="4:45" x14ac:dyDescent="0.25">
      <c r="D717">
        <v>39000</v>
      </c>
    </row>
    <row r="718" spans="4:45" x14ac:dyDescent="0.25">
      <c r="D718">
        <v>40000</v>
      </c>
    </row>
    <row r="719" spans="4:45" x14ac:dyDescent="0.25">
      <c r="D719">
        <v>41000</v>
      </c>
    </row>
    <row r="720" spans="4:45" x14ac:dyDescent="0.25">
      <c r="D720">
        <v>42000</v>
      </c>
    </row>
    <row r="721" spans="3:55" x14ac:dyDescent="0.25">
      <c r="D721">
        <v>43000</v>
      </c>
    </row>
    <row r="722" spans="3:55" x14ac:dyDescent="0.25">
      <c r="D722">
        <v>44000</v>
      </c>
    </row>
    <row r="723" spans="3:55" x14ac:dyDescent="0.25">
      <c r="D723">
        <v>45000</v>
      </c>
    </row>
    <row r="724" spans="3:55" x14ac:dyDescent="0.25">
      <c r="D724">
        <v>46000</v>
      </c>
    </row>
    <row r="725" spans="3:55" x14ac:dyDescent="0.25">
      <c r="D725">
        <v>47000</v>
      </c>
    </row>
    <row r="726" spans="3:55" x14ac:dyDescent="0.25">
      <c r="D726">
        <v>48000</v>
      </c>
    </row>
    <row r="727" spans="3:55" x14ac:dyDescent="0.25">
      <c r="D727">
        <v>49000</v>
      </c>
    </row>
    <row r="728" spans="3:55" x14ac:dyDescent="0.25">
      <c r="D728">
        <v>50000</v>
      </c>
    </row>
    <row r="729" spans="3:55" x14ac:dyDescent="0.25">
      <c r="C729" t="s">
        <v>147</v>
      </c>
      <c r="D729" t="s">
        <v>133</v>
      </c>
      <c r="E729">
        <v>0</v>
      </c>
      <c r="F729">
        <v>0.02</v>
      </c>
      <c r="G729">
        <v>0.04</v>
      </c>
      <c r="H729">
        <v>0.06</v>
      </c>
      <c r="I729">
        <v>0.08</v>
      </c>
      <c r="J729">
        <v>0.1</v>
      </c>
      <c r="K729">
        <v>0.12</v>
      </c>
      <c r="L729">
        <v>0.14000000000000001</v>
      </c>
      <c r="M729">
        <v>0.16</v>
      </c>
      <c r="N729">
        <v>0.18</v>
      </c>
      <c r="O729">
        <v>0.2</v>
      </c>
      <c r="P729">
        <v>0.22</v>
      </c>
      <c r="Q729">
        <v>0.24</v>
      </c>
      <c r="R729">
        <v>0.26</v>
      </c>
      <c r="S729">
        <v>0.28000000000000003</v>
      </c>
      <c r="T729">
        <v>0.3</v>
      </c>
      <c r="U729">
        <v>0.32</v>
      </c>
      <c r="V729">
        <v>0.34</v>
      </c>
      <c r="W729">
        <v>0.36</v>
      </c>
      <c r="X729">
        <v>0.38</v>
      </c>
      <c r="Y729">
        <v>0.4</v>
      </c>
      <c r="Z729">
        <v>0.42</v>
      </c>
      <c r="AA729">
        <v>0.44</v>
      </c>
      <c r="AB729">
        <v>0.46</v>
      </c>
      <c r="AC729">
        <v>0.48</v>
      </c>
      <c r="AD729">
        <v>0.5</v>
      </c>
      <c r="AE729">
        <v>0.52</v>
      </c>
      <c r="AF729">
        <v>0.54</v>
      </c>
      <c r="AG729">
        <v>0.56000000000000005</v>
      </c>
      <c r="AH729">
        <v>0.57999999999999996</v>
      </c>
      <c r="AI729">
        <v>0.6</v>
      </c>
      <c r="AJ729">
        <v>0.62</v>
      </c>
      <c r="AK729">
        <v>0.64</v>
      </c>
      <c r="AL729">
        <v>0.66</v>
      </c>
      <c r="AM729">
        <v>0.68</v>
      </c>
      <c r="AN729">
        <v>0.7</v>
      </c>
      <c r="AO729">
        <v>0.72</v>
      </c>
      <c r="AP729">
        <v>0.74</v>
      </c>
      <c r="AQ729">
        <v>0.76</v>
      </c>
      <c r="AR729">
        <v>0.78</v>
      </c>
      <c r="AS729">
        <v>0.8</v>
      </c>
      <c r="AT729">
        <v>0.82</v>
      </c>
      <c r="AU729">
        <v>0.84</v>
      </c>
      <c r="AV729">
        <v>0.86</v>
      </c>
      <c r="AW729">
        <v>0.88</v>
      </c>
      <c r="AX729">
        <v>0.9</v>
      </c>
      <c r="AY729">
        <v>0.92</v>
      </c>
      <c r="AZ729">
        <v>0.94</v>
      </c>
      <c r="BA729">
        <v>0.96</v>
      </c>
      <c r="BB729">
        <v>0.98</v>
      </c>
      <c r="BC729">
        <v>1</v>
      </c>
    </row>
    <row r="730" spans="3:55" x14ac:dyDescent="0.25">
      <c r="D730">
        <v>0</v>
      </c>
      <c r="R730">
        <v>3.7166032940149307E-2</v>
      </c>
      <c r="S730">
        <v>0.18551371991634369</v>
      </c>
      <c r="T730">
        <v>0.25052818655967712</v>
      </c>
      <c r="U730">
        <v>0.25878855586051941</v>
      </c>
      <c r="V730">
        <v>0.25753501057624817</v>
      </c>
      <c r="W730">
        <v>0.25438407063484192</v>
      </c>
      <c r="X730">
        <v>0.25012978911399841</v>
      </c>
      <c r="Y730">
        <v>0.2455613911151886</v>
      </c>
      <c r="Z730">
        <v>0.21081581711769104</v>
      </c>
      <c r="AA730">
        <v>0.17624227702617645</v>
      </c>
      <c r="AB730">
        <v>0.14174759387969971</v>
      </c>
      <c r="AC730">
        <v>0.10602308809757233</v>
      </c>
      <c r="AD730">
        <v>7.04507976770401E-2</v>
      </c>
      <c r="AE730">
        <v>6.253080815076828E-2</v>
      </c>
      <c r="AF730">
        <v>5.5115863680839539E-2</v>
      </c>
      <c r="AG730">
        <v>4.6272173523902893E-2</v>
      </c>
      <c r="AH730">
        <v>3.7934355437755585E-2</v>
      </c>
      <c r="AI730">
        <v>2.9079794883728027E-2</v>
      </c>
      <c r="AJ730">
        <v>1.94687619805336E-2</v>
      </c>
      <c r="AK730">
        <v>8.9633641764521599E-3</v>
      </c>
    </row>
    <row r="731" spans="3:55" x14ac:dyDescent="0.25">
      <c r="D731">
        <v>1000</v>
      </c>
      <c r="S731">
        <v>0.14843809604644775</v>
      </c>
      <c r="T731">
        <v>0.23152180016040802</v>
      </c>
      <c r="U731">
        <v>0.24901989102363586</v>
      </c>
      <c r="V731">
        <v>0.24962152540683746</v>
      </c>
      <c r="W731">
        <v>0.24799562990665436</v>
      </c>
      <c r="X731">
        <v>0.24451082944869995</v>
      </c>
      <c r="Y731">
        <v>0.24011619389057159</v>
      </c>
      <c r="Z731">
        <v>0.20730426907539368</v>
      </c>
      <c r="AA731">
        <v>0.17413227260112762</v>
      </c>
      <c r="AB731">
        <v>0.14032672345638275</v>
      </c>
      <c r="AC731">
        <v>0.10624707490205765</v>
      </c>
      <c r="AD731">
        <v>7.2564311325550079E-2</v>
      </c>
      <c r="AE731">
        <v>6.4507000148296356E-2</v>
      </c>
      <c r="AF731">
        <v>5.7593613862991333E-2</v>
      </c>
      <c r="AG731">
        <v>4.9583330750465393E-2</v>
      </c>
      <c r="AH731">
        <v>4.0984231978654861E-2</v>
      </c>
      <c r="AI731">
        <v>3.2633237540721893E-2</v>
      </c>
      <c r="AJ731">
        <v>2.3523716256022453E-2</v>
      </c>
      <c r="AK731">
        <v>1.3217736966907978E-2</v>
      </c>
      <c r="AL731">
        <v>3.1964736990630627E-3</v>
      </c>
    </row>
    <row r="732" spans="3:55" x14ac:dyDescent="0.25">
      <c r="D732">
        <v>2000</v>
      </c>
      <c r="S732">
        <v>0.10625190287828445</v>
      </c>
      <c r="T732">
        <v>0.20756019651889801</v>
      </c>
      <c r="U732">
        <v>0.24203072488307953</v>
      </c>
      <c r="V732">
        <v>0.24259079992771149</v>
      </c>
      <c r="W732">
        <v>0.24029234051704407</v>
      </c>
      <c r="X732">
        <v>0.2378418892621994</v>
      </c>
      <c r="Y732">
        <v>0.23430591821670532</v>
      </c>
      <c r="Z732">
        <v>0.20327126979827881</v>
      </c>
      <c r="AA732">
        <v>0.17123804986476898</v>
      </c>
      <c r="AB732">
        <v>0.138498455286026</v>
      </c>
      <c r="AC732">
        <v>0.10712680965662003</v>
      </c>
      <c r="AD732">
        <v>7.4195414781570435E-2</v>
      </c>
      <c r="AE732">
        <v>6.7280150949954987E-2</v>
      </c>
      <c r="AF732">
        <v>5.9705447405576706E-2</v>
      </c>
      <c r="AG732">
        <v>5.2529547363519669E-2</v>
      </c>
      <c r="AH732">
        <v>4.4026471674442291E-2</v>
      </c>
      <c r="AI732">
        <v>3.5976830869913101E-2</v>
      </c>
      <c r="AJ732">
        <v>2.7365826070308685E-2</v>
      </c>
      <c r="AK732">
        <v>1.8145166337490082E-2</v>
      </c>
      <c r="AL732">
        <v>7.6517616398632526E-3</v>
      </c>
    </row>
    <row r="733" spans="3:55" x14ac:dyDescent="0.25">
      <c r="D733">
        <v>3000</v>
      </c>
      <c r="S733">
        <v>5.8802984654903412E-2</v>
      </c>
      <c r="T733">
        <v>0.1785179078578949</v>
      </c>
      <c r="U733">
        <v>0.23052480816841125</v>
      </c>
      <c r="V733">
        <v>0.23475612699985504</v>
      </c>
      <c r="W733">
        <v>0.23401336371898651</v>
      </c>
      <c r="X733">
        <v>0.23114797472953796</v>
      </c>
      <c r="Y733">
        <v>0.22697457671165466</v>
      </c>
      <c r="Z733">
        <v>0.19825288653373718</v>
      </c>
      <c r="AA733">
        <v>0.16821643710136414</v>
      </c>
      <c r="AB733">
        <v>0.13810481131076813</v>
      </c>
      <c r="AC733">
        <v>0.10730165988206863</v>
      </c>
      <c r="AD733">
        <v>7.562623918056488E-2</v>
      </c>
      <c r="AE733">
        <v>6.9566026329994202E-2</v>
      </c>
      <c r="AF733">
        <v>6.1701789498329163E-2</v>
      </c>
      <c r="AG733">
        <v>5.5105380713939667E-2</v>
      </c>
      <c r="AH733">
        <v>4.7418948262929916E-2</v>
      </c>
      <c r="AI733">
        <v>3.9108611643314362E-2</v>
      </c>
      <c r="AJ733">
        <v>3.0993638560175896E-2</v>
      </c>
      <c r="AK733">
        <v>2.2266201674938202E-2</v>
      </c>
      <c r="AL733">
        <v>1.2967335060238838E-2</v>
      </c>
      <c r="AM733">
        <v>2.3377735633403063E-3</v>
      </c>
    </row>
    <row r="734" spans="3:55" x14ac:dyDescent="0.25">
      <c r="D734">
        <v>4000</v>
      </c>
      <c r="S734">
        <v>5.9279049746692181E-3</v>
      </c>
      <c r="T734">
        <v>0.14425930380821228</v>
      </c>
      <c r="U734">
        <v>0.21400047838687897</v>
      </c>
      <c r="V734">
        <v>0.22642213106155396</v>
      </c>
      <c r="W734">
        <v>0.22590142488479614</v>
      </c>
      <c r="X734">
        <v>0.22478871047496796</v>
      </c>
      <c r="Y734">
        <v>0.22191724181175232</v>
      </c>
      <c r="Z734">
        <v>0.19462665915489197</v>
      </c>
      <c r="AA734">
        <v>0.16607494652271271</v>
      </c>
      <c r="AB734">
        <v>0.13690692186355591</v>
      </c>
      <c r="AC734">
        <v>0.10675764083862305</v>
      </c>
      <c r="AD734">
        <v>7.8067988157272339E-2</v>
      </c>
      <c r="AE734">
        <v>7.1356073021888733E-2</v>
      </c>
      <c r="AF734">
        <v>6.4608193933963776E-2</v>
      </c>
      <c r="AG734">
        <v>5.7304810732603073E-2</v>
      </c>
      <c r="AH734">
        <v>5.043599009513855E-2</v>
      </c>
      <c r="AI734">
        <v>4.2361084371805191E-2</v>
      </c>
      <c r="AJ734">
        <v>3.4405354410409927E-2</v>
      </c>
      <c r="AK734">
        <v>2.6168264448642731E-2</v>
      </c>
      <c r="AL734">
        <v>1.7357662320137024E-2</v>
      </c>
      <c r="AM734">
        <v>6.891278550028801E-3</v>
      </c>
    </row>
    <row r="735" spans="3:55" x14ac:dyDescent="0.25">
      <c r="D735">
        <v>5000</v>
      </c>
      <c r="T735">
        <v>0.10463765263557434</v>
      </c>
      <c r="U735">
        <v>0.19234529137611389</v>
      </c>
      <c r="V735">
        <v>0.2186451256275177</v>
      </c>
      <c r="W735">
        <v>0.21935984492301941</v>
      </c>
      <c r="X735">
        <v>0.21744254231452942</v>
      </c>
      <c r="Y735">
        <v>0.21497410535812378</v>
      </c>
      <c r="Z735">
        <v>0.18962511420249939</v>
      </c>
      <c r="AA735">
        <v>0.16293196380138397</v>
      </c>
      <c r="AB735">
        <v>0.13490201532840729</v>
      </c>
      <c r="AC735">
        <v>0.10757406055927277</v>
      </c>
      <c r="AD735">
        <v>7.9824343323707581E-2</v>
      </c>
      <c r="AE735">
        <v>7.2781085968017578E-2</v>
      </c>
      <c r="AF735">
        <v>6.702578067779541E-2</v>
      </c>
      <c r="AG735">
        <v>5.9465289115905762E-2</v>
      </c>
      <c r="AH735">
        <v>5.3100306540727615E-2</v>
      </c>
      <c r="AI735">
        <v>4.58042211830616E-2</v>
      </c>
      <c r="AJ735">
        <v>3.7607021629810333E-2</v>
      </c>
      <c r="AK735">
        <v>2.9867030680179596E-2</v>
      </c>
      <c r="AL735">
        <v>2.1551808342337608E-2</v>
      </c>
      <c r="AM735">
        <v>1.2699215672910213E-2</v>
      </c>
      <c r="AN735">
        <v>3.52895213291049E-3</v>
      </c>
    </row>
    <row r="736" spans="3:55" x14ac:dyDescent="0.25">
      <c r="D736">
        <v>6000</v>
      </c>
      <c r="T736">
        <v>4.4151406735181808E-2</v>
      </c>
      <c r="U736">
        <v>0.14988909661769867</v>
      </c>
      <c r="V736">
        <v>0.1928078830242157</v>
      </c>
      <c r="W736">
        <v>0.19557814300060272</v>
      </c>
      <c r="X736">
        <v>0.19496539235115051</v>
      </c>
      <c r="Y736">
        <v>0.19270274043083191</v>
      </c>
      <c r="Z736">
        <v>0.17140085995197296</v>
      </c>
      <c r="AA736">
        <v>0.14994391798973083</v>
      </c>
      <c r="AB736">
        <v>0.12733902037143707</v>
      </c>
      <c r="AC736">
        <v>0.1042376235127449</v>
      </c>
      <c r="AD736">
        <v>8.0285370349884033E-2</v>
      </c>
      <c r="AE736">
        <v>7.4832402169704437E-2</v>
      </c>
      <c r="AF736">
        <v>6.8388096988201141E-2</v>
      </c>
      <c r="AG736">
        <v>6.1951823532581329E-2</v>
      </c>
      <c r="AH736">
        <v>5.4879218339920044E-2</v>
      </c>
      <c r="AI736">
        <v>4.8431199043989182E-2</v>
      </c>
      <c r="AJ736">
        <v>4.0704939514398575E-2</v>
      </c>
      <c r="AK736">
        <v>3.2936152070760727E-2</v>
      </c>
      <c r="AL736">
        <v>2.5122888386249542E-2</v>
      </c>
      <c r="AM736">
        <v>1.6770008951425552E-2</v>
      </c>
      <c r="AN736">
        <v>7.9212551936507225E-3</v>
      </c>
    </row>
    <row r="737" spans="4:45" x14ac:dyDescent="0.25">
      <c r="D737">
        <v>7000</v>
      </c>
      <c r="U737">
        <v>0.10202571749687195</v>
      </c>
      <c r="V737">
        <v>0.16174879670143127</v>
      </c>
      <c r="W737">
        <v>0.17170427739620209</v>
      </c>
      <c r="X737">
        <v>0.17121557891368866</v>
      </c>
      <c r="Y737">
        <v>0.16960325837135315</v>
      </c>
      <c r="Z737">
        <v>0.15382638573646545</v>
      </c>
      <c r="AA737">
        <v>0.13705015182495117</v>
      </c>
      <c r="AB737">
        <v>0.11905626207590103</v>
      </c>
      <c r="AC737">
        <v>0.10005992650985718</v>
      </c>
      <c r="AD737">
        <v>8.1402584910392761E-2</v>
      </c>
      <c r="AE737">
        <v>7.6179713010787964E-2</v>
      </c>
      <c r="AF737">
        <v>6.941579282283783E-2</v>
      </c>
      <c r="AG737">
        <v>6.3923552632331848E-2</v>
      </c>
      <c r="AH737">
        <v>5.6811217218637466E-2</v>
      </c>
      <c r="AI737">
        <v>5.0665859133005142E-2</v>
      </c>
      <c r="AJ737">
        <v>4.3754015117883682E-2</v>
      </c>
      <c r="AK737">
        <v>3.5781186074018478E-2</v>
      </c>
      <c r="AL737">
        <v>2.8467651456594467E-2</v>
      </c>
      <c r="AM737">
        <v>2.0611502230167389E-2</v>
      </c>
      <c r="AN737">
        <v>1.2266966514289379E-2</v>
      </c>
      <c r="AO737">
        <v>1.7680090386420488E-3</v>
      </c>
    </row>
    <row r="738" spans="4:45" x14ac:dyDescent="0.25">
      <c r="D738">
        <v>8000</v>
      </c>
      <c r="U738">
        <v>4.8602629452943802E-2</v>
      </c>
      <c r="V738">
        <v>0.12534299492835999</v>
      </c>
      <c r="W738">
        <v>0.14797350764274597</v>
      </c>
      <c r="X738">
        <v>0.14824576675891876</v>
      </c>
      <c r="Y738">
        <v>0.14678202569484711</v>
      </c>
      <c r="Z738">
        <v>0.13463909924030304</v>
      </c>
      <c r="AA738">
        <v>0.12252707034349442</v>
      </c>
      <c r="AB738">
        <v>0.10997550189495087</v>
      </c>
      <c r="AC738">
        <v>9.6593879163265228E-2</v>
      </c>
      <c r="AD738">
        <v>8.2711555063724518E-2</v>
      </c>
      <c r="AE738">
        <v>7.6809100806713104E-2</v>
      </c>
      <c r="AF738">
        <v>7.1599766612052917E-2</v>
      </c>
      <c r="AG738">
        <v>6.5371118485927582E-2</v>
      </c>
      <c r="AH738">
        <v>5.9360899031162262E-2</v>
      </c>
      <c r="AI738">
        <v>5.2501481026411057E-2</v>
      </c>
      <c r="AJ738">
        <v>4.640505462884903E-2</v>
      </c>
      <c r="AK738">
        <v>3.9185371249914169E-2</v>
      </c>
      <c r="AL738">
        <v>3.1584005802869797E-2</v>
      </c>
      <c r="AM738">
        <v>2.4222042411565781E-2</v>
      </c>
      <c r="AN738">
        <v>1.6377789899706841E-2</v>
      </c>
      <c r="AO738">
        <v>7.1257352828979492E-3</v>
      </c>
    </row>
    <row r="739" spans="4:45" x14ac:dyDescent="0.25">
      <c r="D739">
        <v>9000</v>
      </c>
      <c r="V739">
        <v>8.3454221487045288E-2</v>
      </c>
      <c r="W739">
        <v>0.12208345532417297</v>
      </c>
      <c r="X739">
        <v>0.12480407208204269</v>
      </c>
      <c r="Y739">
        <v>0.12336207181215286</v>
      </c>
      <c r="Z739">
        <v>0.11739910393953323</v>
      </c>
      <c r="AA739">
        <v>0.11000898480415344</v>
      </c>
      <c r="AB739">
        <v>0.10212694108486176</v>
      </c>
      <c r="AC739">
        <v>9.3057520687580109E-2</v>
      </c>
      <c r="AD739">
        <v>8.3155013620853424E-2</v>
      </c>
      <c r="AE739">
        <v>7.7949024736881256E-2</v>
      </c>
      <c r="AF739">
        <v>7.3059163987636566E-2</v>
      </c>
      <c r="AG739">
        <v>6.671510636806488E-2</v>
      </c>
      <c r="AH739">
        <v>6.1380375176668167E-2</v>
      </c>
      <c r="AI739">
        <v>5.4848458617925644E-2</v>
      </c>
      <c r="AJ739">
        <v>4.8651635646820068E-2</v>
      </c>
      <c r="AK739">
        <v>4.223296046257019E-2</v>
      </c>
      <c r="AL739">
        <v>3.476894274353981E-2</v>
      </c>
      <c r="AM739">
        <v>2.7599673718214035E-2</v>
      </c>
      <c r="AN739">
        <v>2.025223895907402E-2</v>
      </c>
      <c r="AO739">
        <v>1.1498247273266315E-2</v>
      </c>
      <c r="AP739">
        <v>2.1778482478111982E-3</v>
      </c>
    </row>
    <row r="740" spans="4:45" x14ac:dyDescent="0.25">
      <c r="D740">
        <v>10000</v>
      </c>
      <c r="V740">
        <v>3.5938557237386703E-2</v>
      </c>
      <c r="W740">
        <v>9.0749450027942657E-2</v>
      </c>
      <c r="X740">
        <v>0.10004629194736481</v>
      </c>
      <c r="Y740">
        <v>0.10040952265262604</v>
      </c>
      <c r="Z740">
        <v>9.7665958106517792E-2</v>
      </c>
      <c r="AA740">
        <v>9.5796413719654083E-2</v>
      </c>
      <c r="AB740">
        <v>9.262770414352417E-2</v>
      </c>
      <c r="AC740">
        <v>8.8467270135879517E-2</v>
      </c>
      <c r="AD740">
        <v>8.3981655538082123E-2</v>
      </c>
      <c r="AE740">
        <v>7.9433798789978027E-2</v>
      </c>
      <c r="AF740">
        <v>7.3799751698970795E-2</v>
      </c>
      <c r="AG740">
        <v>6.8989895284175873E-2</v>
      </c>
      <c r="AH740">
        <v>6.290668249130249E-2</v>
      </c>
      <c r="AI740">
        <v>5.7457540184259415E-2</v>
      </c>
      <c r="AJ740">
        <v>5.0493322312831879E-2</v>
      </c>
      <c r="AK740">
        <v>4.488450288772583E-2</v>
      </c>
      <c r="AL740">
        <v>3.8216762244701385E-2</v>
      </c>
      <c r="AM740">
        <v>3.07743139564991E-2</v>
      </c>
      <c r="AN740">
        <v>2.3888466879725456E-2</v>
      </c>
      <c r="AO740">
        <v>1.5610168687999249E-2</v>
      </c>
      <c r="AP740">
        <v>6.7662526853382587E-3</v>
      </c>
    </row>
    <row r="741" spans="4:45" x14ac:dyDescent="0.25">
      <c r="D741">
        <v>11000</v>
      </c>
      <c r="V741">
        <v>4.6328417956829071E-3</v>
      </c>
      <c r="W741">
        <v>7.5926922261714935E-2</v>
      </c>
      <c r="X741">
        <v>9.8938882350921631E-2</v>
      </c>
      <c r="Y741">
        <v>9.8539352416992188E-2</v>
      </c>
      <c r="Z741">
        <v>9.8187290132045746E-2</v>
      </c>
      <c r="AA741">
        <v>9.5851771533489227E-2</v>
      </c>
      <c r="AB741">
        <v>9.280029684305191E-2</v>
      </c>
      <c r="AC741">
        <v>8.9510433375835419E-2</v>
      </c>
      <c r="AD741">
        <v>8.5011228919029236E-2</v>
      </c>
      <c r="AE741">
        <v>7.9874083399772644E-2</v>
      </c>
      <c r="AF741">
        <v>7.4910789728164673E-2</v>
      </c>
      <c r="AG741">
        <v>7.0179052650928497E-2</v>
      </c>
      <c r="AH741">
        <v>6.430710107088089E-2</v>
      </c>
      <c r="AI741">
        <v>5.9083178639411926E-2</v>
      </c>
      <c r="AJ741">
        <v>5.2833136171102524E-2</v>
      </c>
      <c r="AK741">
        <v>4.6581942588090897E-2</v>
      </c>
      <c r="AL741">
        <v>4.0677528828382492E-2</v>
      </c>
      <c r="AM741">
        <v>3.3785168081521988E-2</v>
      </c>
      <c r="AN741">
        <v>2.6687899604439735E-2</v>
      </c>
      <c r="AO741">
        <v>1.8941815942525864E-2</v>
      </c>
      <c r="AP741">
        <v>1.0632171295583248E-2</v>
      </c>
    </row>
    <row r="742" spans="4:45" x14ac:dyDescent="0.25">
      <c r="D742">
        <v>12000</v>
      </c>
      <c r="W742">
        <v>5.5375184863805771E-2</v>
      </c>
      <c r="X742">
        <v>9.3955233693122864E-2</v>
      </c>
      <c r="Y742">
        <v>9.7970403730869293E-2</v>
      </c>
      <c r="Z742">
        <v>9.6147149801254272E-2</v>
      </c>
      <c r="AA742">
        <v>9.4929106533527374E-2</v>
      </c>
      <c r="AB742">
        <v>9.2523716390132904E-2</v>
      </c>
      <c r="AC742">
        <v>8.9196391403675079E-2</v>
      </c>
      <c r="AD742">
        <v>8.492346853017807E-2</v>
      </c>
      <c r="AE742">
        <v>8.0606423318386078E-2</v>
      </c>
      <c r="AF742">
        <v>7.6233603060245514E-2</v>
      </c>
      <c r="AG742">
        <v>7.0607289671897888E-2</v>
      </c>
      <c r="AH742">
        <v>6.6145658493041992E-2</v>
      </c>
      <c r="AI742">
        <v>6.0189802199602127E-2</v>
      </c>
      <c r="AJ742">
        <v>5.4910622537136078E-2</v>
      </c>
      <c r="AK742">
        <v>4.8243165016174316E-2</v>
      </c>
      <c r="AL742">
        <v>4.2716696858406067E-2</v>
      </c>
      <c r="AM742">
        <v>3.6574907600879669E-2</v>
      </c>
      <c r="AN742">
        <v>2.9524419456720352E-2</v>
      </c>
      <c r="AO742">
        <v>2.2029265761375427E-2</v>
      </c>
      <c r="AP742">
        <v>1.4249884523451328E-2</v>
      </c>
      <c r="AQ742">
        <v>4.1083763353526592E-3</v>
      </c>
    </row>
    <row r="743" spans="4:45" x14ac:dyDescent="0.25">
      <c r="D743">
        <v>13000</v>
      </c>
      <c r="W743">
        <v>2.893560379743576E-2</v>
      </c>
      <c r="X743">
        <v>8.3265341818332672E-2</v>
      </c>
      <c r="Y743">
        <v>9.503135085105896E-2</v>
      </c>
      <c r="Z743">
        <v>9.6088506281375885E-2</v>
      </c>
      <c r="AA743">
        <v>9.4601079821586609E-2</v>
      </c>
      <c r="AB743">
        <v>9.1958343982696533E-2</v>
      </c>
      <c r="AC743">
        <v>8.8984638452529907E-2</v>
      </c>
      <c r="AD743">
        <v>8.5874207317829132E-2</v>
      </c>
      <c r="AE743">
        <v>8.1682324409484863E-2</v>
      </c>
      <c r="AF743">
        <v>7.6639190316200256E-2</v>
      </c>
      <c r="AG743">
        <v>7.1995355188846588E-2</v>
      </c>
      <c r="AH743">
        <v>6.7215465009212494E-2</v>
      </c>
      <c r="AI743">
        <v>6.1840493232011795E-2</v>
      </c>
      <c r="AJ743">
        <v>5.646243691444397E-2</v>
      </c>
      <c r="AK743">
        <v>5.0746757537126541E-2</v>
      </c>
      <c r="AL743">
        <v>4.4326741248369217E-2</v>
      </c>
      <c r="AM743">
        <v>3.8936637341976166E-2</v>
      </c>
      <c r="AN743">
        <v>3.2631821930408478E-2</v>
      </c>
      <c r="AO743">
        <v>2.4870047345757484E-2</v>
      </c>
      <c r="AP743">
        <v>1.7617382109165192E-2</v>
      </c>
      <c r="AQ743">
        <v>8.083847351372242E-3</v>
      </c>
    </row>
    <row r="744" spans="4:45" x14ac:dyDescent="0.25">
      <c r="D744">
        <v>14000</v>
      </c>
      <c r="X744">
        <v>6.6724509000778198E-2</v>
      </c>
      <c r="Y744">
        <v>9.352567046880722E-2</v>
      </c>
      <c r="Z744">
        <v>9.4512522220611572E-2</v>
      </c>
      <c r="AA744">
        <v>9.3081355094909668E-2</v>
      </c>
      <c r="AB744">
        <v>9.1700978577136993E-2</v>
      </c>
      <c r="AC744">
        <v>8.9052282273769379E-2</v>
      </c>
      <c r="AD744">
        <v>8.5694581270217896E-2</v>
      </c>
      <c r="AE744">
        <v>8.1607073545455933E-2</v>
      </c>
      <c r="AF744">
        <v>7.7512018382549286E-2</v>
      </c>
      <c r="AG744">
        <v>7.321629673242569E-2</v>
      </c>
      <c r="AH744">
        <v>6.7500203847885132E-2</v>
      </c>
      <c r="AI744">
        <v>6.3512541353702545E-2</v>
      </c>
      <c r="AJ744">
        <v>5.7478237897157669E-2</v>
      </c>
      <c r="AK744">
        <v>5.27174212038517E-2</v>
      </c>
      <c r="AL744">
        <v>4.6644967049360275E-2</v>
      </c>
      <c r="AM744">
        <v>4.0863025933504105E-2</v>
      </c>
      <c r="AN744">
        <v>3.5303927958011627E-2</v>
      </c>
      <c r="AO744">
        <v>2.8223136439919472E-2</v>
      </c>
      <c r="AP744">
        <v>2.0732348784804344E-2</v>
      </c>
      <c r="AQ744">
        <v>1.180002186447382E-2</v>
      </c>
      <c r="AR744">
        <v>4.241257265675813E-4</v>
      </c>
    </row>
    <row r="745" spans="4:45" x14ac:dyDescent="0.25">
      <c r="D745">
        <v>15000</v>
      </c>
      <c r="X745">
        <v>4.4190965592861176E-2</v>
      </c>
      <c r="Y745">
        <v>8.6275175213813782E-2</v>
      </c>
      <c r="Z745">
        <v>9.2291176319122314E-2</v>
      </c>
      <c r="AA745">
        <v>9.2805474996566772E-2</v>
      </c>
      <c r="AB745">
        <v>9.0824335813522339E-2</v>
      </c>
      <c r="AC745">
        <v>8.8186055421829224E-2</v>
      </c>
      <c r="AD745">
        <v>8.5378959774971008E-2</v>
      </c>
      <c r="AE745">
        <v>8.2629196345806122E-2</v>
      </c>
      <c r="AF745">
        <v>7.8520789742469788E-2</v>
      </c>
      <c r="AG745">
        <v>7.3504514992237091E-2</v>
      </c>
      <c r="AH745">
        <v>6.9328315556049347E-2</v>
      </c>
      <c r="AI745">
        <v>6.4390763640403748E-2</v>
      </c>
      <c r="AJ745">
        <v>5.9587139636278152E-2</v>
      </c>
      <c r="AK745">
        <v>5.4156824946403503E-2</v>
      </c>
      <c r="AL745">
        <v>4.902789369225502E-2</v>
      </c>
      <c r="AM745">
        <v>4.2676758021116257E-2</v>
      </c>
      <c r="AN745">
        <v>3.7533566355705261E-2</v>
      </c>
      <c r="AO745">
        <v>3.1266707926988602E-2</v>
      </c>
      <c r="AP745">
        <v>2.4082079529762268E-2</v>
      </c>
      <c r="AQ745">
        <v>1.5254727564752102E-2</v>
      </c>
      <c r="AR745">
        <v>4.6220025978982449E-3</v>
      </c>
    </row>
    <row r="746" spans="4:45" x14ac:dyDescent="0.25">
      <c r="D746">
        <v>16000</v>
      </c>
      <c r="X746">
        <v>1.4304192736744881E-2</v>
      </c>
      <c r="Y746">
        <v>7.2139441967010498E-2</v>
      </c>
      <c r="Z746">
        <v>9.0280525386333466E-2</v>
      </c>
      <c r="AA746">
        <v>8.9737296104431152E-2</v>
      </c>
      <c r="AB746">
        <v>8.9553765952587128E-2</v>
      </c>
      <c r="AC746">
        <v>8.7972328066825867E-2</v>
      </c>
      <c r="AD746">
        <v>8.5416451096534729E-2</v>
      </c>
      <c r="AE746">
        <v>8.2304835319519043E-2</v>
      </c>
      <c r="AF746">
        <v>7.8280091285705566E-2</v>
      </c>
      <c r="AG746">
        <v>7.4656061828136444E-2</v>
      </c>
      <c r="AH746">
        <v>7.0376060903072357E-2</v>
      </c>
      <c r="AI746">
        <v>6.5153166651725769E-2</v>
      </c>
      <c r="AJ746">
        <v>6.1066724359989166E-2</v>
      </c>
      <c r="AK746">
        <v>5.5532574653625488E-2</v>
      </c>
      <c r="AL746">
        <v>5.0717759877443314E-2</v>
      </c>
      <c r="AM746">
        <v>4.5223917812108994E-2</v>
      </c>
      <c r="AN746">
        <v>3.9072290062904358E-2</v>
      </c>
      <c r="AO746">
        <v>3.351559117436409E-2</v>
      </c>
      <c r="AP746">
        <v>2.7032721787691116E-2</v>
      </c>
      <c r="AQ746">
        <v>1.8241496756672859E-2</v>
      </c>
      <c r="AR746">
        <v>7.9720672219991684E-3</v>
      </c>
    </row>
    <row r="747" spans="4:45" x14ac:dyDescent="0.25">
      <c r="D747">
        <v>17000</v>
      </c>
      <c r="Y747">
        <v>5.1959678530693054E-2</v>
      </c>
      <c r="Z747">
        <v>8.4561929106712341E-2</v>
      </c>
      <c r="AA747">
        <v>8.8488832116127014E-2</v>
      </c>
      <c r="AB747">
        <v>8.8265500962734222E-2</v>
      </c>
      <c r="AC747">
        <v>8.6513057351112366E-2</v>
      </c>
      <c r="AD747">
        <v>8.4360696375370026E-2</v>
      </c>
      <c r="AE747">
        <v>8.206234872341156E-2</v>
      </c>
      <c r="AF747">
        <v>7.9442858695983887E-2</v>
      </c>
      <c r="AG747">
        <v>7.5444534420967102E-2</v>
      </c>
      <c r="AH747">
        <v>7.0317156612873077E-2</v>
      </c>
      <c r="AI747">
        <v>6.6900886595249176E-2</v>
      </c>
      <c r="AJ747">
        <v>6.1726536601781845E-2</v>
      </c>
      <c r="AK747">
        <v>5.7511530816555023E-2</v>
      </c>
      <c r="AL747">
        <v>5.1847174763679504E-2</v>
      </c>
      <c r="AM747">
        <v>4.7213561832904816E-2</v>
      </c>
      <c r="AN747">
        <v>4.1433293372392654E-2</v>
      </c>
      <c r="AO747">
        <v>3.5306710749864578E-2</v>
      </c>
      <c r="AP747">
        <v>2.9525185003876686E-2</v>
      </c>
      <c r="AQ747">
        <v>2.1470477804541588E-2</v>
      </c>
      <c r="AR747">
        <v>1.1076446622610092E-2</v>
      </c>
    </row>
    <row r="748" spans="4:45" x14ac:dyDescent="0.25">
      <c r="D748">
        <v>18000</v>
      </c>
      <c r="Y748">
        <v>2.5564553216099739E-2</v>
      </c>
      <c r="Z748">
        <v>7.2798416018486023E-2</v>
      </c>
      <c r="AA748">
        <v>8.5780501365661621E-2</v>
      </c>
      <c r="AB748">
        <v>8.5857726633548737E-2</v>
      </c>
      <c r="AC748">
        <v>8.5735827684402466E-2</v>
      </c>
      <c r="AD748">
        <v>8.4355354309082031E-2</v>
      </c>
      <c r="AE748">
        <v>8.2005046308040619E-2</v>
      </c>
      <c r="AF748">
        <v>7.8908868134021759E-2</v>
      </c>
      <c r="AG748">
        <v>7.5495012104511261E-2</v>
      </c>
      <c r="AH748">
        <v>7.2063535451889038E-2</v>
      </c>
      <c r="AI748">
        <v>6.7607194185256958E-2</v>
      </c>
      <c r="AJ748">
        <v>6.3174992799758911E-2</v>
      </c>
      <c r="AK748">
        <v>5.8660384267568588E-2</v>
      </c>
      <c r="AL748">
        <v>5.3803510963916779E-2</v>
      </c>
      <c r="AM748">
        <v>4.8634927719831467E-2</v>
      </c>
      <c r="AN748">
        <v>4.3660156428813934E-2</v>
      </c>
      <c r="AO748">
        <v>3.7137720733880997E-2</v>
      </c>
      <c r="AP748">
        <v>3.1551692634820938E-2</v>
      </c>
      <c r="AQ748">
        <v>2.4196421727538109E-2</v>
      </c>
      <c r="AR748">
        <v>1.4535884372889996E-2</v>
      </c>
      <c r="AS748">
        <v>3.7590743886539713E-5</v>
      </c>
    </row>
    <row r="749" spans="4:45" x14ac:dyDescent="0.25">
      <c r="D749">
        <v>19000</v>
      </c>
      <c r="Z749">
        <v>5.4830487817525864E-2</v>
      </c>
      <c r="AA749">
        <v>8.1806190311908722E-2</v>
      </c>
      <c r="AB749">
        <v>8.4706395864486694E-2</v>
      </c>
      <c r="AC749">
        <v>8.4420263767242432E-2</v>
      </c>
      <c r="AD749">
        <v>8.3107881247997284E-2</v>
      </c>
      <c r="AE749">
        <v>8.1267625093460083E-2</v>
      </c>
      <c r="AF749">
        <v>7.9099796712398529E-2</v>
      </c>
      <c r="AG749">
        <v>7.6499469578266144E-2</v>
      </c>
      <c r="AH749">
        <v>7.2571583092212677E-2</v>
      </c>
      <c r="AI749">
        <v>6.8331919610500336E-2</v>
      </c>
      <c r="AJ749">
        <v>6.4537174999713898E-2</v>
      </c>
      <c r="AK749">
        <v>5.9211388230323792E-2</v>
      </c>
      <c r="AL749">
        <v>5.5402129888534546E-2</v>
      </c>
      <c r="AM749">
        <v>5.0008449703454971E-2</v>
      </c>
      <c r="AN749">
        <v>4.526812955737114E-2</v>
      </c>
      <c r="AO749">
        <v>3.9676140993833542E-2</v>
      </c>
      <c r="AP749">
        <v>3.2892104238271713E-2</v>
      </c>
      <c r="AQ749">
        <v>2.6410844177007675E-2</v>
      </c>
      <c r="AR749">
        <v>1.7493860796093941E-2</v>
      </c>
      <c r="AS749">
        <v>3.9397669024765491E-3</v>
      </c>
    </row>
    <row r="750" spans="4:45" x14ac:dyDescent="0.25">
      <c r="D750">
        <v>20000</v>
      </c>
      <c r="Z750">
        <v>3.0485175549983978E-2</v>
      </c>
      <c r="AA750">
        <v>7.1617051959037781E-2</v>
      </c>
      <c r="AB750">
        <v>8.1727884709835052E-2</v>
      </c>
      <c r="AC750">
        <v>8.2427375018596649E-2</v>
      </c>
      <c r="AD750">
        <v>8.2424573600292206E-2</v>
      </c>
      <c r="AE750">
        <v>8.1038519740104675E-2</v>
      </c>
      <c r="AF750">
        <v>7.870764285326004E-2</v>
      </c>
      <c r="AG750">
        <v>7.5568705797195435E-2</v>
      </c>
      <c r="AH750">
        <v>7.3222286999225616E-2</v>
      </c>
      <c r="AI750">
        <v>6.9719530642032623E-2</v>
      </c>
      <c r="AJ750">
        <v>6.4830638468265533E-2</v>
      </c>
      <c r="AK750">
        <v>6.1196375638246536E-2</v>
      </c>
      <c r="AL750">
        <v>5.617181584239006E-2</v>
      </c>
      <c r="AM750">
        <v>5.2062101662158966E-2</v>
      </c>
      <c r="AN750">
        <v>4.6244300901889801E-2</v>
      </c>
      <c r="AO750">
        <v>4.1597373783588409E-2</v>
      </c>
      <c r="AP750">
        <v>3.5744398832321167E-2</v>
      </c>
      <c r="AQ750">
        <v>2.8092954307794571E-2</v>
      </c>
      <c r="AR750">
        <v>1.9857646897435188E-2</v>
      </c>
      <c r="AS750">
        <v>7.2716581635177135E-3</v>
      </c>
    </row>
    <row r="751" spans="4:45" x14ac:dyDescent="0.25">
      <c r="D751">
        <v>21000</v>
      </c>
      <c r="AA751">
        <v>5.3545385599136353E-2</v>
      </c>
      <c r="AB751">
        <v>7.7194906771183014E-2</v>
      </c>
      <c r="AC751">
        <v>7.9743251204490662E-2</v>
      </c>
      <c r="AD751">
        <v>7.9755336046218872E-2</v>
      </c>
      <c r="AE751">
        <v>7.8643046319484711E-2</v>
      </c>
      <c r="AF751">
        <v>7.7187836170196533E-2</v>
      </c>
      <c r="AG751">
        <v>7.5199611485004425E-2</v>
      </c>
      <c r="AH751">
        <v>7.2648145258426666E-2</v>
      </c>
      <c r="AI751">
        <v>6.8940892815589905E-2</v>
      </c>
      <c r="AJ751">
        <v>6.5668806433677673E-2</v>
      </c>
      <c r="AK751">
        <v>6.1511829495429993E-2</v>
      </c>
      <c r="AL751">
        <v>5.7256884872913361E-2</v>
      </c>
      <c r="AM751">
        <v>5.2967671304941177E-2</v>
      </c>
      <c r="AN751">
        <v>4.8552986234426498E-2</v>
      </c>
      <c r="AO751">
        <v>4.2785625904798508E-2</v>
      </c>
      <c r="AP751">
        <v>3.7852983921766281E-2</v>
      </c>
      <c r="AQ751">
        <v>3.0430557206273079E-2</v>
      </c>
      <c r="AR751">
        <v>2.1555311977863312E-2</v>
      </c>
      <c r="AS751">
        <v>9.8096886649727821E-3</v>
      </c>
    </row>
    <row r="752" spans="4:45" x14ac:dyDescent="0.25">
      <c r="D752">
        <v>22000</v>
      </c>
      <c r="AA752">
        <v>2.8910396620631218E-2</v>
      </c>
      <c r="AB752">
        <v>6.6252321004867554E-2</v>
      </c>
      <c r="AC752">
        <v>7.5293362140655518E-2</v>
      </c>
      <c r="AD752">
        <v>7.59597048163414E-2</v>
      </c>
      <c r="AE752">
        <v>7.606130838394165E-2</v>
      </c>
      <c r="AF752">
        <v>7.5088337063789368E-2</v>
      </c>
      <c r="AG752">
        <v>7.3028549551963806E-2</v>
      </c>
      <c r="AH752">
        <v>7.0948734879493713E-2</v>
      </c>
      <c r="AI752">
        <v>6.9317616522312164E-2</v>
      </c>
      <c r="AJ752">
        <v>6.5796218812465668E-2</v>
      </c>
      <c r="AK752">
        <v>6.1661113053560257E-2</v>
      </c>
      <c r="AL752">
        <v>5.8274351060390472E-2</v>
      </c>
      <c r="AM752">
        <v>5.3529676049947739E-2</v>
      </c>
      <c r="AN752">
        <v>4.9984361976385117E-2</v>
      </c>
      <c r="AO752">
        <v>4.4602803885936737E-2</v>
      </c>
      <c r="AP752">
        <v>3.9310265332460403E-2</v>
      </c>
      <c r="AQ752">
        <v>3.2803669571876526E-2</v>
      </c>
      <c r="AR752">
        <v>2.3836808279156685E-2</v>
      </c>
      <c r="AS752">
        <v>1.1614401824772358E-2</v>
      </c>
    </row>
    <row r="753" spans="4:45" x14ac:dyDescent="0.25">
      <c r="D753">
        <v>23000</v>
      </c>
      <c r="AB753">
        <v>4.8729363828897476E-2</v>
      </c>
      <c r="AC753">
        <v>7.0942111313343048E-2</v>
      </c>
      <c r="AD753">
        <v>7.36079141497612E-2</v>
      </c>
      <c r="AE753">
        <v>7.3971688747406006E-2</v>
      </c>
      <c r="AF753">
        <v>7.3374360799789429E-2</v>
      </c>
      <c r="AG753">
        <v>7.2372898459434509E-2</v>
      </c>
      <c r="AH753">
        <v>7.0601895451545715E-2</v>
      </c>
      <c r="AI753">
        <v>6.8161040544509888E-2</v>
      </c>
      <c r="AJ753">
        <v>6.5502367913722992E-2</v>
      </c>
      <c r="AK753">
        <v>6.2630727887153625E-2</v>
      </c>
      <c r="AL753">
        <v>5.8161094784736633E-2</v>
      </c>
      <c r="AM753">
        <v>5.5199649184942245E-2</v>
      </c>
      <c r="AN753">
        <v>5.0512868911027908E-2</v>
      </c>
      <c r="AO753">
        <v>4.6405527740716934E-2</v>
      </c>
      <c r="AP753">
        <v>4.0676023811101913E-2</v>
      </c>
      <c r="AQ753">
        <v>3.4467738121747971E-2</v>
      </c>
      <c r="AR753">
        <v>2.6483822613954544E-2</v>
      </c>
      <c r="AS753">
        <v>1.3600328005850315E-2</v>
      </c>
    </row>
    <row r="754" spans="4:45" x14ac:dyDescent="0.25">
      <c r="D754">
        <v>24000</v>
      </c>
      <c r="AB754">
        <v>2.4438017979264259E-2</v>
      </c>
      <c r="AC754">
        <v>5.9973254799842834E-2</v>
      </c>
      <c r="AD754">
        <v>6.9527246057987213E-2</v>
      </c>
      <c r="AE754">
        <v>7.000201940536499E-2</v>
      </c>
      <c r="AF754">
        <v>7.0109598338603973E-2</v>
      </c>
      <c r="AG754">
        <v>6.9562464952468872E-2</v>
      </c>
      <c r="AH754">
        <v>6.8691641092300415E-2</v>
      </c>
      <c r="AI754">
        <v>6.7673660814762115E-2</v>
      </c>
      <c r="AJ754">
        <v>6.5627038478851318E-2</v>
      </c>
      <c r="AK754">
        <v>6.2256302684545517E-2</v>
      </c>
      <c r="AL754">
        <v>5.9553228318691254E-2</v>
      </c>
      <c r="AM754">
        <v>5.5723417550325394E-2</v>
      </c>
      <c r="AN754">
        <v>5.2376478910446167E-2</v>
      </c>
      <c r="AO754">
        <v>4.7291144728660583E-2</v>
      </c>
      <c r="AP754">
        <v>4.2815759778022766E-2</v>
      </c>
      <c r="AQ754">
        <v>3.5516098141670227E-2</v>
      </c>
      <c r="AR754">
        <v>2.8315678238868713E-2</v>
      </c>
      <c r="AS754">
        <v>1.6565052792429924E-2</v>
      </c>
    </row>
    <row r="755" spans="4:45" x14ac:dyDescent="0.25">
      <c r="D755">
        <v>25000</v>
      </c>
      <c r="AC755">
        <v>4.2224902659654617E-2</v>
      </c>
      <c r="AD755">
        <v>6.4505569636821747E-2</v>
      </c>
      <c r="AE755">
        <v>6.7687191069126129E-2</v>
      </c>
      <c r="AF755">
        <v>6.8804033100605011E-2</v>
      </c>
      <c r="AG755">
        <v>6.8696066737174988E-2</v>
      </c>
      <c r="AH755">
        <v>6.8088419735431671E-2</v>
      </c>
      <c r="AI755">
        <v>6.6567152738571167E-2</v>
      </c>
      <c r="AJ755">
        <v>6.4132906496524811E-2</v>
      </c>
      <c r="AK755">
        <v>6.2889613211154938E-2</v>
      </c>
      <c r="AL755">
        <v>5.9941548854112625E-2</v>
      </c>
      <c r="AM755">
        <v>5.6654106825590134E-2</v>
      </c>
      <c r="AN755">
        <v>5.3568672388792038E-2</v>
      </c>
      <c r="AO755">
        <v>4.881025105714798E-2</v>
      </c>
      <c r="AP755">
        <v>4.4044047594070435E-2</v>
      </c>
      <c r="AQ755">
        <v>3.8061220198869705E-2</v>
      </c>
      <c r="AR755">
        <v>2.9314551502466202E-2</v>
      </c>
      <c r="AS755">
        <v>1.8465064465999603E-2</v>
      </c>
    </row>
    <row r="756" spans="4:45" x14ac:dyDescent="0.25">
      <c r="D756">
        <v>26000</v>
      </c>
      <c r="AC756">
        <v>1.6800176352262497E-2</v>
      </c>
      <c r="AD756">
        <v>5.1803991198539734E-2</v>
      </c>
      <c r="AE756">
        <v>6.346689909696579E-2</v>
      </c>
      <c r="AF756">
        <v>6.4786747097969055E-2</v>
      </c>
      <c r="AG756">
        <v>6.4940348267555237E-2</v>
      </c>
      <c r="AH756">
        <v>6.4846813678741455E-2</v>
      </c>
      <c r="AI756">
        <v>6.458524614572525E-2</v>
      </c>
      <c r="AJ756">
        <v>6.3210181891918182E-2</v>
      </c>
      <c r="AK756">
        <v>6.0766234993934631E-2</v>
      </c>
      <c r="AL756">
        <v>5.8798778802156448E-2</v>
      </c>
      <c r="AM756">
        <v>5.6407947093248367E-2</v>
      </c>
      <c r="AN756">
        <v>5.2656397223472595E-2</v>
      </c>
      <c r="AO756">
        <v>4.924151673913002E-2</v>
      </c>
      <c r="AP756">
        <v>4.4302918016910553E-2</v>
      </c>
      <c r="AQ756">
        <v>3.8922853767871857E-2</v>
      </c>
      <c r="AR756">
        <v>3.1366635113954544E-2</v>
      </c>
      <c r="AS756">
        <v>1.8895598128437996E-2</v>
      </c>
    </row>
    <row r="757" spans="4:45" x14ac:dyDescent="0.25">
      <c r="D757">
        <v>27000</v>
      </c>
      <c r="AD757">
        <v>3.1942788511514664E-2</v>
      </c>
      <c r="AE757">
        <v>5.6345168501138687E-2</v>
      </c>
      <c r="AF757">
        <v>6.0037918388843536E-2</v>
      </c>
      <c r="AG757">
        <v>6.1836168169975281E-2</v>
      </c>
      <c r="AH757">
        <v>6.1957277357578278E-2</v>
      </c>
      <c r="AI757">
        <v>6.1366487294435501E-2</v>
      </c>
      <c r="AJ757">
        <v>6.023130938410759E-2</v>
      </c>
      <c r="AK757">
        <v>5.955781415104866E-2</v>
      </c>
      <c r="AL757">
        <v>5.7707935571670532E-2</v>
      </c>
      <c r="AM757">
        <v>5.4757989943027496E-2</v>
      </c>
      <c r="AN757">
        <v>5.2996017038822174E-2</v>
      </c>
      <c r="AO757">
        <v>4.852750152349472E-2</v>
      </c>
      <c r="AP757">
        <v>4.5281767845153809E-2</v>
      </c>
      <c r="AQ757">
        <v>3.879455104470253E-2</v>
      </c>
      <c r="AR757">
        <v>3.2549463212490082E-2</v>
      </c>
      <c r="AS757">
        <v>2.0912196487188339E-2</v>
      </c>
    </row>
    <row r="758" spans="4:45" x14ac:dyDescent="0.25">
      <c r="D758">
        <v>28000</v>
      </c>
      <c r="AD758">
        <v>4.7082751989364624E-3</v>
      </c>
      <c r="AE758">
        <v>4.2007353156805038E-2</v>
      </c>
      <c r="AF758">
        <v>5.6558404117822647E-2</v>
      </c>
      <c r="AG758">
        <v>5.8619141578674316E-2</v>
      </c>
      <c r="AH758">
        <v>5.93438521027565E-2</v>
      </c>
      <c r="AI758">
        <v>5.9400450438261032E-2</v>
      </c>
      <c r="AJ758">
        <v>5.8797508478164673E-2</v>
      </c>
      <c r="AK758">
        <v>5.7349912822246552E-2</v>
      </c>
      <c r="AL758">
        <v>5.5795136839151382E-2</v>
      </c>
      <c r="AM758">
        <v>5.4603822529315948E-2</v>
      </c>
      <c r="AN758">
        <v>5.1830198615789413E-2</v>
      </c>
      <c r="AO758">
        <v>4.8993419855833054E-2</v>
      </c>
      <c r="AP758">
        <v>4.5096844434738159E-2</v>
      </c>
      <c r="AQ758">
        <v>4.0305644273757935E-2</v>
      </c>
      <c r="AR758">
        <v>3.2628823071718216E-2</v>
      </c>
      <c r="AS758">
        <v>2.2192647680640221E-2</v>
      </c>
    </row>
    <row r="759" spans="4:45" x14ac:dyDescent="0.25">
      <c r="D759">
        <v>29000</v>
      </c>
      <c r="AE759">
        <v>2.0246759057044983E-2</v>
      </c>
      <c r="AF759">
        <v>4.7276236116886139E-2</v>
      </c>
      <c r="AG759">
        <v>5.3573910146951675E-2</v>
      </c>
      <c r="AH759">
        <v>5.4972320795059204E-2</v>
      </c>
      <c r="AI759">
        <v>5.557820200920105E-2</v>
      </c>
      <c r="AJ759">
        <v>5.5814411491155624E-2</v>
      </c>
      <c r="AK759">
        <v>5.5757682770490646E-2</v>
      </c>
      <c r="AL759">
        <v>5.4741501808166504E-2</v>
      </c>
      <c r="AM759">
        <v>5.2198048681020737E-2</v>
      </c>
      <c r="AN759">
        <v>5.1643498241901398E-2</v>
      </c>
      <c r="AO759">
        <v>4.8480693250894547E-2</v>
      </c>
      <c r="AP759">
        <v>4.5363746583461761E-2</v>
      </c>
      <c r="AQ759">
        <v>4.0566954761743546E-2</v>
      </c>
      <c r="AR759">
        <v>3.4337271004915237E-2</v>
      </c>
      <c r="AS759">
        <v>2.1828919649124146E-2</v>
      </c>
    </row>
    <row r="760" spans="4:45" x14ac:dyDescent="0.25">
      <c r="D760">
        <v>30000</v>
      </c>
      <c r="AF760">
        <v>3.0510552227497101E-2</v>
      </c>
      <c r="AG760">
        <v>4.8917155712842941E-2</v>
      </c>
      <c r="AH760">
        <v>5.1707126200199127E-2</v>
      </c>
      <c r="AI760">
        <v>5.3122710436582565E-2</v>
      </c>
      <c r="AJ760">
        <v>5.3212776780128479E-2</v>
      </c>
      <c r="AK760">
        <v>5.2451357245445251E-2</v>
      </c>
      <c r="AL760">
        <v>5.250263586640358E-2</v>
      </c>
      <c r="AM760">
        <v>5.2087094634771347E-2</v>
      </c>
      <c r="AN760">
        <v>5.0257086753845215E-2</v>
      </c>
      <c r="AO760">
        <v>4.8039615154266357E-2</v>
      </c>
      <c r="AP760">
        <v>4.5444987714290619E-2</v>
      </c>
      <c r="AQ760">
        <v>4.0711548179388046E-2</v>
      </c>
      <c r="AR760">
        <v>3.4905914217233658E-2</v>
      </c>
      <c r="AS760">
        <v>2.3390818387269974E-2</v>
      </c>
    </row>
    <row r="761" spans="4:45" x14ac:dyDescent="0.25">
      <c r="D761">
        <v>31000</v>
      </c>
      <c r="AF761">
        <v>5.7118171826004982E-3</v>
      </c>
      <c r="AG761">
        <v>3.6345567554235458E-2</v>
      </c>
      <c r="AH761">
        <v>4.7511190176010132E-2</v>
      </c>
      <c r="AI761">
        <v>4.9536775797605515E-2</v>
      </c>
      <c r="AJ761">
        <v>5.0350319594144821E-2</v>
      </c>
      <c r="AK761">
        <v>5.0510246306657791E-2</v>
      </c>
      <c r="AL761">
        <v>4.9997109919786453E-2</v>
      </c>
      <c r="AM761">
        <v>4.8662658780813217E-2</v>
      </c>
      <c r="AN761">
        <v>4.8708420246839523E-2</v>
      </c>
      <c r="AO761">
        <v>4.6565808355808258E-2</v>
      </c>
      <c r="AP761">
        <v>4.3828275054693222E-2</v>
      </c>
      <c r="AQ761">
        <v>4.0241129696369171E-2</v>
      </c>
      <c r="AR761">
        <v>3.3831596374511719E-2</v>
      </c>
      <c r="AS761">
        <v>2.2593330591917038E-2</v>
      </c>
    </row>
    <row r="762" spans="4:45" x14ac:dyDescent="0.25">
      <c r="D762">
        <v>32000</v>
      </c>
      <c r="AG762">
        <v>1.5989881008863449E-2</v>
      </c>
      <c r="AH762">
        <v>3.9031960070133209E-2</v>
      </c>
      <c r="AI762">
        <v>4.418148472905159E-2</v>
      </c>
      <c r="AJ762">
        <v>4.5951459556818008E-2</v>
      </c>
      <c r="AK762">
        <v>4.6812102198600769E-2</v>
      </c>
      <c r="AL762">
        <v>4.7321874648332596E-2</v>
      </c>
      <c r="AM762">
        <v>4.7201484441757202E-2</v>
      </c>
      <c r="AN762">
        <v>4.5997906476259232E-2</v>
      </c>
      <c r="AO762">
        <v>4.4397994875907898E-2</v>
      </c>
      <c r="AP762">
        <v>4.2930051684379578E-2</v>
      </c>
      <c r="AQ762">
        <v>3.7886388599872589E-2</v>
      </c>
      <c r="AR762">
        <v>3.3264052122831345E-2</v>
      </c>
      <c r="AS762">
        <v>2.0599598065018654E-2</v>
      </c>
    </row>
    <row r="763" spans="4:45" x14ac:dyDescent="0.25">
      <c r="D763">
        <v>33000</v>
      </c>
      <c r="AH763">
        <v>2.2681724280118942E-2</v>
      </c>
      <c r="AI763">
        <v>3.9489604532718658E-2</v>
      </c>
      <c r="AJ763">
        <v>4.1771989315748215E-2</v>
      </c>
      <c r="AK763">
        <v>4.3180547654628754E-2</v>
      </c>
      <c r="AL763">
        <v>4.324166476726532E-2</v>
      </c>
      <c r="AM763">
        <v>4.3867666274309158E-2</v>
      </c>
      <c r="AN763">
        <v>4.4244423508644104E-2</v>
      </c>
      <c r="AO763">
        <v>4.2473424226045609E-2</v>
      </c>
      <c r="AP763">
        <v>4.0207386016845703E-2</v>
      </c>
      <c r="AQ763">
        <v>3.735782578587532E-2</v>
      </c>
      <c r="AR763">
        <v>3.0208989977836609E-2</v>
      </c>
      <c r="AS763">
        <v>2.0056381821632385E-2</v>
      </c>
    </row>
    <row r="764" spans="4:45" x14ac:dyDescent="0.25">
      <c r="D764">
        <v>34000</v>
      </c>
      <c r="AI764">
        <v>2.6968443766236305E-2</v>
      </c>
      <c r="AJ764">
        <v>3.8001708686351776E-2</v>
      </c>
      <c r="AK764">
        <v>3.9980087429285049E-2</v>
      </c>
      <c r="AL764">
        <v>4.0984787046909332E-2</v>
      </c>
      <c r="AM764">
        <v>4.1097827255725861E-2</v>
      </c>
      <c r="AN764">
        <v>4.0349237620830536E-2</v>
      </c>
      <c r="AO764">
        <v>4.0152177214622498E-2</v>
      </c>
      <c r="AP764">
        <v>3.8956306874752045E-2</v>
      </c>
      <c r="AQ764">
        <v>3.4060802310705185E-2</v>
      </c>
      <c r="AR764">
        <v>2.9909584671258926E-2</v>
      </c>
      <c r="AS764">
        <v>1.575879193842411E-2</v>
      </c>
    </row>
    <row r="765" spans="4:45" x14ac:dyDescent="0.25">
      <c r="D765">
        <v>35000</v>
      </c>
      <c r="AJ765">
        <v>2.862221747636795E-2</v>
      </c>
      <c r="AK765">
        <v>3.5397753119468689E-2</v>
      </c>
      <c r="AL765">
        <v>3.7404384464025497E-2</v>
      </c>
      <c r="AM765">
        <v>3.8382809609174728E-2</v>
      </c>
      <c r="AN765">
        <v>3.8650438189506531E-2</v>
      </c>
      <c r="AO765">
        <v>3.7021499127149582E-2</v>
      </c>
      <c r="AP765">
        <v>3.615228459239006E-2</v>
      </c>
      <c r="AQ765">
        <v>3.3242955803871155E-2</v>
      </c>
      <c r="AR765">
        <v>2.6115363463759422E-2</v>
      </c>
      <c r="AS765">
        <v>1.5396577306091785E-2</v>
      </c>
    </row>
    <row r="766" spans="4:45" x14ac:dyDescent="0.25">
      <c r="D766">
        <v>36000</v>
      </c>
      <c r="AL766">
        <v>3.0386466532945633E-2</v>
      </c>
      <c r="AM766">
        <v>3.2580740749835968E-2</v>
      </c>
      <c r="AN766">
        <v>3.371473029255867E-2</v>
      </c>
      <c r="AO766">
        <v>3.2968241721391678E-2</v>
      </c>
      <c r="AP766">
        <v>3.1824477016925812E-2</v>
      </c>
      <c r="AQ766">
        <v>2.7958735823631287E-2</v>
      </c>
      <c r="AR766">
        <v>2.3343812674283981E-2</v>
      </c>
      <c r="AS766">
        <v>9.2207174748182297E-3</v>
      </c>
    </row>
    <row r="767" spans="4:45" x14ac:dyDescent="0.25">
      <c r="D767">
        <v>37000</v>
      </c>
      <c r="AN767">
        <v>2.7437113225460052E-2</v>
      </c>
      <c r="AO767">
        <v>2.7322446927428246E-2</v>
      </c>
      <c r="AP767">
        <v>2.7187870815396309E-2</v>
      </c>
      <c r="AQ767">
        <v>2.3819746449589729E-2</v>
      </c>
      <c r="AR767">
        <v>1.7542989924550056E-2</v>
      </c>
    </row>
    <row r="768" spans="4:45" x14ac:dyDescent="0.25">
      <c r="D768">
        <v>38000</v>
      </c>
    </row>
    <row r="769" spans="3:55" x14ac:dyDescent="0.25">
      <c r="D769">
        <v>39000</v>
      </c>
    </row>
    <row r="770" spans="3:55" x14ac:dyDescent="0.25">
      <c r="D770">
        <v>40000</v>
      </c>
    </row>
    <row r="771" spans="3:55" x14ac:dyDescent="0.25">
      <c r="D771">
        <v>41000</v>
      </c>
    </row>
    <row r="772" spans="3:55" x14ac:dyDescent="0.25">
      <c r="D772">
        <v>42000</v>
      </c>
    </row>
    <row r="773" spans="3:55" x14ac:dyDescent="0.25">
      <c r="D773">
        <v>43000</v>
      </c>
    </row>
    <row r="774" spans="3:55" x14ac:dyDescent="0.25">
      <c r="D774">
        <v>44000</v>
      </c>
    </row>
    <row r="775" spans="3:55" x14ac:dyDescent="0.25">
      <c r="D775">
        <v>45000</v>
      </c>
    </row>
    <row r="776" spans="3:55" x14ac:dyDescent="0.25">
      <c r="D776">
        <v>46000</v>
      </c>
    </row>
    <row r="777" spans="3:55" x14ac:dyDescent="0.25">
      <c r="D777">
        <v>47000</v>
      </c>
    </row>
    <row r="778" spans="3:55" x14ac:dyDescent="0.25">
      <c r="D778">
        <v>48000</v>
      </c>
    </row>
    <row r="779" spans="3:55" x14ac:dyDescent="0.25">
      <c r="D779">
        <v>49000</v>
      </c>
    </row>
    <row r="780" spans="3:55" x14ac:dyDescent="0.25">
      <c r="D780">
        <v>50000</v>
      </c>
    </row>
    <row r="781" spans="3:55" x14ac:dyDescent="0.25">
      <c r="C781" t="s">
        <v>148</v>
      </c>
      <c r="D781" t="s">
        <v>133</v>
      </c>
      <c r="E781">
        <v>0</v>
      </c>
      <c r="F781">
        <v>0.02</v>
      </c>
      <c r="G781">
        <v>0.04</v>
      </c>
      <c r="H781">
        <v>0.06</v>
      </c>
      <c r="I781">
        <v>0.08</v>
      </c>
      <c r="J781">
        <v>0.1</v>
      </c>
      <c r="K781">
        <v>0.12</v>
      </c>
      <c r="L781">
        <v>0.14000000000000001</v>
      </c>
      <c r="M781">
        <v>0.16</v>
      </c>
      <c r="N781">
        <v>0.18</v>
      </c>
      <c r="O781">
        <v>0.2</v>
      </c>
      <c r="P781">
        <v>0.22</v>
      </c>
      <c r="Q781">
        <v>0.24</v>
      </c>
      <c r="R781">
        <v>0.26</v>
      </c>
      <c r="S781">
        <v>0.28000000000000003</v>
      </c>
      <c r="T781">
        <v>0.3</v>
      </c>
      <c r="U781">
        <v>0.32</v>
      </c>
      <c r="V781">
        <v>0.34</v>
      </c>
      <c r="W781">
        <v>0.36</v>
      </c>
      <c r="X781">
        <v>0.38</v>
      </c>
      <c r="Y781">
        <v>0.4</v>
      </c>
      <c r="Z781">
        <v>0.42</v>
      </c>
      <c r="AA781">
        <v>0.44</v>
      </c>
      <c r="AB781">
        <v>0.46</v>
      </c>
      <c r="AC781">
        <v>0.48</v>
      </c>
      <c r="AD781">
        <v>0.5</v>
      </c>
      <c r="AE781">
        <v>0.52</v>
      </c>
      <c r="AF781">
        <v>0.54</v>
      </c>
      <c r="AG781">
        <v>0.56000000000000005</v>
      </c>
      <c r="AH781">
        <v>0.57999999999999996</v>
      </c>
      <c r="AI781">
        <v>0.6</v>
      </c>
      <c r="AJ781">
        <v>0.62</v>
      </c>
      <c r="AK781">
        <v>0.64</v>
      </c>
      <c r="AL781">
        <v>0.66</v>
      </c>
      <c r="AM781">
        <v>0.68</v>
      </c>
      <c r="AN781">
        <v>0.7</v>
      </c>
      <c r="AO781">
        <v>0.72</v>
      </c>
      <c r="AP781">
        <v>0.74</v>
      </c>
      <c r="AQ781">
        <v>0.76</v>
      </c>
      <c r="AR781">
        <v>0.78</v>
      </c>
      <c r="AS781">
        <v>0.8</v>
      </c>
      <c r="AT781">
        <v>0.82</v>
      </c>
      <c r="AU781">
        <v>0.84</v>
      </c>
      <c r="AV781">
        <v>0.86</v>
      </c>
      <c r="AW781">
        <v>0.88</v>
      </c>
      <c r="AX781">
        <v>0.9</v>
      </c>
      <c r="AY781">
        <v>0.92</v>
      </c>
      <c r="AZ781">
        <v>0.94</v>
      </c>
      <c r="BA781">
        <v>0.96</v>
      </c>
      <c r="BB781">
        <v>0.98</v>
      </c>
      <c r="BC781">
        <v>1</v>
      </c>
    </row>
    <row r="782" spans="3:55" x14ac:dyDescent="0.25">
      <c r="D782">
        <v>0</v>
      </c>
      <c r="R782">
        <v>624.7344970703125</v>
      </c>
      <c r="S782">
        <v>3338.54345703125</v>
      </c>
      <c r="T782">
        <v>4800.37744140625</v>
      </c>
      <c r="U782">
        <v>5254.09521484375</v>
      </c>
      <c r="V782">
        <v>5516.42578125</v>
      </c>
      <c r="W782">
        <v>5726.80810546875</v>
      </c>
      <c r="X782">
        <v>5897.77880859375</v>
      </c>
      <c r="Y782">
        <v>6045.39013671875</v>
      </c>
      <c r="Z782">
        <v>5403.44873046875</v>
      </c>
      <c r="AA782">
        <v>4690.8232421875</v>
      </c>
      <c r="AB782">
        <v>3908.276123046875</v>
      </c>
      <c r="AC782">
        <v>3021.62548828125</v>
      </c>
      <c r="AD782">
        <v>2071.134033203125</v>
      </c>
      <c r="AE782">
        <v>1892.6629638671875</v>
      </c>
      <c r="AF782">
        <v>1714.528076171875</v>
      </c>
      <c r="AG782">
        <v>1476.9281005859375</v>
      </c>
      <c r="AH782">
        <v>1240.4310302734375</v>
      </c>
      <c r="AI782">
        <v>972.7529296875</v>
      </c>
      <c r="AJ782">
        <v>665.3189697265625</v>
      </c>
      <c r="AK782">
        <v>312.52655029296875</v>
      </c>
    </row>
    <row r="783" spans="3:55" x14ac:dyDescent="0.25">
      <c r="D783">
        <v>1000</v>
      </c>
      <c r="S783">
        <v>2662.1240234375</v>
      </c>
      <c r="T783">
        <v>4420.91943359375</v>
      </c>
      <c r="U783">
        <v>5038.3564453125</v>
      </c>
      <c r="V783">
        <v>5328.505859375</v>
      </c>
      <c r="W783">
        <v>5563.76318359375</v>
      </c>
      <c r="X783">
        <v>5745.4375</v>
      </c>
      <c r="Y783">
        <v>5890.98095703125</v>
      </c>
      <c r="Z783">
        <v>5295.146484375</v>
      </c>
      <c r="AA783">
        <v>4618.7041015625</v>
      </c>
      <c r="AB783">
        <v>3855.77685546875</v>
      </c>
      <c r="AC783">
        <v>3017.582275390625</v>
      </c>
      <c r="AD783">
        <v>2125.921875</v>
      </c>
      <c r="AE783">
        <v>1945.7545166015625</v>
      </c>
      <c r="AF783">
        <v>1785.4356689453125</v>
      </c>
      <c r="AG783">
        <v>1577.1646728515625</v>
      </c>
      <c r="AH783">
        <v>1335.5452880859375</v>
      </c>
      <c r="AI783">
        <v>1087.860595703125</v>
      </c>
      <c r="AJ783">
        <v>801.1234130859375</v>
      </c>
      <c r="AK783">
        <v>459.27725219726563</v>
      </c>
      <c r="AL783">
        <v>113.18515014648438</v>
      </c>
    </row>
    <row r="784" spans="3:55" x14ac:dyDescent="0.25">
      <c r="D784">
        <v>2000</v>
      </c>
      <c r="S784">
        <v>1898.940185546875</v>
      </c>
      <c r="T784">
        <v>3949.630126953125</v>
      </c>
      <c r="U784">
        <v>4879.9677734375</v>
      </c>
      <c r="V784">
        <v>5160.4716796875</v>
      </c>
      <c r="W784">
        <v>5372.25</v>
      </c>
      <c r="X784">
        <v>5569.35595703125</v>
      </c>
      <c r="Y784">
        <v>5728.50146484375</v>
      </c>
      <c r="Z784">
        <v>5174.13037109375</v>
      </c>
      <c r="AA784">
        <v>4526.1904296875</v>
      </c>
      <c r="AB784">
        <v>3792.346923828125</v>
      </c>
      <c r="AC784">
        <v>3032.019287109375</v>
      </c>
      <c r="AD784">
        <v>2166.171630859375</v>
      </c>
      <c r="AE784">
        <v>2022.365966796875</v>
      </c>
      <c r="AF784">
        <v>1844.486572265625</v>
      </c>
      <c r="AG784">
        <v>1665.0859375</v>
      </c>
      <c r="AH784">
        <v>1429.7078857421875</v>
      </c>
      <c r="AI784">
        <v>1195.1644287109375</v>
      </c>
      <c r="AJ784">
        <v>928.739013671875</v>
      </c>
      <c r="AK784">
        <v>628.30487060546875</v>
      </c>
      <c r="AL784">
        <v>270.00473022460938</v>
      </c>
    </row>
    <row r="785" spans="4:45" x14ac:dyDescent="0.25">
      <c r="D785">
        <v>3000</v>
      </c>
      <c r="S785">
        <v>1047.26171875</v>
      </c>
      <c r="T785">
        <v>3385.13037109375</v>
      </c>
      <c r="U785">
        <v>4631.7529296875</v>
      </c>
      <c r="V785">
        <v>4976.37646484375</v>
      </c>
      <c r="W785">
        <v>5213.60546875</v>
      </c>
      <c r="X785">
        <v>5393.71484375</v>
      </c>
      <c r="Y785">
        <v>5529.88671875</v>
      </c>
      <c r="Z785">
        <v>5028.7744140625</v>
      </c>
      <c r="AA785">
        <v>4430.80029296875</v>
      </c>
      <c r="AB785">
        <v>3768.366943359375</v>
      </c>
      <c r="AC785">
        <v>3026.36572265625</v>
      </c>
      <c r="AD785">
        <v>2200.23779296875</v>
      </c>
      <c r="AE785">
        <v>2083.777099609375</v>
      </c>
      <c r="AF785">
        <v>1899.5052490234375</v>
      </c>
      <c r="AG785">
        <v>1740.63720703125</v>
      </c>
      <c r="AH785">
        <v>1534.4989013671875</v>
      </c>
      <c r="AI785">
        <v>1294.66796875</v>
      </c>
      <c r="AJ785">
        <v>1048.1873779296875</v>
      </c>
      <c r="AK785">
        <v>768.3106689453125</v>
      </c>
      <c r="AL785">
        <v>455.97589111328125</v>
      </c>
      <c r="AM785">
        <v>83.675765991210938</v>
      </c>
    </row>
    <row r="786" spans="4:45" x14ac:dyDescent="0.25">
      <c r="D786">
        <v>4000</v>
      </c>
      <c r="S786">
        <v>105.20289611816406</v>
      </c>
      <c r="T786">
        <v>2725.888427734375</v>
      </c>
      <c r="U786">
        <v>4284.62744140625</v>
      </c>
      <c r="V786">
        <v>4782.83984375</v>
      </c>
      <c r="W786">
        <v>5015.1875</v>
      </c>
      <c r="X786">
        <v>5226.8857421875</v>
      </c>
      <c r="Y786">
        <v>5387.66748046875</v>
      </c>
      <c r="Z786">
        <v>4919.439453125</v>
      </c>
      <c r="AA786">
        <v>4359.0166015625</v>
      </c>
      <c r="AB786">
        <v>3722.54931640625</v>
      </c>
      <c r="AC786">
        <v>3000.43798828125</v>
      </c>
      <c r="AD786">
        <v>2263.292724609375</v>
      </c>
      <c r="AE786">
        <v>2129.88232421875</v>
      </c>
      <c r="AF786">
        <v>1981.9881591796875</v>
      </c>
      <c r="AG786">
        <v>1803.74853515625</v>
      </c>
      <c r="AH786">
        <v>1626.3944091796875</v>
      </c>
      <c r="AI786">
        <v>1397.4095458984375</v>
      </c>
      <c r="AJ786">
        <v>1159.4794921875</v>
      </c>
      <c r="AK786">
        <v>899.77996826171875</v>
      </c>
      <c r="AL786">
        <v>608.20928955078125</v>
      </c>
      <c r="AM786">
        <v>245.79196166992188</v>
      </c>
    </row>
    <row r="787" spans="4:45" x14ac:dyDescent="0.25">
      <c r="D787">
        <v>5000</v>
      </c>
      <c r="T787">
        <v>1970.208740234375</v>
      </c>
      <c r="U787">
        <v>3837.425048828125</v>
      </c>
      <c r="V787">
        <v>4602.2138671875</v>
      </c>
      <c r="W787">
        <v>4852.720703125</v>
      </c>
      <c r="X787">
        <v>5038.171875</v>
      </c>
      <c r="Y787">
        <v>5200.62841796875</v>
      </c>
      <c r="Z787">
        <v>4776.052734375</v>
      </c>
      <c r="AA787">
        <v>4261.38427734375</v>
      </c>
      <c r="AB787">
        <v>3655.05126953125</v>
      </c>
      <c r="AC787">
        <v>3012.681396484375</v>
      </c>
      <c r="AD787">
        <v>2306.020263671875</v>
      </c>
      <c r="AE787">
        <v>2164.7275390625</v>
      </c>
      <c r="AF787">
        <v>2048.874267578125</v>
      </c>
      <c r="AG787">
        <v>1865.1270751953125</v>
      </c>
      <c r="AH787">
        <v>1706.248779296875</v>
      </c>
      <c r="AI787">
        <v>1505.6435546875</v>
      </c>
      <c r="AJ787">
        <v>1262.8912353515625</v>
      </c>
      <c r="AK787">
        <v>1023.3245239257813</v>
      </c>
      <c r="AL787">
        <v>752.498291015625</v>
      </c>
      <c r="AM787">
        <v>451.34103393554688</v>
      </c>
      <c r="AN787">
        <v>127.53007507324219</v>
      </c>
    </row>
    <row r="788" spans="4:45" x14ac:dyDescent="0.25">
      <c r="D788">
        <v>6000</v>
      </c>
      <c r="T788">
        <v>828.3577880859375</v>
      </c>
      <c r="U788">
        <v>2979.734375</v>
      </c>
      <c r="V788">
        <v>4043.90478515625</v>
      </c>
      <c r="W788">
        <v>4311.19482421875</v>
      </c>
      <c r="X788">
        <v>4501.271484375</v>
      </c>
      <c r="Y788">
        <v>4645.22509765625</v>
      </c>
      <c r="Z788">
        <v>4301.6533203125</v>
      </c>
      <c r="AA788">
        <v>3907.7109375</v>
      </c>
      <c r="AB788">
        <v>3437.840087890625</v>
      </c>
      <c r="AC788">
        <v>2908.836669921875</v>
      </c>
      <c r="AD788">
        <v>2311.071044921875</v>
      </c>
      <c r="AE788">
        <v>2217.80615234375</v>
      </c>
      <c r="AF788">
        <v>2083.066162109375</v>
      </c>
      <c r="AG788">
        <v>1936.1907958984375</v>
      </c>
      <c r="AH788">
        <v>1757.1240234375</v>
      </c>
      <c r="AI788">
        <v>1586.32080078125</v>
      </c>
      <c r="AJ788">
        <v>1362.05078125</v>
      </c>
      <c r="AK788">
        <v>1124.4583740234375</v>
      </c>
      <c r="AL788">
        <v>874.05859375</v>
      </c>
      <c r="AM788">
        <v>593.89593505859375</v>
      </c>
      <c r="AN788">
        <v>285.23974609375</v>
      </c>
    </row>
    <row r="789" spans="4:45" x14ac:dyDescent="0.25">
      <c r="D789">
        <v>7000</v>
      </c>
      <c r="U789">
        <v>2020.94873046875</v>
      </c>
      <c r="V789">
        <v>3380.30029296875</v>
      </c>
      <c r="W789">
        <v>3771.34765625</v>
      </c>
      <c r="X789">
        <v>3938.755859375</v>
      </c>
      <c r="Y789">
        <v>4073.719970703125</v>
      </c>
      <c r="Z789">
        <v>3846.72705078125</v>
      </c>
      <c r="AA789">
        <v>3558.862548828125</v>
      </c>
      <c r="AB789">
        <v>3202.687255859375</v>
      </c>
      <c r="AC789">
        <v>2782.230712890625</v>
      </c>
      <c r="AD789">
        <v>2334.819091796875</v>
      </c>
      <c r="AE789">
        <v>2249.631103515625</v>
      </c>
      <c r="AF789">
        <v>2106.779052734375</v>
      </c>
      <c r="AG789">
        <v>1990.6416015625</v>
      </c>
      <c r="AH789">
        <v>1812.4527587890625</v>
      </c>
      <c r="AI789">
        <v>1653.5577392578125</v>
      </c>
      <c r="AJ789">
        <v>1458.8216552734375</v>
      </c>
      <c r="AK789">
        <v>1217.2039794921875</v>
      </c>
      <c r="AL789">
        <v>986.87188720703125</v>
      </c>
      <c r="AM789">
        <v>727.31878662109375</v>
      </c>
      <c r="AN789">
        <v>440.14047241210938</v>
      </c>
      <c r="AO789">
        <v>64.43707275390625</v>
      </c>
    </row>
    <row r="790" spans="4:45" x14ac:dyDescent="0.25">
      <c r="D790">
        <v>8000</v>
      </c>
      <c r="U790">
        <v>959.25115966796875</v>
      </c>
      <c r="V790">
        <v>2610.004638671875</v>
      </c>
      <c r="W790">
        <v>3238.369384765625</v>
      </c>
      <c r="X790">
        <v>3398.01318359375</v>
      </c>
      <c r="Y790">
        <v>3512.82763671875</v>
      </c>
      <c r="Z790">
        <v>3354.73876953125</v>
      </c>
      <c r="AA790">
        <v>3170.229736328125</v>
      </c>
      <c r="AB790">
        <v>2947.713134765625</v>
      </c>
      <c r="AC790">
        <v>2676.14404296875</v>
      </c>
      <c r="AD790">
        <v>2363.7861328125</v>
      </c>
      <c r="AE790">
        <v>2260.0166015625</v>
      </c>
      <c r="AF790">
        <v>2165.206298828125</v>
      </c>
      <c r="AG790">
        <v>2028.360107421875</v>
      </c>
      <c r="AH790">
        <v>1886.9483642578125</v>
      </c>
      <c r="AI790">
        <v>1707.27099609375</v>
      </c>
      <c r="AJ790">
        <v>1541.6171875</v>
      </c>
      <c r="AK790">
        <v>1328.18798828125</v>
      </c>
      <c r="AL790">
        <v>1090.946044921875</v>
      </c>
      <c r="AM790">
        <v>851.63385009765625</v>
      </c>
      <c r="AN790">
        <v>585.5128173828125</v>
      </c>
      <c r="AO790">
        <v>258.76644897460938</v>
      </c>
    </row>
    <row r="791" spans="4:45" x14ac:dyDescent="0.25">
      <c r="D791">
        <v>9000</v>
      </c>
      <c r="V791">
        <v>1731.430908203125</v>
      </c>
      <c r="W791">
        <v>2662.041748046875</v>
      </c>
      <c r="X791">
        <v>2850.277587890625</v>
      </c>
      <c r="Y791">
        <v>2941.583984375</v>
      </c>
      <c r="Z791">
        <v>2914.526123046875</v>
      </c>
      <c r="AA791">
        <v>2835.975341796875</v>
      </c>
      <c r="AB791">
        <v>2727.37744140625</v>
      </c>
      <c r="AC791">
        <v>2568.78076171875</v>
      </c>
      <c r="AD791">
        <v>2367.805908203125</v>
      </c>
      <c r="AE791">
        <v>2285.20556640625</v>
      </c>
      <c r="AF791">
        <v>2201.2939453125</v>
      </c>
      <c r="AG791">
        <v>2062.523681640625</v>
      </c>
      <c r="AH791">
        <v>1944.0380859375</v>
      </c>
      <c r="AI791">
        <v>1777.0963134765625</v>
      </c>
      <c r="AJ791">
        <v>1610.365234375</v>
      </c>
      <c r="AK791">
        <v>1426.2733154296875</v>
      </c>
      <c r="AL791">
        <v>1196.5841064453125</v>
      </c>
      <c r="AM791">
        <v>966.85589599609375</v>
      </c>
      <c r="AN791">
        <v>721.3895263671875</v>
      </c>
      <c r="AO791">
        <v>416.03091430664063</v>
      </c>
      <c r="AP791">
        <v>79.965095520019531</v>
      </c>
    </row>
    <row r="792" spans="4:45" x14ac:dyDescent="0.25">
      <c r="D792">
        <v>10000</v>
      </c>
      <c r="V792">
        <v>742.8851318359375</v>
      </c>
      <c r="W792">
        <v>1971.5428466796875</v>
      </c>
      <c r="X792">
        <v>2276.478515625</v>
      </c>
      <c r="Y792">
        <v>2385.49560546875</v>
      </c>
      <c r="Z792">
        <v>2415.74169921875</v>
      </c>
      <c r="AA792">
        <v>2460.5244140625</v>
      </c>
      <c r="AB792">
        <v>2464.619873046875</v>
      </c>
      <c r="AC792">
        <v>2433.11328125</v>
      </c>
      <c r="AD792">
        <v>2382.572998046875</v>
      </c>
      <c r="AE792">
        <v>2320.19287109375</v>
      </c>
      <c r="AF792">
        <v>2215.4521484375</v>
      </c>
      <c r="AG792">
        <v>2125.02685546875</v>
      </c>
      <c r="AH792">
        <v>1985.0714111328125</v>
      </c>
      <c r="AI792">
        <v>1854.8026123046875</v>
      </c>
      <c r="AJ792">
        <v>1665.194580078125</v>
      </c>
      <c r="AK792">
        <v>1510.2603759765625</v>
      </c>
      <c r="AL792">
        <v>1310.417724609375</v>
      </c>
      <c r="AM792">
        <v>1074.11376953125</v>
      </c>
      <c r="AN792">
        <v>847.791748046875</v>
      </c>
      <c r="AO792">
        <v>562.7373046875</v>
      </c>
      <c r="AP792">
        <v>247.52848815917969</v>
      </c>
    </row>
    <row r="793" spans="4:45" x14ac:dyDescent="0.25">
      <c r="D793">
        <v>11000</v>
      </c>
      <c r="V793">
        <v>95.411552429199219</v>
      </c>
      <c r="W793">
        <v>1643.42724609375</v>
      </c>
      <c r="X793">
        <v>2242.962646484375</v>
      </c>
      <c r="Y793">
        <v>2332.41552734375</v>
      </c>
      <c r="Z793">
        <v>2419.663818359375</v>
      </c>
      <c r="AA793">
        <v>2452.8505859375</v>
      </c>
      <c r="AB793">
        <v>2460.089599609375</v>
      </c>
      <c r="AC793">
        <v>2452.7080078125</v>
      </c>
      <c r="AD793">
        <v>2402.871337890625</v>
      </c>
      <c r="AE793">
        <v>2324.433349609375</v>
      </c>
      <c r="AF793">
        <v>2240.49658203125</v>
      </c>
      <c r="AG793">
        <v>2153.6689453125</v>
      </c>
      <c r="AH793">
        <v>2021.765625</v>
      </c>
      <c r="AI793">
        <v>1900.233642578125</v>
      </c>
      <c r="AJ793">
        <v>1735.9208984375</v>
      </c>
      <c r="AK793">
        <v>1561.58447265625</v>
      </c>
      <c r="AL793">
        <v>1389.641845703125</v>
      </c>
      <c r="AM793">
        <v>1174.8448486328125</v>
      </c>
      <c r="AN793">
        <v>943.6431884765625</v>
      </c>
      <c r="AO793">
        <v>680.31829833984375</v>
      </c>
      <c r="AP793">
        <v>387.517578125</v>
      </c>
    </row>
    <row r="794" spans="4:45" x14ac:dyDescent="0.25">
      <c r="D794">
        <v>12000</v>
      </c>
      <c r="W794">
        <v>1194.1270751953125</v>
      </c>
      <c r="X794">
        <v>2122.054931640625</v>
      </c>
      <c r="Y794">
        <v>2310.318115234375</v>
      </c>
      <c r="Z794">
        <v>2360.56982421875</v>
      </c>
      <c r="AA794">
        <v>2420.198486328125</v>
      </c>
      <c r="AB794">
        <v>2443.62890625</v>
      </c>
      <c r="AC794">
        <v>2435.006591796875</v>
      </c>
      <c r="AD794">
        <v>2391.457275390625</v>
      </c>
      <c r="AE794">
        <v>2337.01513671875</v>
      </c>
      <c r="AF794">
        <v>2271.574951171875</v>
      </c>
      <c r="AG794">
        <v>2158.746337890625</v>
      </c>
      <c r="AH794">
        <v>2071.828857421875</v>
      </c>
      <c r="AI794">
        <v>1928.620361328125</v>
      </c>
      <c r="AJ794">
        <v>1797.4654541015625</v>
      </c>
      <c r="AK794">
        <v>1611.2552490234375</v>
      </c>
      <c r="AL794">
        <v>1453.87353515625</v>
      </c>
      <c r="AM794">
        <v>1267.12158203125</v>
      </c>
      <c r="AN794">
        <v>1040.0528564453125</v>
      </c>
      <c r="AO794">
        <v>788.26318359375</v>
      </c>
      <c r="AP794">
        <v>517.4417724609375</v>
      </c>
      <c r="AQ794">
        <v>151.2525634765625</v>
      </c>
    </row>
    <row r="795" spans="4:45" x14ac:dyDescent="0.25">
      <c r="D795">
        <v>13000</v>
      </c>
      <c r="W795">
        <v>621.63653564453125</v>
      </c>
      <c r="X795">
        <v>1873.564208984375</v>
      </c>
      <c r="Y795">
        <v>2232.607666015625</v>
      </c>
      <c r="Z795">
        <v>2350.284912109375</v>
      </c>
      <c r="AA795">
        <v>2402.792724609375</v>
      </c>
      <c r="AB795">
        <v>2419.591064453125</v>
      </c>
      <c r="AC795">
        <v>2420.11767578125</v>
      </c>
      <c r="AD795">
        <v>2409.163330078125</v>
      </c>
      <c r="AE795">
        <v>2359.32958984375</v>
      </c>
      <c r="AF795">
        <v>2275.09814453125</v>
      </c>
      <c r="AG795">
        <v>2192.931884765625</v>
      </c>
      <c r="AH795">
        <v>2097.44384765625</v>
      </c>
      <c r="AI795">
        <v>1974.0828857421875</v>
      </c>
      <c r="AJ795">
        <v>1841.3336181640625</v>
      </c>
      <c r="AK795">
        <v>1688.5169677734375</v>
      </c>
      <c r="AL795">
        <v>1503.015380859375</v>
      </c>
      <c r="AM795">
        <v>1343.8851318359375</v>
      </c>
      <c r="AN795">
        <v>1145.20703125</v>
      </c>
      <c r="AO795">
        <v>886.576904296875</v>
      </c>
      <c r="AP795">
        <v>637.32373046875</v>
      </c>
      <c r="AQ795">
        <v>296.49630737304688</v>
      </c>
    </row>
    <row r="796" spans="4:45" x14ac:dyDescent="0.25">
      <c r="D796">
        <v>14000</v>
      </c>
      <c r="X796">
        <v>1495.705810546875</v>
      </c>
      <c r="Y796">
        <v>2188.934814453125</v>
      </c>
      <c r="Z796">
        <v>2303.005126953125</v>
      </c>
      <c r="AA796">
        <v>2355.262939453125</v>
      </c>
      <c r="AB796">
        <v>2403.70556640625</v>
      </c>
      <c r="AC796">
        <v>2412.809326171875</v>
      </c>
      <c r="AD796">
        <v>2395.04345703125</v>
      </c>
      <c r="AE796">
        <v>2348.252685546875</v>
      </c>
      <c r="AF796">
        <v>2292.3173828125</v>
      </c>
      <c r="AG796">
        <v>2221.697509765625</v>
      </c>
      <c r="AH796">
        <v>2098.373046875</v>
      </c>
      <c r="AI796">
        <v>2019.80029296875</v>
      </c>
      <c r="AJ796">
        <v>1867.380126953125</v>
      </c>
      <c r="AK796">
        <v>1747.462158203125</v>
      </c>
      <c r="AL796">
        <v>1575.6468505859375</v>
      </c>
      <c r="AM796">
        <v>1405.0465087890625</v>
      </c>
      <c r="AN796">
        <v>1234.3040771484375</v>
      </c>
      <c r="AO796">
        <v>1002.3089599609375</v>
      </c>
      <c r="AP796">
        <v>747.1773681640625</v>
      </c>
      <c r="AQ796">
        <v>431.1619873046875</v>
      </c>
      <c r="AR796">
        <v>15.698517799377441</v>
      </c>
    </row>
    <row r="797" spans="4:45" x14ac:dyDescent="0.25">
      <c r="D797">
        <v>15000</v>
      </c>
      <c r="X797">
        <v>986.82098388671875</v>
      </c>
      <c r="Y797">
        <v>2011.5548095703125</v>
      </c>
      <c r="Z797">
        <v>2240.31884765625</v>
      </c>
      <c r="AA797">
        <v>2339.345458984375</v>
      </c>
      <c r="AB797">
        <v>2371.666259765625</v>
      </c>
      <c r="AC797">
        <v>2380.24658203125</v>
      </c>
      <c r="AD797">
        <v>2377.14111328125</v>
      </c>
      <c r="AE797">
        <v>2368.61572265625</v>
      </c>
      <c r="AF797">
        <v>2313.313232421875</v>
      </c>
      <c r="AG797">
        <v>2221.955078125</v>
      </c>
      <c r="AH797">
        <v>2147.00146484375</v>
      </c>
      <c r="AI797">
        <v>2039.936279296875</v>
      </c>
      <c r="AJ797">
        <v>1928.5277099609375</v>
      </c>
      <c r="AK797">
        <v>1788.3433837890625</v>
      </c>
      <c r="AL797">
        <v>1649.8385009765625</v>
      </c>
      <c r="AM797">
        <v>1461.825927734375</v>
      </c>
      <c r="AN797">
        <v>1307.2633056640625</v>
      </c>
      <c r="AO797">
        <v>1106.171630859375</v>
      </c>
      <c r="AP797">
        <v>864.5960693359375</v>
      </c>
      <c r="AQ797">
        <v>555.27252197265625</v>
      </c>
      <c r="AR797">
        <v>170.42694091796875</v>
      </c>
    </row>
    <row r="798" spans="4:45" x14ac:dyDescent="0.25">
      <c r="D798">
        <v>16000</v>
      </c>
      <c r="X798">
        <v>318.19964599609375</v>
      </c>
      <c r="Y798">
        <v>1675.522705078125</v>
      </c>
      <c r="Z798">
        <v>2183.10791015625</v>
      </c>
      <c r="AA798">
        <v>2253.33251953125</v>
      </c>
      <c r="AB798">
        <v>2329.521484375</v>
      </c>
      <c r="AC798">
        <v>2365.372802734375</v>
      </c>
      <c r="AD798">
        <v>2369.06591796875</v>
      </c>
      <c r="AE798">
        <v>2350.27099609375</v>
      </c>
      <c r="AF798">
        <v>2297.37890625</v>
      </c>
      <c r="AG798">
        <v>2248.111328125</v>
      </c>
      <c r="AH798">
        <v>2171.091552734375</v>
      </c>
      <c r="AI798">
        <v>2056.1748046875</v>
      </c>
      <c r="AJ798">
        <v>1968.8358154296875</v>
      </c>
      <c r="AK798">
        <v>1826.7412109375</v>
      </c>
      <c r="AL798">
        <v>1700.15966796875</v>
      </c>
      <c r="AM798">
        <v>1543.135009765625</v>
      </c>
      <c r="AN798">
        <v>1355.6375732421875</v>
      </c>
      <c r="AO798">
        <v>1181.1873779296875</v>
      </c>
      <c r="AP798">
        <v>966.8087158203125</v>
      </c>
      <c r="AQ798">
        <v>661.44488525390625</v>
      </c>
      <c r="AR798">
        <v>292.82659912109375</v>
      </c>
    </row>
    <row r="799" spans="4:45" x14ac:dyDescent="0.25">
      <c r="D799">
        <v>17000</v>
      </c>
      <c r="Y799">
        <v>1202.161376953125</v>
      </c>
      <c r="Z799">
        <v>2036.923828125</v>
      </c>
      <c r="AA799">
        <v>2213.39794921875</v>
      </c>
      <c r="AB799">
        <v>2287.139404296875</v>
      </c>
      <c r="AC799">
        <v>2317.14892578125</v>
      </c>
      <c r="AD799">
        <v>2330.743896484375</v>
      </c>
      <c r="AE799">
        <v>2334.29248046875</v>
      </c>
      <c r="AF799">
        <v>2322.49560546875</v>
      </c>
      <c r="AG799">
        <v>2263.076904296875</v>
      </c>
      <c r="AH799">
        <v>2160.89306640625</v>
      </c>
      <c r="AI799">
        <v>2103.173828125</v>
      </c>
      <c r="AJ799">
        <v>1982.41943359375</v>
      </c>
      <c r="AK799">
        <v>1884.5294189453125</v>
      </c>
      <c r="AL799">
        <v>1731.3048095703125</v>
      </c>
      <c r="AM799">
        <v>1604.8013916015625</v>
      </c>
      <c r="AN799">
        <v>1431.999755859375</v>
      </c>
      <c r="AO799">
        <v>1239.5040283203125</v>
      </c>
      <c r="AP799">
        <v>1051.8702392578125</v>
      </c>
      <c r="AQ799">
        <v>775.521240234375</v>
      </c>
      <c r="AR799">
        <v>405.283447265625</v>
      </c>
    </row>
    <row r="800" spans="4:45" x14ac:dyDescent="0.25">
      <c r="D800">
        <v>18000</v>
      </c>
      <c r="Y800">
        <v>589.1695556640625</v>
      </c>
      <c r="Z800">
        <v>1746.7373046875</v>
      </c>
      <c r="AA800">
        <v>2137.299560546875</v>
      </c>
      <c r="AB800">
        <v>2216.0869140625</v>
      </c>
      <c r="AC800">
        <v>2287.390869140625</v>
      </c>
      <c r="AD800">
        <v>2321.52197265625</v>
      </c>
      <c r="AE800">
        <v>2323.580322265625</v>
      </c>
      <c r="AF800">
        <v>2297.90283203125</v>
      </c>
      <c r="AG800">
        <v>2255.77392578125</v>
      </c>
      <c r="AH800">
        <v>2205.93798828125</v>
      </c>
      <c r="AI800">
        <v>2117.102783203125</v>
      </c>
      <c r="AJ800">
        <v>2021.03857421875</v>
      </c>
      <c r="AK800">
        <v>1914.6907958984375</v>
      </c>
      <c r="AL800">
        <v>1789.636474609375</v>
      </c>
      <c r="AM800">
        <v>1646.6776123046875</v>
      </c>
      <c r="AN800">
        <v>1503.0885009765625</v>
      </c>
      <c r="AO800">
        <v>1298.70849609375</v>
      </c>
      <c r="AP800">
        <v>1119.6905517578125</v>
      </c>
      <c r="AQ800">
        <v>870.5804443359375</v>
      </c>
      <c r="AR800">
        <v>529.792236328125</v>
      </c>
      <c r="AS800">
        <v>1.3867381811141968</v>
      </c>
    </row>
    <row r="801" spans="4:45" x14ac:dyDescent="0.25">
      <c r="D801">
        <v>19000</v>
      </c>
      <c r="Z801">
        <v>1310.449951171875</v>
      </c>
      <c r="AA801">
        <v>2030.2786865234375</v>
      </c>
      <c r="AB801">
        <v>2177.791259765625</v>
      </c>
      <c r="AC801">
        <v>2243.45556640625</v>
      </c>
      <c r="AD801">
        <v>2278.216552734375</v>
      </c>
      <c r="AE801">
        <v>2293.65087890625</v>
      </c>
      <c r="AF801">
        <v>2294.4248046875</v>
      </c>
      <c r="AG801">
        <v>2276.818359375</v>
      </c>
      <c r="AH801">
        <v>2212.773681640625</v>
      </c>
      <c r="AI801">
        <v>2131.40185546875</v>
      </c>
      <c r="AJ801">
        <v>2056.515625</v>
      </c>
      <c r="AK801">
        <v>1925.0928955078125</v>
      </c>
      <c r="AL801">
        <v>1835.5802001953125</v>
      </c>
      <c r="AM801">
        <v>1686.5389404296875</v>
      </c>
      <c r="AN801">
        <v>1552.33154296875</v>
      </c>
      <c r="AO801">
        <v>1382.0333251953125</v>
      </c>
      <c r="AP801">
        <v>1162.6785888671875</v>
      </c>
      <c r="AQ801">
        <v>946.5263671875</v>
      </c>
      <c r="AR801">
        <v>635.10052490234375</v>
      </c>
      <c r="AS801">
        <v>144.76937866210938</v>
      </c>
    </row>
    <row r="802" spans="4:45" x14ac:dyDescent="0.25">
      <c r="D802">
        <v>20000</v>
      </c>
      <c r="Z802">
        <v>725.71533203125</v>
      </c>
      <c r="AA802">
        <v>1770.3746337890625</v>
      </c>
      <c r="AB802">
        <v>2092.9052734375</v>
      </c>
      <c r="AC802">
        <v>2181.8330078125</v>
      </c>
      <c r="AD802">
        <v>2250.550537109375</v>
      </c>
      <c r="AE802">
        <v>2278.140869140625</v>
      </c>
      <c r="AF802">
        <v>2274.02197265625</v>
      </c>
      <c r="AG802">
        <v>2240.222900390625</v>
      </c>
      <c r="AH802">
        <v>2223.78564453125</v>
      </c>
      <c r="AI802">
        <v>2166.084716796875</v>
      </c>
      <c r="AJ802">
        <v>2057.697998046875</v>
      </c>
      <c r="AK802">
        <v>1981.761474609375</v>
      </c>
      <c r="AL802">
        <v>1853.72216796875</v>
      </c>
      <c r="AM802">
        <v>1748.85546875</v>
      </c>
      <c r="AN802">
        <v>1579.53564453125</v>
      </c>
      <c r="AO802">
        <v>1443.225830078125</v>
      </c>
      <c r="AP802">
        <v>1258.5059814453125</v>
      </c>
      <c r="AQ802">
        <v>1002.8295288085938</v>
      </c>
      <c r="AR802">
        <v>718.06524658203125</v>
      </c>
      <c r="AS802">
        <v>266.1453857421875</v>
      </c>
    </row>
    <row r="803" spans="4:45" x14ac:dyDescent="0.25">
      <c r="D803">
        <v>21000</v>
      </c>
      <c r="AA803">
        <v>1318.3675537109375</v>
      </c>
      <c r="AB803">
        <v>1968.945556640625</v>
      </c>
      <c r="AC803">
        <v>2102.37255859375</v>
      </c>
      <c r="AD803">
        <v>2168.989990234375</v>
      </c>
      <c r="AE803">
        <v>2201.988525390625</v>
      </c>
      <c r="AF803">
        <v>2221.223876953125</v>
      </c>
      <c r="AG803">
        <v>2220.396728515625</v>
      </c>
      <c r="AH803">
        <v>2197.5556640625</v>
      </c>
      <c r="AI803">
        <v>2133.357177734375</v>
      </c>
      <c r="AJ803">
        <v>2075.994384765625</v>
      </c>
      <c r="AK803">
        <v>1984.038330078125</v>
      </c>
      <c r="AL803">
        <v>1881.999755859375</v>
      </c>
      <c r="AM803">
        <v>1772.1839599609375</v>
      </c>
      <c r="AN803">
        <v>1651.782470703125</v>
      </c>
      <c r="AO803">
        <v>1478.5362548828125</v>
      </c>
      <c r="AP803">
        <v>1327.4345703125</v>
      </c>
      <c r="AQ803">
        <v>1081.9453125</v>
      </c>
      <c r="AR803">
        <v>776.34747314453125</v>
      </c>
      <c r="AS803">
        <v>357.60733032226563</v>
      </c>
    </row>
    <row r="804" spans="4:45" x14ac:dyDescent="0.25">
      <c r="D804">
        <v>22000</v>
      </c>
      <c r="AA804">
        <v>708.95782470703125</v>
      </c>
      <c r="AB804">
        <v>1683.0540771484375</v>
      </c>
      <c r="AC804">
        <v>1977.0802001953125</v>
      </c>
      <c r="AD804">
        <v>2057.467529296875</v>
      </c>
      <c r="AE804">
        <v>2121.1455078125</v>
      </c>
      <c r="AF804">
        <v>2152.126708984375</v>
      </c>
      <c r="AG804">
        <v>2147.63037109375</v>
      </c>
      <c r="AH804">
        <v>2137.528564453125</v>
      </c>
      <c r="AI804">
        <v>2136.398193359375</v>
      </c>
      <c r="AJ804">
        <v>2071.666748046875</v>
      </c>
      <c r="AK804">
        <v>1980.8638916015625</v>
      </c>
      <c r="AL804">
        <v>1907.7489013671875</v>
      </c>
      <c r="AM804">
        <v>1783.79296875</v>
      </c>
      <c r="AN804">
        <v>1693.647216796875</v>
      </c>
      <c r="AO804">
        <v>1535.140625</v>
      </c>
      <c r="AP804">
        <v>1373.0010986328125</v>
      </c>
      <c r="AQ804">
        <v>1161.6351318359375</v>
      </c>
      <c r="AR804">
        <v>855.0703125</v>
      </c>
      <c r="AS804">
        <v>421.69644165039063</v>
      </c>
    </row>
    <row r="805" spans="4:45" x14ac:dyDescent="0.25">
      <c r="D805">
        <v>23000</v>
      </c>
      <c r="AB805">
        <v>1232.8935546875</v>
      </c>
      <c r="AC805">
        <v>1855.28076171875</v>
      </c>
      <c r="AD805">
        <v>1985.693115234375</v>
      </c>
      <c r="AE805">
        <v>2054.5185546875</v>
      </c>
      <c r="AF805">
        <v>2094.486572265625</v>
      </c>
      <c r="AG805">
        <v>2119.730712890625</v>
      </c>
      <c r="AH805">
        <v>2118.46630859375</v>
      </c>
      <c r="AI805">
        <v>2092.245849609375</v>
      </c>
      <c r="AJ805">
        <v>2054.0634765625</v>
      </c>
      <c r="AK805">
        <v>2003.8658447265625</v>
      </c>
      <c r="AL805">
        <v>1896.3314208984375</v>
      </c>
      <c r="AM805">
        <v>1831.994140625</v>
      </c>
      <c r="AN805">
        <v>1704.624755859375</v>
      </c>
      <c r="AO805">
        <v>1590.7196044921875</v>
      </c>
      <c r="AP805">
        <v>1414.9505615234375</v>
      </c>
      <c r="AQ805">
        <v>1215.6204833984375</v>
      </c>
      <c r="AR805">
        <v>946.17681884765625</v>
      </c>
      <c r="AS805">
        <v>491.80209350585938</v>
      </c>
    </row>
    <row r="806" spans="4:45" x14ac:dyDescent="0.25">
      <c r="D806">
        <v>24000</v>
      </c>
      <c r="AB806">
        <v>615.7784423828125</v>
      </c>
      <c r="AC806">
        <v>1562.0206298828125</v>
      </c>
      <c r="AD806">
        <v>1867.9542236328125</v>
      </c>
      <c r="AE806">
        <v>1936.327392578125</v>
      </c>
      <c r="AF806">
        <v>1993.1243896484375</v>
      </c>
      <c r="AG806">
        <v>2029.099609375</v>
      </c>
      <c r="AH806">
        <v>2052.734130859375</v>
      </c>
      <c r="AI806">
        <v>2068.80615234375</v>
      </c>
      <c r="AJ806">
        <v>2049.57275390625</v>
      </c>
      <c r="AK806">
        <v>1983.7554931640625</v>
      </c>
      <c r="AL806">
        <v>1933.7957763671875</v>
      </c>
      <c r="AM806">
        <v>1841.8282470703125</v>
      </c>
      <c r="AN806">
        <v>1760.2999267578125</v>
      </c>
      <c r="AO806">
        <v>1614.460205078125</v>
      </c>
      <c r="AP806">
        <v>1483.3037109375</v>
      </c>
      <c r="AQ806">
        <v>1247.4814453125</v>
      </c>
      <c r="AR806">
        <v>1007.493408203125</v>
      </c>
      <c r="AS806">
        <v>596.5645751953125</v>
      </c>
    </row>
    <row r="807" spans="4:45" x14ac:dyDescent="0.25">
      <c r="D807">
        <v>25000</v>
      </c>
      <c r="AC807">
        <v>1095.2340087890625</v>
      </c>
      <c r="AD807">
        <v>1725.9078369140625</v>
      </c>
      <c r="AE807">
        <v>1864.59228515625</v>
      </c>
      <c r="AF807">
        <v>1947.959716796875</v>
      </c>
      <c r="AG807">
        <v>1995.581298828125</v>
      </c>
      <c r="AH807">
        <v>2026.3349609375</v>
      </c>
      <c r="AI807">
        <v>2026.605712890625</v>
      </c>
      <c r="AJ807">
        <v>1994.667724609375</v>
      </c>
      <c r="AK807">
        <v>1995.6893310546875</v>
      </c>
      <c r="AL807">
        <v>1938.3956298828125</v>
      </c>
      <c r="AM807">
        <v>1864.8843994140625</v>
      </c>
      <c r="AN807">
        <v>1792.9591064453125</v>
      </c>
      <c r="AO807">
        <v>1659.463623046875</v>
      </c>
      <c r="AP807">
        <v>1519.577392578125</v>
      </c>
      <c r="AQ807">
        <v>1331.3759765625</v>
      </c>
      <c r="AR807">
        <v>1038.7418212890625</v>
      </c>
      <c r="AS807">
        <v>662.25408935546875</v>
      </c>
    </row>
    <row r="808" spans="4:45" x14ac:dyDescent="0.25">
      <c r="D808">
        <v>26000</v>
      </c>
      <c r="AC808">
        <v>433.9569091796875</v>
      </c>
      <c r="AD808">
        <v>1380.314453125</v>
      </c>
      <c r="AE808">
        <v>1741.0814208984375</v>
      </c>
      <c r="AF808">
        <v>1826.6136474609375</v>
      </c>
      <c r="AG808">
        <v>1878.6531982421875</v>
      </c>
      <c r="AH808">
        <v>1921.8570556640625</v>
      </c>
      <c r="AI808">
        <v>1958.10986328125</v>
      </c>
      <c r="AJ808">
        <v>1957.8126220703125</v>
      </c>
      <c r="AK808">
        <v>1920.3074951171875</v>
      </c>
      <c r="AL808">
        <v>1893.5518798828125</v>
      </c>
      <c r="AM808">
        <v>1849.0782470703125</v>
      </c>
      <c r="AN808">
        <v>1755.113037109375</v>
      </c>
      <c r="AO808">
        <v>1667.18017578125</v>
      </c>
      <c r="AP808">
        <v>1522.167236328125</v>
      </c>
      <c r="AQ808">
        <v>1355.8670654296875</v>
      </c>
      <c r="AR808">
        <v>1106.8448486328125</v>
      </c>
      <c r="AS808">
        <v>674.88360595703125</v>
      </c>
    </row>
    <row r="809" spans="4:45" x14ac:dyDescent="0.25">
      <c r="D809">
        <v>27000</v>
      </c>
      <c r="AD809">
        <v>847.55352783203125</v>
      </c>
      <c r="AE809">
        <v>1539.245849609375</v>
      </c>
      <c r="AF809">
        <v>1685.64306640625</v>
      </c>
      <c r="AG809">
        <v>1781.3695068359375</v>
      </c>
      <c r="AH809">
        <v>1828.538818359375</v>
      </c>
      <c r="AI809">
        <v>1852.7398681640625</v>
      </c>
      <c r="AJ809">
        <v>1857.7440185546875</v>
      </c>
      <c r="AK809">
        <v>1874.2462158203125</v>
      </c>
      <c r="AL809">
        <v>1850.6483154296875</v>
      </c>
      <c r="AM809">
        <v>1787.483154296875</v>
      </c>
      <c r="AN809">
        <v>1759.0438232421875</v>
      </c>
      <c r="AO809">
        <v>1636.132568359375</v>
      </c>
      <c r="AP809">
        <v>1549.29052734375</v>
      </c>
      <c r="AQ809">
        <v>1345.74462890625</v>
      </c>
      <c r="AR809">
        <v>1143.779052734375</v>
      </c>
      <c r="AS809">
        <v>743.78485107421875</v>
      </c>
    </row>
    <row r="810" spans="4:45" x14ac:dyDescent="0.25">
      <c r="D810">
        <v>28000</v>
      </c>
      <c r="AD810">
        <v>124.40000152587891</v>
      </c>
      <c r="AE810">
        <v>1142.7227783203125</v>
      </c>
      <c r="AF810">
        <v>1581.2530517578125</v>
      </c>
      <c r="AG810">
        <v>1681.57080078125</v>
      </c>
      <c r="AH810">
        <v>1744.021728515625</v>
      </c>
      <c r="AI810">
        <v>1785.818115234375</v>
      </c>
      <c r="AJ810">
        <v>1805.87109375</v>
      </c>
      <c r="AK810">
        <v>1797.1524658203125</v>
      </c>
      <c r="AL810">
        <v>1781.759033203125</v>
      </c>
      <c r="AM810">
        <v>1774.9322509765625</v>
      </c>
      <c r="AN810">
        <v>1713.091552734375</v>
      </c>
      <c r="AO810">
        <v>1644.8739013671875</v>
      </c>
      <c r="AP810">
        <v>1536.4552001953125</v>
      </c>
      <c r="AQ810">
        <v>1392.2655029296875</v>
      </c>
      <c r="AR810">
        <v>1141.7315673828125</v>
      </c>
      <c r="AS810">
        <v>785.99737548828125</v>
      </c>
    </row>
    <row r="811" spans="4:45" x14ac:dyDescent="0.25">
      <c r="D811">
        <v>29000</v>
      </c>
      <c r="AE811">
        <v>548.4283447265625</v>
      </c>
      <c r="AF811">
        <v>1316.1212158203125</v>
      </c>
      <c r="AG811">
        <v>1530.3045654296875</v>
      </c>
      <c r="AH811">
        <v>1608.6776123046875</v>
      </c>
      <c r="AI811">
        <v>1663.798583984375</v>
      </c>
      <c r="AJ811">
        <v>1706.9586181640625</v>
      </c>
      <c r="AK811">
        <v>1739.8255615234375</v>
      </c>
      <c r="AL811">
        <v>1740.6768798828125</v>
      </c>
      <c r="AM811">
        <v>1689.5140380859375</v>
      </c>
      <c r="AN811">
        <v>1699.6602783203125</v>
      </c>
      <c r="AO811">
        <v>1620.73681640625</v>
      </c>
      <c r="AP811">
        <v>1538.9747314453125</v>
      </c>
      <c r="AQ811">
        <v>1395.3314208984375</v>
      </c>
      <c r="AR811">
        <v>1196.402099609375</v>
      </c>
      <c r="AS811">
        <v>769.8267822265625</v>
      </c>
    </row>
    <row r="812" spans="4:45" x14ac:dyDescent="0.25">
      <c r="D812">
        <v>30000</v>
      </c>
      <c r="AF812">
        <v>845.73858642578125</v>
      </c>
      <c r="AG812">
        <v>1391.29345703125</v>
      </c>
      <c r="AH812">
        <v>1506.63623046875</v>
      </c>
      <c r="AI812">
        <v>1583.4688720703125</v>
      </c>
      <c r="AJ812">
        <v>1620.41259765625</v>
      </c>
      <c r="AK812">
        <v>1629.6365966796875</v>
      </c>
      <c r="AL812">
        <v>1662.3236083984375</v>
      </c>
      <c r="AM812">
        <v>1678.690673828125</v>
      </c>
      <c r="AN812">
        <v>1646.9365234375</v>
      </c>
      <c r="AO812">
        <v>1599.1021728515625</v>
      </c>
      <c r="AP812">
        <v>1535.1173095703125</v>
      </c>
      <c r="AQ812">
        <v>1394.2982177734375</v>
      </c>
      <c r="AR812">
        <v>1210.998046875</v>
      </c>
      <c r="AS812">
        <v>821.37066650390625</v>
      </c>
    </row>
    <row r="813" spans="4:45" x14ac:dyDescent="0.25">
      <c r="D813">
        <v>31000</v>
      </c>
      <c r="AF813">
        <v>157.64399719238281</v>
      </c>
      <c r="AG813">
        <v>1029.26220703125</v>
      </c>
      <c r="AH813">
        <v>1378.3863525390625</v>
      </c>
      <c r="AI813">
        <v>1470.192138671875</v>
      </c>
      <c r="AJ813">
        <v>1526.6129150390625</v>
      </c>
      <c r="AK813">
        <v>1562.537841796875</v>
      </c>
      <c r="AL813">
        <v>1576.1458740234375</v>
      </c>
      <c r="AM813">
        <v>1561.5411376953125</v>
      </c>
      <c r="AN813">
        <v>1589.28076171875</v>
      </c>
      <c r="AO813">
        <v>1543.3375244140625</v>
      </c>
      <c r="AP813">
        <v>1474.1002197265625</v>
      </c>
      <c r="AQ813">
        <v>1372.2247314453125</v>
      </c>
      <c r="AR813">
        <v>1168.6485595703125</v>
      </c>
      <c r="AS813">
        <v>789.9344482421875</v>
      </c>
    </row>
    <row r="814" spans="4:45" x14ac:dyDescent="0.25">
      <c r="D814">
        <v>32000</v>
      </c>
      <c r="AG814">
        <v>450.83810424804688</v>
      </c>
      <c r="AH814">
        <v>1127.4471435546875</v>
      </c>
      <c r="AI814">
        <v>1305.53173828125</v>
      </c>
      <c r="AJ814">
        <v>1387.1607666015625</v>
      </c>
      <c r="AK814">
        <v>1441.8165283203125</v>
      </c>
      <c r="AL814">
        <v>1485.3001708984375</v>
      </c>
      <c r="AM814">
        <v>1508.0440673828125</v>
      </c>
      <c r="AN814">
        <v>1494.291748046875</v>
      </c>
      <c r="AO814">
        <v>1465.0682373046875</v>
      </c>
      <c r="AP814">
        <v>1437.58935546875</v>
      </c>
      <c r="AQ814">
        <v>1286.29052734375</v>
      </c>
      <c r="AR814">
        <v>1144.0299072265625</v>
      </c>
      <c r="AS814">
        <v>717.08453369140625</v>
      </c>
    </row>
    <row r="815" spans="4:45" x14ac:dyDescent="0.25">
      <c r="D815">
        <v>33000</v>
      </c>
      <c r="AH815">
        <v>652.282958984375</v>
      </c>
      <c r="AI815">
        <v>1161.7537841796875</v>
      </c>
      <c r="AJ815">
        <v>1255.4425048828125</v>
      </c>
      <c r="AK815">
        <v>1324.1102294921875</v>
      </c>
      <c r="AL815">
        <v>1351.259765625</v>
      </c>
      <c r="AM815">
        <v>1395.3626708984375</v>
      </c>
      <c r="AN815">
        <v>1431.00146484375</v>
      </c>
      <c r="AO815">
        <v>1395.39111328125</v>
      </c>
      <c r="AP815">
        <v>1340.4896240234375</v>
      </c>
      <c r="AQ815">
        <v>1262.7623291015625</v>
      </c>
      <c r="AR815">
        <v>1034.3858642578125</v>
      </c>
      <c r="AS815">
        <v>695.10174560546875</v>
      </c>
    </row>
    <row r="816" spans="4:45" x14ac:dyDescent="0.25">
      <c r="D816">
        <v>34000</v>
      </c>
      <c r="AI816">
        <v>789.86798095703125</v>
      </c>
      <c r="AJ816">
        <v>1137.0567626953125</v>
      </c>
      <c r="AK816">
        <v>1220.526123046875</v>
      </c>
      <c r="AL816">
        <v>1275.0477294921875</v>
      </c>
      <c r="AM816">
        <v>1301.4537353515625</v>
      </c>
      <c r="AN816">
        <v>1299.224365234375</v>
      </c>
      <c r="AO816">
        <v>1313.2733154296875</v>
      </c>
      <c r="AP816">
        <v>1293.012451171875</v>
      </c>
      <c r="AQ816">
        <v>1146.204833984375</v>
      </c>
      <c r="AR816">
        <v>1019.5866088867188</v>
      </c>
      <c r="AS816">
        <v>543.73345947265625</v>
      </c>
    </row>
    <row r="817" spans="4:45" x14ac:dyDescent="0.25">
      <c r="D817">
        <v>35000</v>
      </c>
      <c r="AJ817">
        <v>852.57464599609375</v>
      </c>
      <c r="AK817">
        <v>1075.794189453125</v>
      </c>
      <c r="AL817">
        <v>1158.44775390625</v>
      </c>
      <c r="AM817">
        <v>1210.03173828125</v>
      </c>
      <c r="AN817">
        <v>1238.948974609375</v>
      </c>
      <c r="AO817">
        <v>1205.45263671875</v>
      </c>
      <c r="AP817">
        <v>1194.5677490234375</v>
      </c>
      <c r="AQ817">
        <v>1113.6715087890625</v>
      </c>
      <c r="AR817">
        <v>886.25750732421875</v>
      </c>
      <c r="AS817">
        <v>528.85601806640625</v>
      </c>
    </row>
    <row r="818" spans="4:45" x14ac:dyDescent="0.25">
      <c r="D818">
        <v>36000</v>
      </c>
      <c r="AL818">
        <v>936.843017578125</v>
      </c>
      <c r="AM818">
        <v>1022.4771118164063</v>
      </c>
      <c r="AN818">
        <v>1075.8489990234375</v>
      </c>
      <c r="AO818">
        <v>1068.623291015625</v>
      </c>
      <c r="AP818">
        <v>1046.812744140625</v>
      </c>
      <c r="AQ818">
        <v>932.41168212890625</v>
      </c>
      <c r="AR818">
        <v>788.62103271484375</v>
      </c>
      <c r="AS818">
        <v>315.29031372070313</v>
      </c>
    </row>
    <row r="819" spans="4:45" x14ac:dyDescent="0.25">
      <c r="D819">
        <v>37000</v>
      </c>
      <c r="AN819">
        <v>832.40814208984375</v>
      </c>
      <c r="AO819">
        <v>840.1761474609375</v>
      </c>
      <c r="AP819">
        <v>846.564697265625</v>
      </c>
      <c r="AQ819">
        <v>750.3441162109375</v>
      </c>
      <c r="AR819">
        <v>558.58734130859375</v>
      </c>
    </row>
    <row r="820" spans="4:45" x14ac:dyDescent="0.25">
      <c r="D820">
        <v>38000</v>
      </c>
    </row>
    <row r="821" spans="4:45" x14ac:dyDescent="0.25">
      <c r="D821">
        <v>39000</v>
      </c>
    </row>
    <row r="822" spans="4:45" x14ac:dyDescent="0.25">
      <c r="D822">
        <v>40000</v>
      </c>
    </row>
    <row r="823" spans="4:45" x14ac:dyDescent="0.25">
      <c r="D823">
        <v>41000</v>
      </c>
    </row>
    <row r="824" spans="4:45" x14ac:dyDescent="0.25">
      <c r="D824">
        <v>42000</v>
      </c>
    </row>
    <row r="825" spans="4:45" x14ac:dyDescent="0.25">
      <c r="D825">
        <v>43000</v>
      </c>
    </row>
    <row r="826" spans="4:45" x14ac:dyDescent="0.25">
      <c r="D826">
        <v>44000</v>
      </c>
    </row>
    <row r="827" spans="4:45" x14ac:dyDescent="0.25">
      <c r="D827">
        <v>45000</v>
      </c>
    </row>
    <row r="828" spans="4:45" x14ac:dyDescent="0.25">
      <c r="D828">
        <v>46000</v>
      </c>
    </row>
    <row r="829" spans="4:45" x14ac:dyDescent="0.25">
      <c r="D829">
        <v>47000</v>
      </c>
    </row>
    <row r="830" spans="4:45" x14ac:dyDescent="0.25">
      <c r="D830">
        <v>48000</v>
      </c>
    </row>
    <row r="831" spans="4:45" x14ac:dyDescent="0.25">
      <c r="D831">
        <v>49000</v>
      </c>
    </row>
    <row r="832" spans="4:45" x14ac:dyDescent="0.25">
      <c r="D832">
        <v>50000</v>
      </c>
    </row>
    <row r="833" spans="3:55" x14ac:dyDescent="0.25">
      <c r="C833" t="s">
        <v>149</v>
      </c>
      <c r="D833" t="s">
        <v>133</v>
      </c>
      <c r="E833">
        <v>0</v>
      </c>
      <c r="F833">
        <v>0.02</v>
      </c>
      <c r="G833">
        <v>0.04</v>
      </c>
      <c r="H833">
        <v>0.06</v>
      </c>
      <c r="I833">
        <v>0.08</v>
      </c>
      <c r="J833">
        <v>0.1</v>
      </c>
      <c r="K833">
        <v>0.12</v>
      </c>
      <c r="L833">
        <v>0.14000000000000001</v>
      </c>
      <c r="M833">
        <v>0.16</v>
      </c>
      <c r="N833">
        <v>0.18</v>
      </c>
      <c r="O833">
        <v>0.2</v>
      </c>
      <c r="P833">
        <v>0.22</v>
      </c>
      <c r="Q833">
        <v>0.24</v>
      </c>
      <c r="R833">
        <v>0.26</v>
      </c>
      <c r="S833">
        <v>0.28000000000000003</v>
      </c>
      <c r="T833">
        <v>0.3</v>
      </c>
      <c r="U833">
        <v>0.32</v>
      </c>
      <c r="V833">
        <v>0.34</v>
      </c>
      <c r="W833">
        <v>0.36</v>
      </c>
      <c r="X833">
        <v>0.38</v>
      </c>
      <c r="Y833">
        <v>0.4</v>
      </c>
      <c r="Z833">
        <v>0.42</v>
      </c>
      <c r="AA833">
        <v>0.44</v>
      </c>
      <c r="AB833">
        <v>0.46</v>
      </c>
      <c r="AC833">
        <v>0.48</v>
      </c>
      <c r="AD833">
        <v>0.5</v>
      </c>
      <c r="AE833">
        <v>0.52</v>
      </c>
      <c r="AF833">
        <v>0.54</v>
      </c>
      <c r="AG833">
        <v>0.56000000000000005</v>
      </c>
      <c r="AH833">
        <v>0.57999999999999996</v>
      </c>
      <c r="AI833">
        <v>0.6</v>
      </c>
      <c r="AJ833">
        <v>0.62</v>
      </c>
      <c r="AK833">
        <v>0.64</v>
      </c>
      <c r="AL833">
        <v>0.66</v>
      </c>
      <c r="AM833">
        <v>0.68</v>
      </c>
      <c r="AN833">
        <v>0.7</v>
      </c>
      <c r="AO833">
        <v>0.72</v>
      </c>
      <c r="AP833">
        <v>0.74</v>
      </c>
      <c r="AQ833">
        <v>0.76</v>
      </c>
      <c r="AR833">
        <v>0.78</v>
      </c>
      <c r="AS833">
        <v>0.8</v>
      </c>
      <c r="AT833">
        <v>0.82</v>
      </c>
      <c r="AU833">
        <v>0.84</v>
      </c>
      <c r="AV833">
        <v>0.86</v>
      </c>
      <c r="AW833">
        <v>0.88</v>
      </c>
      <c r="AX833">
        <v>0.9</v>
      </c>
      <c r="AY833">
        <v>0.92</v>
      </c>
      <c r="AZ833">
        <v>0.94</v>
      </c>
      <c r="BA833">
        <v>0.96</v>
      </c>
      <c r="BB833">
        <v>0.98</v>
      </c>
      <c r="BC833">
        <v>1</v>
      </c>
    </row>
    <row r="834" spans="3:55" x14ac:dyDescent="0.25">
      <c r="D834">
        <v>0</v>
      </c>
      <c r="R834">
        <v>654.5655517578125</v>
      </c>
      <c r="S834">
        <v>3523.6962890625</v>
      </c>
      <c r="T834">
        <v>5106.47021484375</v>
      </c>
      <c r="U834">
        <v>5635.916015625</v>
      </c>
      <c r="V834">
        <v>5969.794921875</v>
      </c>
      <c r="W834">
        <v>6255.46923828125</v>
      </c>
      <c r="X834">
        <v>6505.61572265625</v>
      </c>
      <c r="Y834">
        <v>6737.21630859375</v>
      </c>
      <c r="Z834">
        <v>6086.71923828125</v>
      </c>
      <c r="AA834">
        <v>5343.3486328125</v>
      </c>
      <c r="AB834">
        <v>4503.95703125</v>
      </c>
      <c r="AC834">
        <v>3524.380615234375</v>
      </c>
      <c r="AD834">
        <v>2446.066162109375</v>
      </c>
      <c r="AE834">
        <v>2264.28955078125</v>
      </c>
      <c r="AF834">
        <v>2078.63818359375</v>
      </c>
      <c r="AG834">
        <v>1815.2747802734375</v>
      </c>
      <c r="AH834">
        <v>1546.228271484375</v>
      </c>
      <c r="AI834">
        <v>1230.2318115234375</v>
      </c>
      <c r="AJ834">
        <v>854.00286865234375</v>
      </c>
      <c r="AK834">
        <v>407.30450439453125</v>
      </c>
    </row>
    <row r="835" spans="3:55" x14ac:dyDescent="0.25">
      <c r="D835">
        <v>1000</v>
      </c>
      <c r="S835">
        <v>2809.76318359375</v>
      </c>
      <c r="T835">
        <v>4702.81591796875</v>
      </c>
      <c r="U835">
        <v>5404.4990234375</v>
      </c>
      <c r="V835">
        <v>5766.43115234375</v>
      </c>
      <c r="W835">
        <v>6077.373046875</v>
      </c>
      <c r="X835">
        <v>6337.57421875</v>
      </c>
      <c r="Y835">
        <v>6565.13671875</v>
      </c>
      <c r="Z835">
        <v>5964.72216796875</v>
      </c>
      <c r="AA835">
        <v>5261.197265625</v>
      </c>
      <c r="AB835">
        <v>4443.4560546875</v>
      </c>
      <c r="AC835">
        <v>3519.66455078125</v>
      </c>
      <c r="AD835">
        <v>2510.772216796875</v>
      </c>
      <c r="AE835">
        <v>2327.8056640625</v>
      </c>
      <c r="AF835">
        <v>2164.604248046875</v>
      </c>
      <c r="AG835">
        <v>1938.4744873046875</v>
      </c>
      <c r="AH835">
        <v>1664.7906494140625</v>
      </c>
      <c r="AI835">
        <v>1375.807373046875</v>
      </c>
      <c r="AJ835">
        <v>1028.3212890625</v>
      </c>
      <c r="AK835">
        <v>598.55938720703125</v>
      </c>
      <c r="AL835">
        <v>149.82310485839844</v>
      </c>
    </row>
    <row r="836" spans="3:55" x14ac:dyDescent="0.25">
      <c r="D836">
        <v>2000</v>
      </c>
      <c r="S836">
        <v>2004.2537841796875</v>
      </c>
      <c r="T836">
        <v>4201.47509765625</v>
      </c>
      <c r="U836">
        <v>5234.6005859375</v>
      </c>
      <c r="V836">
        <v>5584.58642578125</v>
      </c>
      <c r="W836">
        <v>5868.18017578125</v>
      </c>
      <c r="X836">
        <v>6143.34521484375</v>
      </c>
      <c r="Y836">
        <v>6384.0634765625</v>
      </c>
      <c r="Z836">
        <v>5828.4033203125</v>
      </c>
      <c r="AA836">
        <v>5155.81396484375</v>
      </c>
      <c r="AB836">
        <v>4370.3583984375</v>
      </c>
      <c r="AC836">
        <v>3536.503662109375</v>
      </c>
      <c r="AD836">
        <v>2558.308349609375</v>
      </c>
      <c r="AE836">
        <v>2419.4599609375</v>
      </c>
      <c r="AF836">
        <v>2236.19580078125</v>
      </c>
      <c r="AG836">
        <v>2046.5374755859375</v>
      </c>
      <c r="AH836">
        <v>1782.1666259765625</v>
      </c>
      <c r="AI836">
        <v>1511.513427734375</v>
      </c>
      <c r="AJ836">
        <v>1192.128662109375</v>
      </c>
      <c r="AK836">
        <v>818.846923828125</v>
      </c>
      <c r="AL836">
        <v>357.40509033203125</v>
      </c>
    </row>
    <row r="837" spans="3:55" x14ac:dyDescent="0.25">
      <c r="D837">
        <v>3000</v>
      </c>
      <c r="S837">
        <v>1105.3419189453125</v>
      </c>
      <c r="T837">
        <v>3600.98046875</v>
      </c>
      <c r="U837">
        <v>4968.34716796875</v>
      </c>
      <c r="V837">
        <v>5385.36181640625</v>
      </c>
      <c r="W837">
        <v>5694.890625</v>
      </c>
      <c r="X837">
        <v>5949.60205078125</v>
      </c>
      <c r="Y837">
        <v>6162.7197265625</v>
      </c>
      <c r="Z837">
        <v>5664.6669921875</v>
      </c>
      <c r="AA837">
        <v>5047.15478515625</v>
      </c>
      <c r="AB837">
        <v>4342.7236328125</v>
      </c>
      <c r="AC837">
        <v>3529.90966796875</v>
      </c>
      <c r="AD837">
        <v>2598.541259765625</v>
      </c>
      <c r="AE837">
        <v>2492.92919921875</v>
      </c>
      <c r="AF837">
        <v>2302.8984375</v>
      </c>
      <c r="AG837">
        <v>2139.396484375</v>
      </c>
      <c r="AH837">
        <v>1912.7913818359375</v>
      </c>
      <c r="AI837">
        <v>1637.3546142578125</v>
      </c>
      <c r="AJ837">
        <v>1345.452392578125</v>
      </c>
      <c r="AK837">
        <v>1001.3114013671875</v>
      </c>
      <c r="AL837">
        <v>603.57501220703125</v>
      </c>
      <c r="AM837">
        <v>112.537353515625</v>
      </c>
    </row>
    <row r="838" spans="3:55" x14ac:dyDescent="0.25">
      <c r="D838">
        <v>4000</v>
      </c>
      <c r="S838">
        <v>111.037353515625</v>
      </c>
      <c r="T838">
        <v>2899.70263671875</v>
      </c>
      <c r="U838">
        <v>4595.99609375</v>
      </c>
      <c r="V838">
        <v>5175.91943359375</v>
      </c>
      <c r="W838">
        <v>5478.15625</v>
      </c>
      <c r="X838">
        <v>5765.57958984375</v>
      </c>
      <c r="Y838">
        <v>6004.224609375</v>
      </c>
      <c r="Z838">
        <v>5541.50634765625</v>
      </c>
      <c r="AA838">
        <v>4965.3857421875</v>
      </c>
      <c r="AB838">
        <v>4289.9228515625</v>
      </c>
      <c r="AC838">
        <v>3499.667724609375</v>
      </c>
      <c r="AD838">
        <v>2673.0107421875</v>
      </c>
      <c r="AE838">
        <v>2548.087158203125</v>
      </c>
      <c r="AF838">
        <v>2402.898193359375</v>
      </c>
      <c r="AG838">
        <v>2216.966064453125</v>
      </c>
      <c r="AH838">
        <v>2027.3414306640625</v>
      </c>
      <c r="AI838">
        <v>1767.291015625</v>
      </c>
      <c r="AJ838">
        <v>1488.306884765625</v>
      </c>
      <c r="AK838">
        <v>1172.6505126953125</v>
      </c>
      <c r="AL838">
        <v>805.08624267578125</v>
      </c>
      <c r="AM838">
        <v>330.57095336914063</v>
      </c>
    </row>
    <row r="839" spans="3:55" x14ac:dyDescent="0.25">
      <c r="D839">
        <v>5000</v>
      </c>
      <c r="T839">
        <v>2095.837646484375</v>
      </c>
      <c r="U839">
        <v>4116.294921875</v>
      </c>
      <c r="V839">
        <v>4980.4482421875</v>
      </c>
      <c r="W839">
        <v>5300.69189453125</v>
      </c>
      <c r="X839">
        <v>5557.41650390625</v>
      </c>
      <c r="Y839">
        <v>5795.78125</v>
      </c>
      <c r="Z839">
        <v>5379.98876953125</v>
      </c>
      <c r="AA839">
        <v>4854.171875</v>
      </c>
      <c r="AB839">
        <v>4212.13671875</v>
      </c>
      <c r="AC839">
        <v>3513.9482421875</v>
      </c>
      <c r="AD839">
        <v>2723.47314453125</v>
      </c>
      <c r="AE839">
        <v>2589.7744140625</v>
      </c>
      <c r="AF839">
        <v>2483.988525390625</v>
      </c>
      <c r="AG839">
        <v>2292.40576171875</v>
      </c>
      <c r="AH839">
        <v>2126.8818359375</v>
      </c>
      <c r="AI839">
        <v>1904.173583984375</v>
      </c>
      <c r="AJ839">
        <v>1621.0460205078125</v>
      </c>
      <c r="AK839">
        <v>1333.6617431640625</v>
      </c>
      <c r="AL839">
        <v>996.08154296875</v>
      </c>
      <c r="AM839">
        <v>607.018310546875</v>
      </c>
      <c r="AN839">
        <v>174.32684326171875</v>
      </c>
    </row>
    <row r="840" spans="3:55" x14ac:dyDescent="0.25">
      <c r="D840">
        <v>6000</v>
      </c>
      <c r="T840">
        <v>881.17742919921875</v>
      </c>
      <c r="U840">
        <v>3196.27490234375</v>
      </c>
      <c r="V840">
        <v>4376.25439453125</v>
      </c>
      <c r="W840">
        <v>4709.17578125</v>
      </c>
      <c r="X840">
        <v>4965.18212890625</v>
      </c>
      <c r="Y840">
        <v>5176.81884765625</v>
      </c>
      <c r="Z840">
        <v>4845.60107421875</v>
      </c>
      <c r="AA840">
        <v>4451.2998046875</v>
      </c>
      <c r="AB840">
        <v>3961.819580078125</v>
      </c>
      <c r="AC840">
        <v>3392.8251953125</v>
      </c>
      <c r="AD840">
        <v>2729.4384765625</v>
      </c>
      <c r="AE840">
        <v>2653.27490234375</v>
      </c>
      <c r="AF840">
        <v>2525.44189453125</v>
      </c>
      <c r="AG840">
        <v>2379.749267578125</v>
      </c>
      <c r="AH840">
        <v>2190.299072265625</v>
      </c>
      <c r="AI840">
        <v>2006.2054443359375</v>
      </c>
      <c r="AJ840">
        <v>1748.3271484375</v>
      </c>
      <c r="AK840">
        <v>1465.4658203125</v>
      </c>
      <c r="AL840">
        <v>1156.99072265625</v>
      </c>
      <c r="AM840">
        <v>798.7435302734375</v>
      </c>
      <c r="AN840">
        <v>389.90762329101563</v>
      </c>
    </row>
    <row r="841" spans="3:55" x14ac:dyDescent="0.25">
      <c r="D841">
        <v>7000</v>
      </c>
      <c r="U841">
        <v>2167.813232421875</v>
      </c>
      <c r="V841">
        <v>3658.111572265625</v>
      </c>
      <c r="W841">
        <v>4119.4931640625</v>
      </c>
      <c r="X841">
        <v>4344.6923828125</v>
      </c>
      <c r="Y841">
        <v>4539.9111328125</v>
      </c>
      <c r="Z841">
        <v>4333.14892578125</v>
      </c>
      <c r="AA841">
        <v>4053.924560546875</v>
      </c>
      <c r="AB841">
        <v>3690.825927734375</v>
      </c>
      <c r="AC841">
        <v>3245.15380859375</v>
      </c>
      <c r="AD841">
        <v>2757.485595703125</v>
      </c>
      <c r="AE841">
        <v>2691.348876953125</v>
      </c>
      <c r="AF841">
        <v>2554.1904296875</v>
      </c>
      <c r="AG841">
        <v>2446.674072265625</v>
      </c>
      <c r="AH841">
        <v>2259.267822265625</v>
      </c>
      <c r="AI841">
        <v>2091.2392578125</v>
      </c>
      <c r="AJ841">
        <v>1872.542236328125</v>
      </c>
      <c r="AK841">
        <v>1586.3377685546875</v>
      </c>
      <c r="AL841">
        <v>1306.3216552734375</v>
      </c>
      <c r="AM841">
        <v>978.18682861328125</v>
      </c>
      <c r="AN841">
        <v>601.648681640625</v>
      </c>
      <c r="AO841">
        <v>89.554145812988281</v>
      </c>
    </row>
    <row r="842" spans="3:55" x14ac:dyDescent="0.25">
      <c r="D842">
        <v>8000</v>
      </c>
      <c r="U842">
        <v>1028.9609375</v>
      </c>
      <c r="V842">
        <v>2824.5087890625</v>
      </c>
      <c r="W842">
        <v>3537.314208984375</v>
      </c>
      <c r="X842">
        <v>3748.21923828125</v>
      </c>
      <c r="Y842">
        <v>3914.8310546875</v>
      </c>
      <c r="Z842">
        <v>3778.9482421875</v>
      </c>
      <c r="AA842">
        <v>3611.230224609375</v>
      </c>
      <c r="AB842">
        <v>3396.98974609375</v>
      </c>
      <c r="AC842">
        <v>3121.416015625</v>
      </c>
      <c r="AD842">
        <v>2791.6962890625</v>
      </c>
      <c r="AE842">
        <v>2703.773681640625</v>
      </c>
      <c r="AF842">
        <v>2625.02587890625</v>
      </c>
      <c r="AG842">
        <v>2493.033447265625</v>
      </c>
      <c r="AH842">
        <v>2352.12841796875</v>
      </c>
      <c r="AI842">
        <v>2159.169921875</v>
      </c>
      <c r="AJ842">
        <v>1978.8184814453125</v>
      </c>
      <c r="AK842">
        <v>1730.9791259765625</v>
      </c>
      <c r="AL842">
        <v>1444.0845947265625</v>
      </c>
      <c r="AM842">
        <v>1145.380859375</v>
      </c>
      <c r="AN842">
        <v>800.364990234375</v>
      </c>
      <c r="AO842">
        <v>359.63162231445313</v>
      </c>
    </row>
    <row r="843" spans="3:55" x14ac:dyDescent="0.25">
      <c r="D843">
        <v>9000</v>
      </c>
      <c r="V843">
        <v>1873.7291259765625</v>
      </c>
      <c r="W843">
        <v>2907.78369140625</v>
      </c>
      <c r="X843">
        <v>3144.033203125</v>
      </c>
      <c r="Y843">
        <v>3278.21484375</v>
      </c>
      <c r="Z843">
        <v>3283.070556640625</v>
      </c>
      <c r="AA843">
        <v>3230.478759765625</v>
      </c>
      <c r="AB843">
        <v>3143.071533203125</v>
      </c>
      <c r="AC843">
        <v>2996.188720703125</v>
      </c>
      <c r="AD843">
        <v>2796.44384765625</v>
      </c>
      <c r="AE843">
        <v>2733.908447265625</v>
      </c>
      <c r="AF843">
        <v>2668.77734375</v>
      </c>
      <c r="AG843">
        <v>2535.023681640625</v>
      </c>
      <c r="AH843">
        <v>2423.292236328125</v>
      </c>
      <c r="AI843">
        <v>2247.4775390625</v>
      </c>
      <c r="AJ843">
        <v>2067.063232421875</v>
      </c>
      <c r="AK843">
        <v>1858.810302734375</v>
      </c>
      <c r="AL843">
        <v>1583.9176025390625</v>
      </c>
      <c r="AM843">
        <v>1300.345458984375</v>
      </c>
      <c r="AN843">
        <v>986.1011962890625</v>
      </c>
      <c r="AO843">
        <v>578.196533203125</v>
      </c>
      <c r="AP843">
        <v>113.02869415283203</v>
      </c>
    </row>
    <row r="844" spans="3:55" x14ac:dyDescent="0.25">
      <c r="D844">
        <v>10000</v>
      </c>
      <c r="V844">
        <v>803.93939208984375</v>
      </c>
      <c r="W844">
        <v>2153.542724609375</v>
      </c>
      <c r="X844">
        <v>2511.096923828125</v>
      </c>
      <c r="Y844">
        <v>2658.48876953125</v>
      </c>
      <c r="Z844">
        <v>2721.21435546875</v>
      </c>
      <c r="AA844">
        <v>2802.800048828125</v>
      </c>
      <c r="AB844">
        <v>2840.265869140625</v>
      </c>
      <c r="AC844">
        <v>2837.9482421875</v>
      </c>
      <c r="AD844">
        <v>2813.884033203125</v>
      </c>
      <c r="AE844">
        <v>2775.765380859375</v>
      </c>
      <c r="AF844">
        <v>2685.9423828125</v>
      </c>
      <c r="AG844">
        <v>2611.845458984375</v>
      </c>
      <c r="AH844">
        <v>2474.441162109375</v>
      </c>
      <c r="AI844">
        <v>2345.751953125</v>
      </c>
      <c r="AJ844">
        <v>2137.4423828125</v>
      </c>
      <c r="AK844">
        <v>1968.2674560546875</v>
      </c>
      <c r="AL844">
        <v>1734.5989990234375</v>
      </c>
      <c r="AM844">
        <v>1444.5989990234375</v>
      </c>
      <c r="AN844">
        <v>1158.8863525390625</v>
      </c>
      <c r="AO844">
        <v>782.08795166015625</v>
      </c>
      <c r="AP844">
        <v>349.87542724609375</v>
      </c>
    </row>
    <row r="845" spans="3:55" x14ac:dyDescent="0.25">
      <c r="D845">
        <v>11000</v>
      </c>
      <c r="V845">
        <v>103.25298309326172</v>
      </c>
      <c r="W845">
        <v>1795.1375732421875</v>
      </c>
      <c r="X845">
        <v>2474.126953125</v>
      </c>
      <c r="Y845">
        <v>2599.333984375</v>
      </c>
      <c r="Z845">
        <v>2725.63232421875</v>
      </c>
      <c r="AA845">
        <v>2794.058837890625</v>
      </c>
      <c r="AB845">
        <v>2835.044921875</v>
      </c>
      <c r="AC845">
        <v>2860.80322265625</v>
      </c>
      <c r="AD845">
        <v>2837.857177734375</v>
      </c>
      <c r="AE845">
        <v>2780.83837890625</v>
      </c>
      <c r="AF845">
        <v>2716.30517578125</v>
      </c>
      <c r="AG845">
        <v>2647.048828125</v>
      </c>
      <c r="AH845">
        <v>2520.181396484375</v>
      </c>
      <c r="AI845">
        <v>2403.2080078125</v>
      </c>
      <c r="AJ845">
        <v>2228.2265625</v>
      </c>
      <c r="AK845">
        <v>2035.15625</v>
      </c>
      <c r="AL845">
        <v>1839.468017578125</v>
      </c>
      <c r="AM845">
        <v>1580.0743408203125</v>
      </c>
      <c r="AN845">
        <v>1289.91015625</v>
      </c>
      <c r="AO845">
        <v>945.50115966796875</v>
      </c>
      <c r="AP845">
        <v>547.74658203125</v>
      </c>
    </row>
    <row r="846" spans="3:55" x14ac:dyDescent="0.25">
      <c r="D846">
        <v>12000</v>
      </c>
      <c r="W846">
        <v>1304.3609619140625</v>
      </c>
      <c r="X846">
        <v>2340.75830078125</v>
      </c>
      <c r="Y846">
        <v>2574.707763671875</v>
      </c>
      <c r="Z846">
        <v>2659.065673828125</v>
      </c>
      <c r="AA846">
        <v>2756.86474609375</v>
      </c>
      <c r="AB846">
        <v>2816.0751953125</v>
      </c>
      <c r="AC846">
        <v>2840.15673828125</v>
      </c>
      <c r="AD846">
        <v>2824.376708984375</v>
      </c>
      <c r="AE846">
        <v>2795.890869140625</v>
      </c>
      <c r="AF846">
        <v>2753.983642578125</v>
      </c>
      <c r="AG846">
        <v>2653.28955078125</v>
      </c>
      <c r="AH846">
        <v>2582.58642578125</v>
      </c>
      <c r="AI846">
        <v>2439.108642578125</v>
      </c>
      <c r="AJ846">
        <v>2307.22509765625</v>
      </c>
      <c r="AK846">
        <v>2099.890380859375</v>
      </c>
      <c r="AL846">
        <v>1924.491455078125</v>
      </c>
      <c r="AM846">
        <v>1704.179443359375</v>
      </c>
      <c r="AN846">
        <v>1421.6971435546875</v>
      </c>
      <c r="AO846">
        <v>1095.5220947265625</v>
      </c>
      <c r="AP846">
        <v>731.3912353515625</v>
      </c>
      <c r="AQ846">
        <v>217.50347900390625</v>
      </c>
    </row>
    <row r="847" spans="3:55" x14ac:dyDescent="0.25">
      <c r="D847">
        <v>13000</v>
      </c>
      <c r="W847">
        <v>679.0218505859375</v>
      </c>
      <c r="X847">
        <v>2066.657470703125</v>
      </c>
      <c r="Y847">
        <v>2488.104248046875</v>
      </c>
      <c r="Z847">
        <v>2647.48046875</v>
      </c>
      <c r="AA847">
        <v>2737.03759765625</v>
      </c>
      <c r="AB847">
        <v>2788.3740234375</v>
      </c>
      <c r="AC847">
        <v>2822.79052734375</v>
      </c>
      <c r="AD847">
        <v>2845.2880859375</v>
      </c>
      <c r="AE847">
        <v>2822.586669921875</v>
      </c>
      <c r="AF847">
        <v>2758.255126953125</v>
      </c>
      <c r="AG847">
        <v>2695.306640625</v>
      </c>
      <c r="AH847">
        <v>2614.516357421875</v>
      </c>
      <c r="AI847">
        <v>2496.6044921875</v>
      </c>
      <c r="AJ847">
        <v>2363.5341796875</v>
      </c>
      <c r="AK847">
        <v>2200.5830078125</v>
      </c>
      <c r="AL847">
        <v>1989.5404052734375</v>
      </c>
      <c r="AM847">
        <v>1807.4202880859375</v>
      </c>
      <c r="AN847">
        <v>1565.437255859375</v>
      </c>
      <c r="AO847">
        <v>1232.15771484375</v>
      </c>
      <c r="AP847">
        <v>900.84149169921875</v>
      </c>
      <c r="AQ847">
        <v>426.36618041992188</v>
      </c>
    </row>
    <row r="848" spans="3:55" x14ac:dyDescent="0.25">
      <c r="D848">
        <v>14000</v>
      </c>
      <c r="X848">
        <v>1649.8563232421875</v>
      </c>
      <c r="Y848">
        <v>2439.43359375</v>
      </c>
      <c r="Z848">
        <v>2594.22216796875</v>
      </c>
      <c r="AA848">
        <v>2682.896240234375</v>
      </c>
      <c r="AB848">
        <v>2770.06689453125</v>
      </c>
      <c r="AC848">
        <v>2814.26611328125</v>
      </c>
      <c r="AD848">
        <v>2828.612060546875</v>
      </c>
      <c r="AE848">
        <v>2809.334716796875</v>
      </c>
      <c r="AF848">
        <v>2779.131103515625</v>
      </c>
      <c r="AG848">
        <v>2730.662353515625</v>
      </c>
      <c r="AH848">
        <v>2615.6748046875</v>
      </c>
      <c r="AI848">
        <v>2554.4228515625</v>
      </c>
      <c r="AJ848">
        <v>2396.967529296875</v>
      </c>
      <c r="AK848">
        <v>2277.404052734375</v>
      </c>
      <c r="AL848">
        <v>2085.6826171875</v>
      </c>
      <c r="AM848">
        <v>1889.6776123046875</v>
      </c>
      <c r="AN848">
        <v>1687.228271484375</v>
      </c>
      <c r="AO848">
        <v>1393.001220703125</v>
      </c>
      <c r="AP848">
        <v>1056.116943359375</v>
      </c>
      <c r="AQ848">
        <v>620.0174560546875</v>
      </c>
      <c r="AR848">
        <v>22.973703384399414</v>
      </c>
    </row>
    <row r="849" spans="4:45" x14ac:dyDescent="0.25">
      <c r="D849">
        <v>15000</v>
      </c>
      <c r="X849">
        <v>1088.5247802734375</v>
      </c>
      <c r="Y849">
        <v>2241.75439453125</v>
      </c>
      <c r="Z849">
        <v>2523.60888671875</v>
      </c>
      <c r="AA849">
        <v>2664.764404296875</v>
      </c>
      <c r="AB849">
        <v>2733.14453125</v>
      </c>
      <c r="AC849">
        <v>2776.285400390625</v>
      </c>
      <c r="AD849">
        <v>2807.468994140625</v>
      </c>
      <c r="AE849">
        <v>2833.696044921875</v>
      </c>
      <c r="AF849">
        <v>2804.5859375</v>
      </c>
      <c r="AG849">
        <v>2730.978759765625</v>
      </c>
      <c r="AH849">
        <v>2676.291015625</v>
      </c>
      <c r="AI849">
        <v>2579.888671875</v>
      </c>
      <c r="AJ849">
        <v>2475.45654296875</v>
      </c>
      <c r="AK849">
        <v>2330.68310546875</v>
      </c>
      <c r="AL849">
        <v>2183.89013671875</v>
      </c>
      <c r="AM849">
        <v>1966.04150390625</v>
      </c>
      <c r="AN849">
        <v>1786.9595947265625</v>
      </c>
      <c r="AO849">
        <v>1537.3487548828125</v>
      </c>
      <c r="AP849">
        <v>1222.0853271484375</v>
      </c>
      <c r="AQ849">
        <v>798.4903564453125</v>
      </c>
      <c r="AR849">
        <v>249.40814208984375</v>
      </c>
    </row>
    <row r="850" spans="4:45" x14ac:dyDescent="0.25">
      <c r="D850">
        <v>16000</v>
      </c>
      <c r="X850">
        <v>350.99395751953125</v>
      </c>
      <c r="Y850">
        <v>1867.267333984375</v>
      </c>
      <c r="Z850">
        <v>2459.163818359375</v>
      </c>
      <c r="AA850">
        <v>2566.786376953125</v>
      </c>
      <c r="AB850">
        <v>2684.576171875</v>
      </c>
      <c r="AC850">
        <v>2758.936767578125</v>
      </c>
      <c r="AD850">
        <v>2797.931884765625</v>
      </c>
      <c r="AE850">
        <v>2811.749267578125</v>
      </c>
      <c r="AF850">
        <v>2785.267578125</v>
      </c>
      <c r="AG850">
        <v>2763.127197265625</v>
      </c>
      <c r="AH850">
        <v>2706.320068359375</v>
      </c>
      <c r="AI850">
        <v>2600.42529296875</v>
      </c>
      <c r="AJ850">
        <v>2527.196044921875</v>
      </c>
      <c r="AK850">
        <v>2380.7255859375</v>
      </c>
      <c r="AL850">
        <v>2250.500244140625</v>
      </c>
      <c r="AM850">
        <v>2075.395751953125</v>
      </c>
      <c r="AN850">
        <v>1853.0845947265625</v>
      </c>
      <c r="AO850">
        <v>1641.60498046875</v>
      </c>
      <c r="AP850">
        <v>1366.560302734375</v>
      </c>
      <c r="AQ850">
        <v>951.16778564453125</v>
      </c>
      <c r="AR850">
        <v>428.53164672851563</v>
      </c>
    </row>
    <row r="851" spans="4:45" x14ac:dyDescent="0.25">
      <c r="D851">
        <v>17000</v>
      </c>
      <c r="Y851">
        <v>1339.735107421875</v>
      </c>
      <c r="Z851">
        <v>2294.49462890625</v>
      </c>
      <c r="AA851">
        <v>2521.296875</v>
      </c>
      <c r="AB851">
        <v>2635.734375</v>
      </c>
      <c r="AC851">
        <v>2702.689208984375</v>
      </c>
      <c r="AD851">
        <v>2752.67236328125</v>
      </c>
      <c r="AE851">
        <v>2792.633544921875</v>
      </c>
      <c r="AF851">
        <v>2815.718505859375</v>
      </c>
      <c r="AG851">
        <v>2781.52099609375</v>
      </c>
      <c r="AH851">
        <v>2693.607421875</v>
      </c>
      <c r="AI851">
        <v>2659.864501953125</v>
      </c>
      <c r="AJ851">
        <v>2544.6318359375</v>
      </c>
      <c r="AK851">
        <v>2456.038818359375</v>
      </c>
      <c r="AL851">
        <v>2291.72705078125</v>
      </c>
      <c r="AM851">
        <v>2158.332275390625</v>
      </c>
      <c r="AN851">
        <v>1957.4677734375</v>
      </c>
      <c r="AO851">
        <v>1722.6531982421875</v>
      </c>
      <c r="AP851">
        <v>1486.7928466796875</v>
      </c>
      <c r="AQ851">
        <v>1115.2113037109375</v>
      </c>
      <c r="AR851">
        <v>593.1044921875</v>
      </c>
    </row>
    <row r="852" spans="4:45" x14ac:dyDescent="0.25">
      <c r="D852">
        <v>18000</v>
      </c>
      <c r="Y852">
        <v>656.59332275390625</v>
      </c>
      <c r="Z852">
        <v>1967.61376953125</v>
      </c>
      <c r="AA852">
        <v>2434.612548828125</v>
      </c>
      <c r="AB852">
        <v>2553.8525390625</v>
      </c>
      <c r="AC852">
        <v>2667.979736328125</v>
      </c>
      <c r="AD852">
        <v>2741.78125</v>
      </c>
      <c r="AE852">
        <v>2779.818115234375</v>
      </c>
      <c r="AF852">
        <v>2785.90283203125</v>
      </c>
      <c r="AG852">
        <v>2772.545166015625</v>
      </c>
      <c r="AH852">
        <v>2749.7568359375</v>
      </c>
      <c r="AI852">
        <v>2677.48046875</v>
      </c>
      <c r="AJ852">
        <v>2594.203369140625</v>
      </c>
      <c r="AK852">
        <v>2495.346923828125</v>
      </c>
      <c r="AL852">
        <v>2368.940673828125</v>
      </c>
      <c r="AM852">
        <v>2214.65234375</v>
      </c>
      <c r="AN852">
        <v>2054.642333984375</v>
      </c>
      <c r="AO852">
        <v>1804.93505859375</v>
      </c>
      <c r="AP852">
        <v>1582.655029296875</v>
      </c>
      <c r="AQ852">
        <v>1251.907958984375</v>
      </c>
      <c r="AR852">
        <v>775.3145751953125</v>
      </c>
      <c r="AS852">
        <v>2.0658857822418213</v>
      </c>
    </row>
    <row r="853" spans="4:45" x14ac:dyDescent="0.25">
      <c r="D853">
        <v>19000</v>
      </c>
      <c r="Z853">
        <v>1476.157470703125</v>
      </c>
      <c r="AA853">
        <v>2312.704345703125</v>
      </c>
      <c r="AB853">
        <v>2509.719970703125</v>
      </c>
      <c r="AC853">
        <v>2616.734130859375</v>
      </c>
      <c r="AD853">
        <v>2690.636474609375</v>
      </c>
      <c r="AE853">
        <v>2744.011962890625</v>
      </c>
      <c r="AF853">
        <v>2781.686279296875</v>
      </c>
      <c r="AG853">
        <v>2798.41064453125</v>
      </c>
      <c r="AH853">
        <v>2758.27783203125</v>
      </c>
      <c r="AI853">
        <v>2695.564208984375</v>
      </c>
      <c r="AJ853">
        <v>2639.74169921875</v>
      </c>
      <c r="AK853">
        <v>2508.90380859375</v>
      </c>
      <c r="AL853">
        <v>2429.75634765625</v>
      </c>
      <c r="AM853">
        <v>2268.2626953125</v>
      </c>
      <c r="AN853">
        <v>2121.954833984375</v>
      </c>
      <c r="AO853">
        <v>1920.7392578125</v>
      </c>
      <c r="AP853">
        <v>1643.4176025390625</v>
      </c>
      <c r="AQ853">
        <v>1361.1192626953125</v>
      </c>
      <c r="AR853">
        <v>929.426025390625</v>
      </c>
      <c r="AS853">
        <v>215.66941833496094</v>
      </c>
    </row>
    <row r="854" spans="4:45" x14ac:dyDescent="0.25">
      <c r="D854">
        <v>20000</v>
      </c>
      <c r="Z854">
        <v>817.482666015625</v>
      </c>
      <c r="AA854">
        <v>2016.6458740234375</v>
      </c>
      <c r="AB854">
        <v>2411.896240234375</v>
      </c>
      <c r="AC854">
        <v>2544.8583984375</v>
      </c>
      <c r="AD854">
        <v>2657.962158203125</v>
      </c>
      <c r="AE854">
        <v>2725.456298828125</v>
      </c>
      <c r="AF854">
        <v>2756.950439453125</v>
      </c>
      <c r="AG854">
        <v>2753.431396484375</v>
      </c>
      <c r="AH854">
        <v>2772.004638671875</v>
      </c>
      <c r="AI854">
        <v>2739.427734375</v>
      </c>
      <c r="AJ854">
        <v>2641.259521484375</v>
      </c>
      <c r="AK854">
        <v>2582.7578125</v>
      </c>
      <c r="AL854">
        <v>2453.770751953125</v>
      </c>
      <c r="AM854">
        <v>2352.07373046875</v>
      </c>
      <c r="AN854">
        <v>2159.141357421875</v>
      </c>
      <c r="AO854">
        <v>2005.7841796875</v>
      </c>
      <c r="AP854">
        <v>1778.8671875</v>
      </c>
      <c r="AQ854">
        <v>1442.0841064453125</v>
      </c>
      <c r="AR854">
        <v>1050.8392333984375</v>
      </c>
      <c r="AS854">
        <v>396.48867797851563</v>
      </c>
    </row>
    <row r="855" spans="4:45" x14ac:dyDescent="0.25">
      <c r="D855">
        <v>21000</v>
      </c>
      <c r="AA855">
        <v>1501.761474609375</v>
      </c>
      <c r="AB855">
        <v>2269.04296875</v>
      </c>
      <c r="AC855">
        <v>2452.177001953125</v>
      </c>
      <c r="AD855">
        <v>2561.63671875</v>
      </c>
      <c r="AE855">
        <v>2634.3515625</v>
      </c>
      <c r="AF855">
        <v>2692.939697265625</v>
      </c>
      <c r="AG855">
        <v>2729.063232421875</v>
      </c>
      <c r="AH855">
        <v>2739.308349609375</v>
      </c>
      <c r="AI855">
        <v>2698.037353515625</v>
      </c>
      <c r="AJ855">
        <v>2664.744384765625</v>
      </c>
      <c r="AK855">
        <v>2585.72509765625</v>
      </c>
      <c r="AL855">
        <v>2491.201904296875</v>
      </c>
      <c r="AM855">
        <v>2383.44873046875</v>
      </c>
      <c r="AN855">
        <v>2257.899169921875</v>
      </c>
      <c r="AO855">
        <v>2054.858154296875</v>
      </c>
      <c r="AP855">
        <v>1876.296142578125</v>
      </c>
      <c r="AQ855">
        <v>1555.853759765625</v>
      </c>
      <c r="AR855">
        <v>1136.1312255859375</v>
      </c>
      <c r="AS855">
        <v>532.74365234375</v>
      </c>
    </row>
    <row r="856" spans="4:45" x14ac:dyDescent="0.25">
      <c r="D856">
        <v>22000</v>
      </c>
      <c r="AA856">
        <v>807.57867431640625</v>
      </c>
      <c r="AB856">
        <v>1939.5772705078125</v>
      </c>
      <c r="AC856">
        <v>2306.037841796875</v>
      </c>
      <c r="AD856">
        <v>2429.925537109375</v>
      </c>
      <c r="AE856">
        <v>2537.635009765625</v>
      </c>
      <c r="AF856">
        <v>2609.168701171875</v>
      </c>
      <c r="AG856">
        <v>2639.627197265625</v>
      </c>
      <c r="AH856">
        <v>2664.483154296875</v>
      </c>
      <c r="AI856">
        <v>2701.883056640625</v>
      </c>
      <c r="AJ856">
        <v>2659.189697265625</v>
      </c>
      <c r="AK856">
        <v>2581.588134765625</v>
      </c>
      <c r="AL856">
        <v>2525.285888671875</v>
      </c>
      <c r="AM856">
        <v>2399.061767578125</v>
      </c>
      <c r="AN856">
        <v>2315.1259765625</v>
      </c>
      <c r="AO856">
        <v>2133.526611328125</v>
      </c>
      <c r="AP856">
        <v>1940.7032470703125</v>
      </c>
      <c r="AQ856">
        <v>1670.4490966796875</v>
      </c>
      <c r="AR856">
        <v>1251.336669921875</v>
      </c>
      <c r="AS856">
        <v>628.22003173828125</v>
      </c>
    </row>
    <row r="857" spans="4:45" x14ac:dyDescent="0.25">
      <c r="D857">
        <v>23000</v>
      </c>
      <c r="AB857">
        <v>1420.805419921875</v>
      </c>
      <c r="AC857">
        <v>2163.972900390625</v>
      </c>
      <c r="AD857">
        <v>2345.157958984375</v>
      </c>
      <c r="AE857">
        <v>2457.92578125</v>
      </c>
      <c r="AF857">
        <v>2539.28759765625</v>
      </c>
      <c r="AG857">
        <v>2605.3359375</v>
      </c>
      <c r="AH857">
        <v>2640.721435546875</v>
      </c>
      <c r="AI857">
        <v>2646.044189453125</v>
      </c>
      <c r="AJ857">
        <v>2636.593994140625</v>
      </c>
      <c r="AK857">
        <v>2611.565673828125</v>
      </c>
      <c r="AL857">
        <v>2510.172607421875</v>
      </c>
      <c r="AM857">
        <v>2463.888671875</v>
      </c>
      <c r="AN857">
        <v>2330.131591796875</v>
      </c>
      <c r="AO857">
        <v>2210.769775390625</v>
      </c>
      <c r="AP857">
        <v>1999.9979248046875</v>
      </c>
      <c r="AQ857">
        <v>1748.0806884765625</v>
      </c>
      <c r="AR857">
        <v>1384.664794921875</v>
      </c>
      <c r="AS857">
        <v>732.65960693359375</v>
      </c>
    </row>
    <row r="858" spans="4:45" x14ac:dyDescent="0.25">
      <c r="D858">
        <v>24000</v>
      </c>
      <c r="AB858">
        <v>709.63250732421875</v>
      </c>
      <c r="AC858">
        <v>1821.91845703125</v>
      </c>
      <c r="AD858">
        <v>2206.105224609375</v>
      </c>
      <c r="AE858">
        <v>2316.52734375</v>
      </c>
      <c r="AF858">
        <v>2416.399169921875</v>
      </c>
      <c r="AG858">
        <v>2493.9423828125</v>
      </c>
      <c r="AH858">
        <v>2558.784423828125</v>
      </c>
      <c r="AI858">
        <v>2616.400390625</v>
      </c>
      <c r="AJ858">
        <v>2630.82958984375</v>
      </c>
      <c r="AK858">
        <v>2585.356689453125</v>
      </c>
      <c r="AL858">
        <v>2559.76416015625</v>
      </c>
      <c r="AM858">
        <v>2477.11474609375</v>
      </c>
      <c r="AN858">
        <v>2406.236572265625</v>
      </c>
      <c r="AO858">
        <v>2243.764404296875</v>
      </c>
      <c r="AP858">
        <v>2096.61328125</v>
      </c>
      <c r="AQ858">
        <v>1793.8973388671875</v>
      </c>
      <c r="AR858">
        <v>1474.3974609375</v>
      </c>
      <c r="AS858">
        <v>888.72894287109375</v>
      </c>
    </row>
    <row r="859" spans="4:45" x14ac:dyDescent="0.25">
      <c r="D859">
        <v>25000</v>
      </c>
      <c r="AC859">
        <v>1277.4652099609375</v>
      </c>
      <c r="AD859">
        <v>2038.3446044921875</v>
      </c>
      <c r="AE859">
        <v>2230.70703125</v>
      </c>
      <c r="AF859">
        <v>2361.64306640625</v>
      </c>
      <c r="AG859">
        <v>2452.745361328125</v>
      </c>
      <c r="AH859">
        <v>2525.87744140625</v>
      </c>
      <c r="AI859">
        <v>2563.029541015625</v>
      </c>
      <c r="AJ859">
        <v>2560.353759765625</v>
      </c>
      <c r="AK859">
        <v>2600.909423828125</v>
      </c>
      <c r="AL859">
        <v>2565.85302734375</v>
      </c>
      <c r="AM859">
        <v>2508.12353515625</v>
      </c>
      <c r="AN859">
        <v>2450.880126953125</v>
      </c>
      <c r="AO859">
        <v>2306.309814453125</v>
      </c>
      <c r="AP859">
        <v>2147.88525390625</v>
      </c>
      <c r="AQ859">
        <v>1914.5389404296875</v>
      </c>
      <c r="AR859">
        <v>1520.12744140625</v>
      </c>
      <c r="AS859">
        <v>986.5894775390625</v>
      </c>
    </row>
    <row r="860" spans="4:45" x14ac:dyDescent="0.25">
      <c r="D860">
        <v>26000</v>
      </c>
      <c r="AC860">
        <v>506.16107177734375</v>
      </c>
      <c r="AD860">
        <v>1630.189208984375</v>
      </c>
      <c r="AE860">
        <v>2082.94482421875</v>
      </c>
      <c r="AF860">
        <v>2214.527099609375</v>
      </c>
      <c r="AG860">
        <v>2309.030517578125</v>
      </c>
      <c r="AH860">
        <v>2395.64306640625</v>
      </c>
      <c r="AI860">
        <v>2476.403564453125</v>
      </c>
      <c r="AJ860">
        <v>2513.04638671875</v>
      </c>
      <c r="AK860">
        <v>2502.6669921875</v>
      </c>
      <c r="AL860">
        <v>2506.493408203125</v>
      </c>
      <c r="AM860">
        <v>2486.865478515625</v>
      </c>
      <c r="AN860">
        <v>2399.146484375</v>
      </c>
      <c r="AO860">
        <v>2317.033935546875</v>
      </c>
      <c r="AP860">
        <v>2151.5458984375</v>
      </c>
      <c r="AQ860">
        <v>1949.7574462890625</v>
      </c>
      <c r="AR860">
        <v>1619.79150390625</v>
      </c>
      <c r="AS860">
        <v>1005.404296875</v>
      </c>
    </row>
    <row r="861" spans="4:45" x14ac:dyDescent="0.25">
      <c r="D861">
        <v>27000</v>
      </c>
      <c r="AD861">
        <v>1000.9840087890625</v>
      </c>
      <c r="AE861">
        <v>1841.478515625</v>
      </c>
      <c r="AF861">
        <v>2043.618896484375</v>
      </c>
      <c r="AG861">
        <v>2189.460205078125</v>
      </c>
      <c r="AH861">
        <v>2279.319580078125</v>
      </c>
      <c r="AI861">
        <v>2343.14306640625</v>
      </c>
      <c r="AJ861">
        <v>2384.5986328125</v>
      </c>
      <c r="AK861">
        <v>2442.63720703125</v>
      </c>
      <c r="AL861">
        <v>2449.701904296875</v>
      </c>
      <c r="AM861">
        <v>2404.02490234375</v>
      </c>
      <c r="AN861">
        <v>2404.51953125</v>
      </c>
      <c r="AO861">
        <v>2273.884521484375</v>
      </c>
      <c r="AP861">
        <v>2189.884033203125</v>
      </c>
      <c r="AQ861">
        <v>1935.201171875</v>
      </c>
      <c r="AR861">
        <v>1673.842041015625</v>
      </c>
      <c r="AS861">
        <v>1108.049560546875</v>
      </c>
    </row>
    <row r="862" spans="4:45" x14ac:dyDescent="0.25">
      <c r="D862">
        <v>28000</v>
      </c>
      <c r="AD862">
        <v>146.91983032226563</v>
      </c>
      <c r="AE862">
        <v>1367.09765625</v>
      </c>
      <c r="AF862">
        <v>1917.0599365234375</v>
      </c>
      <c r="AG862">
        <v>2066.798828125</v>
      </c>
      <c r="AH862">
        <v>2173.966796875</v>
      </c>
      <c r="AI862">
        <v>2258.5078125</v>
      </c>
      <c r="AJ862">
        <v>2318.0146484375</v>
      </c>
      <c r="AK862">
        <v>2342.16357421875</v>
      </c>
      <c r="AL862">
        <v>2358.51318359375</v>
      </c>
      <c r="AM862">
        <v>2387.144775390625</v>
      </c>
      <c r="AN862">
        <v>2341.705322265625</v>
      </c>
      <c r="AO862">
        <v>2286.032958984375</v>
      </c>
      <c r="AP862">
        <v>2171.74169921875</v>
      </c>
      <c r="AQ862">
        <v>2002.0989990234375</v>
      </c>
      <c r="AR862">
        <v>1670.845703125</v>
      </c>
      <c r="AS862">
        <v>1170.9354248046875</v>
      </c>
    </row>
    <row r="863" spans="4:45" x14ac:dyDescent="0.25">
      <c r="D863">
        <v>29000</v>
      </c>
      <c r="AE863">
        <v>656.11285400390625</v>
      </c>
      <c r="AF863">
        <v>1595.6226806640625</v>
      </c>
      <c r="AG863">
        <v>1880.8792724609375</v>
      </c>
      <c r="AH863">
        <v>2005.2569580078125</v>
      </c>
      <c r="AI863">
        <v>2104.190673828125</v>
      </c>
      <c r="AJ863">
        <v>2191.050537109375</v>
      </c>
      <c r="AK863">
        <v>2267.451416015625</v>
      </c>
      <c r="AL863">
        <v>2304.1328125</v>
      </c>
      <c r="AM863">
        <v>2272.26416015625</v>
      </c>
      <c r="AN863">
        <v>2323.345458984375</v>
      </c>
      <c r="AO863">
        <v>2252.487548828125</v>
      </c>
      <c r="AP863">
        <v>2175.302978515625</v>
      </c>
      <c r="AQ863">
        <v>2006.5078125</v>
      </c>
      <c r="AR863">
        <v>1750.852294921875</v>
      </c>
      <c r="AS863">
        <v>1146.845458984375</v>
      </c>
    </row>
    <row r="864" spans="4:45" x14ac:dyDescent="0.25">
      <c r="D864">
        <v>30000</v>
      </c>
      <c r="AF864">
        <v>1025.345947265625</v>
      </c>
      <c r="AG864">
        <v>1710.0223388671875</v>
      </c>
      <c r="AH864">
        <v>1878.0599365234375</v>
      </c>
      <c r="AI864">
        <v>2002.5985107421875</v>
      </c>
      <c r="AJ864">
        <v>2079.960205078125</v>
      </c>
      <c r="AK864">
        <v>2123.84619140625</v>
      </c>
      <c r="AL864">
        <v>2200.416748046875</v>
      </c>
      <c r="AM864">
        <v>2257.70751953125</v>
      </c>
      <c r="AN864">
        <v>2251.27490234375</v>
      </c>
      <c r="AO864">
        <v>2222.419921875</v>
      </c>
      <c r="AP864">
        <v>2169.8505859375</v>
      </c>
      <c r="AQ864">
        <v>2005.02197265625</v>
      </c>
      <c r="AR864">
        <v>1772.2125244140625</v>
      </c>
      <c r="AS864">
        <v>1223.6326904296875</v>
      </c>
    </row>
    <row r="865" spans="4:45" x14ac:dyDescent="0.25">
      <c r="D865">
        <v>31000</v>
      </c>
      <c r="AF865">
        <v>191.12246704101563</v>
      </c>
      <c r="AG865">
        <v>1265.0540771484375</v>
      </c>
      <c r="AH865">
        <v>1718.193115234375</v>
      </c>
      <c r="AI865">
        <v>1859.3385009765625</v>
      </c>
      <c r="AJ865">
        <v>1959.55908203125</v>
      </c>
      <c r="AK865">
        <v>2036.39892578125</v>
      </c>
      <c r="AL865">
        <v>2086.34326171875</v>
      </c>
      <c r="AM865">
        <v>2100.150634765625</v>
      </c>
      <c r="AN865">
        <v>2172.462646484375</v>
      </c>
      <c r="AO865">
        <v>2144.91845703125</v>
      </c>
      <c r="AP865">
        <v>2083.6044921875</v>
      </c>
      <c r="AQ865">
        <v>1973.280029296875</v>
      </c>
      <c r="AR865">
        <v>1710.237060546875</v>
      </c>
      <c r="AS865">
        <v>1176.80078125</v>
      </c>
    </row>
    <row r="866" spans="4:45" x14ac:dyDescent="0.25">
      <c r="D866">
        <v>32000</v>
      </c>
      <c r="AG866">
        <v>554.1197509765625</v>
      </c>
      <c r="AH866">
        <v>1405.39111328125</v>
      </c>
      <c r="AI866">
        <v>1651.0941162109375</v>
      </c>
      <c r="AJ866">
        <v>1780.558349609375</v>
      </c>
      <c r="AK866">
        <v>1879.067138671875</v>
      </c>
      <c r="AL866">
        <v>1966.0909423828125</v>
      </c>
      <c r="AM866">
        <v>2028.201171875</v>
      </c>
      <c r="AN866">
        <v>2042.6175537109375</v>
      </c>
      <c r="AO866">
        <v>2036.1405029296875</v>
      </c>
      <c r="AP866">
        <v>2031.9971923828125</v>
      </c>
      <c r="AQ866">
        <v>1849.7052001953125</v>
      </c>
      <c r="AR866">
        <v>1674.209228515625</v>
      </c>
      <c r="AS866">
        <v>1068.27294921875</v>
      </c>
    </row>
    <row r="867" spans="4:45" x14ac:dyDescent="0.25">
      <c r="D867">
        <v>33000</v>
      </c>
      <c r="AH867">
        <v>813.08709716796875</v>
      </c>
      <c r="AI867">
        <v>1469.2593994140625</v>
      </c>
      <c r="AJ867">
        <v>1611.48486328125</v>
      </c>
      <c r="AK867">
        <v>1725.664794921875</v>
      </c>
      <c r="AL867">
        <v>1788.6617431640625</v>
      </c>
      <c r="AM867">
        <v>1876.653564453125</v>
      </c>
      <c r="AN867">
        <v>1956.10302734375</v>
      </c>
      <c r="AO867">
        <v>1939.3038330078125</v>
      </c>
      <c r="AP867">
        <v>1894.7491455078125</v>
      </c>
      <c r="AQ867">
        <v>1815.8714599609375</v>
      </c>
      <c r="AR867">
        <v>1513.7528076171875</v>
      </c>
      <c r="AS867">
        <v>1035.524169921875</v>
      </c>
    </row>
    <row r="868" spans="4:45" x14ac:dyDescent="0.25">
      <c r="D868">
        <v>34000</v>
      </c>
      <c r="AI868">
        <v>998.93878173828125</v>
      </c>
      <c r="AJ868">
        <v>1459.5250244140625</v>
      </c>
      <c r="AK868">
        <v>1590.6673583984375</v>
      </c>
      <c r="AL868">
        <v>1687.7799072265625</v>
      </c>
      <c r="AM868">
        <v>1750.3533935546875</v>
      </c>
      <c r="AN868">
        <v>1775.970947265625</v>
      </c>
      <c r="AO868">
        <v>1825.1771240234375</v>
      </c>
      <c r="AP868">
        <v>1827.641357421875</v>
      </c>
      <c r="AQ868">
        <v>1648.2598876953125</v>
      </c>
      <c r="AR868">
        <v>1492.094970703125</v>
      </c>
      <c r="AS868">
        <v>810.0240478515625</v>
      </c>
    </row>
    <row r="869" spans="4:45" x14ac:dyDescent="0.25">
      <c r="D869">
        <v>35000</v>
      </c>
      <c r="AJ869">
        <v>1094.364013671875</v>
      </c>
      <c r="AK869">
        <v>1402.04345703125</v>
      </c>
      <c r="AL869">
        <v>1533.4365234375</v>
      </c>
      <c r="AM869">
        <v>1627.39794921875</v>
      </c>
      <c r="AN869">
        <v>1693.5775146484375</v>
      </c>
      <c r="AO869">
        <v>1675.3287353515625</v>
      </c>
      <c r="AP869">
        <v>1688.4921875</v>
      </c>
      <c r="AQ869">
        <v>1601.4765625</v>
      </c>
      <c r="AR869">
        <v>1296.97705078125</v>
      </c>
      <c r="AS869">
        <v>787.86041259765625</v>
      </c>
    </row>
    <row r="870" spans="4:45" x14ac:dyDescent="0.25">
      <c r="D870">
        <v>36000</v>
      </c>
      <c r="AL870">
        <v>1240.0985107421875</v>
      </c>
      <c r="AM870">
        <v>1375.1517333984375</v>
      </c>
      <c r="AN870">
        <v>1470.6285400390625</v>
      </c>
      <c r="AO870">
        <v>1485.164306640625</v>
      </c>
      <c r="AP870">
        <v>1479.6441650390625</v>
      </c>
      <c r="AQ870">
        <v>1340.8221435546875</v>
      </c>
      <c r="AR870">
        <v>1154.0927734375</v>
      </c>
      <c r="AS870">
        <v>469.70211791992188</v>
      </c>
    </row>
    <row r="871" spans="4:45" x14ac:dyDescent="0.25">
      <c r="D871">
        <v>37000</v>
      </c>
      <c r="AN871">
        <v>1117.924072265625</v>
      </c>
      <c r="AO871">
        <v>1145.0592041015625</v>
      </c>
      <c r="AP871">
        <v>1171.06982421875</v>
      </c>
      <c r="AQ871">
        <v>1053.7232666015625</v>
      </c>
      <c r="AR871">
        <v>796.478515625</v>
      </c>
    </row>
    <row r="872" spans="4:45" x14ac:dyDescent="0.25">
      <c r="D872">
        <v>38000</v>
      </c>
    </row>
    <row r="873" spans="4:45" x14ac:dyDescent="0.25">
      <c r="D873">
        <v>39000</v>
      </c>
    </row>
    <row r="874" spans="4:45" x14ac:dyDescent="0.25">
      <c r="D874">
        <v>40000</v>
      </c>
    </row>
    <row r="875" spans="4:45" x14ac:dyDescent="0.25">
      <c r="D875">
        <v>41000</v>
      </c>
    </row>
    <row r="876" spans="4:45" x14ac:dyDescent="0.25">
      <c r="D876">
        <v>42000</v>
      </c>
    </row>
    <row r="877" spans="4:45" x14ac:dyDescent="0.25">
      <c r="D877">
        <v>43000</v>
      </c>
    </row>
    <row r="878" spans="4:45" x14ac:dyDescent="0.25">
      <c r="D878">
        <v>44000</v>
      </c>
    </row>
    <row r="879" spans="4:45" x14ac:dyDescent="0.25">
      <c r="D879">
        <v>45000</v>
      </c>
    </row>
    <row r="880" spans="4:45" x14ac:dyDescent="0.25">
      <c r="D880">
        <v>46000</v>
      </c>
    </row>
    <row r="881" spans="3:55" x14ac:dyDescent="0.25">
      <c r="D881">
        <v>47000</v>
      </c>
    </row>
    <row r="882" spans="3:55" x14ac:dyDescent="0.25">
      <c r="D882">
        <v>48000</v>
      </c>
    </row>
    <row r="883" spans="3:55" x14ac:dyDescent="0.25">
      <c r="D883">
        <v>49000</v>
      </c>
    </row>
    <row r="884" spans="3:55" x14ac:dyDescent="0.25">
      <c r="D884">
        <v>50000</v>
      </c>
    </row>
    <row r="885" spans="3:55" x14ac:dyDescent="0.25">
      <c r="C885" t="s">
        <v>150</v>
      </c>
      <c r="D885" t="s">
        <v>133</v>
      </c>
      <c r="E885">
        <v>0</v>
      </c>
      <c r="F885">
        <v>0.02</v>
      </c>
      <c r="G885">
        <v>0.04</v>
      </c>
      <c r="H885">
        <v>0.06</v>
      </c>
      <c r="I885">
        <v>0.08</v>
      </c>
      <c r="J885">
        <v>0.1</v>
      </c>
      <c r="K885">
        <v>0.12</v>
      </c>
      <c r="L885">
        <v>0.14000000000000001</v>
      </c>
      <c r="M885">
        <v>0.16</v>
      </c>
      <c r="N885">
        <v>0.18</v>
      </c>
      <c r="O885">
        <v>0.2</v>
      </c>
      <c r="P885">
        <v>0.22</v>
      </c>
      <c r="Q885">
        <v>0.24</v>
      </c>
      <c r="R885">
        <v>0.26</v>
      </c>
      <c r="S885">
        <v>0.28000000000000003</v>
      </c>
      <c r="T885">
        <v>0.3</v>
      </c>
      <c r="U885">
        <v>0.32</v>
      </c>
      <c r="V885">
        <v>0.34</v>
      </c>
      <c r="W885">
        <v>0.36</v>
      </c>
      <c r="X885">
        <v>0.38</v>
      </c>
      <c r="Y885">
        <v>0.4</v>
      </c>
      <c r="Z885">
        <v>0.42</v>
      </c>
      <c r="AA885">
        <v>0.44</v>
      </c>
      <c r="AB885">
        <v>0.46</v>
      </c>
      <c r="AC885">
        <v>0.48</v>
      </c>
      <c r="AD885">
        <v>0.5</v>
      </c>
      <c r="AE885">
        <v>0.52</v>
      </c>
      <c r="AF885">
        <v>0.54</v>
      </c>
      <c r="AG885">
        <v>0.56000000000000005</v>
      </c>
      <c r="AH885">
        <v>0.57999999999999996</v>
      </c>
      <c r="AI885">
        <v>0.6</v>
      </c>
      <c r="AJ885">
        <v>0.62</v>
      </c>
      <c r="AK885">
        <v>0.64</v>
      </c>
      <c r="AL885">
        <v>0.66</v>
      </c>
      <c r="AM885">
        <v>0.68</v>
      </c>
      <c r="AN885">
        <v>0.7</v>
      </c>
      <c r="AO885">
        <v>0.72</v>
      </c>
      <c r="AP885">
        <v>0.74</v>
      </c>
      <c r="AQ885">
        <v>0.76</v>
      </c>
      <c r="AR885">
        <v>0.78</v>
      </c>
      <c r="AS885">
        <v>0.8</v>
      </c>
      <c r="AT885">
        <v>0.82</v>
      </c>
      <c r="AU885">
        <v>0.84</v>
      </c>
      <c r="AV885">
        <v>0.86</v>
      </c>
      <c r="AW885">
        <v>0.88</v>
      </c>
      <c r="AX885">
        <v>0.9</v>
      </c>
      <c r="AY885">
        <v>0.92</v>
      </c>
      <c r="AZ885">
        <v>0.94</v>
      </c>
      <c r="BA885">
        <v>0.96</v>
      </c>
      <c r="BB885">
        <v>0.98</v>
      </c>
      <c r="BC885">
        <v>1</v>
      </c>
    </row>
    <row r="886" spans="3:55" x14ac:dyDescent="0.25">
      <c r="D886">
        <v>0</v>
      </c>
      <c r="R886">
        <v>1.0753775835037231</v>
      </c>
      <c r="S886">
        <v>1.2314767837524414</v>
      </c>
      <c r="T886">
        <v>1.395654559135437</v>
      </c>
      <c r="U886">
        <v>1.562755823135376</v>
      </c>
      <c r="V886">
        <v>1.7357687950134277</v>
      </c>
      <c r="W886">
        <v>1.9141032695770264</v>
      </c>
      <c r="X886">
        <v>2.0971686840057373</v>
      </c>
      <c r="Y886">
        <v>2.2843749523162842</v>
      </c>
      <c r="Z886">
        <v>2.4693160057067871</v>
      </c>
      <c r="AA886">
        <v>2.6560828685760498</v>
      </c>
      <c r="AB886">
        <v>2.8440060615539551</v>
      </c>
      <c r="AC886">
        <v>3.0324161052703857</v>
      </c>
      <c r="AD886">
        <v>3.2206437587738037</v>
      </c>
      <c r="AE886">
        <v>3.4059622287750244</v>
      </c>
      <c r="AF886">
        <v>3.5894362926483154</v>
      </c>
      <c r="AG886">
        <v>3.770378589630127</v>
      </c>
      <c r="AH886">
        <v>3.9481015205383301</v>
      </c>
      <c r="AI886">
        <v>4.1219167709350586</v>
      </c>
      <c r="AJ886">
        <v>4.2618927955627441</v>
      </c>
      <c r="AK886">
        <v>4.3927512168884277</v>
      </c>
    </row>
    <row r="887" spans="3:55" x14ac:dyDescent="0.25">
      <c r="D887">
        <v>1000</v>
      </c>
      <c r="S887">
        <v>1.1876230239868164</v>
      </c>
      <c r="T887">
        <v>1.3459541797637939</v>
      </c>
      <c r="U887">
        <v>1.507104754447937</v>
      </c>
      <c r="V887">
        <v>1.6739566326141357</v>
      </c>
      <c r="W887">
        <v>1.8459404706954956</v>
      </c>
      <c r="X887">
        <v>2.0224869251251221</v>
      </c>
      <c r="Y887">
        <v>2.2030265331268311</v>
      </c>
      <c r="Z887">
        <v>2.3813815116882324</v>
      </c>
      <c r="AA887">
        <v>2.5614974498748779</v>
      </c>
      <c r="AB887">
        <v>2.7427287101745605</v>
      </c>
      <c r="AC887">
        <v>2.924429178237915</v>
      </c>
      <c r="AD887">
        <v>3.1059541702270508</v>
      </c>
      <c r="AE887">
        <v>3.2846729755401611</v>
      </c>
      <c r="AF887">
        <v>3.461613655090332</v>
      </c>
      <c r="AG887">
        <v>3.6361126899719238</v>
      </c>
      <c r="AH887">
        <v>3.8075063228607178</v>
      </c>
      <c r="AI887">
        <v>3.9751319885253906</v>
      </c>
      <c r="AJ887">
        <v>4.1101231575012207</v>
      </c>
      <c r="AK887">
        <v>4.2363214492797852</v>
      </c>
      <c r="AL887">
        <v>4.3528885841369629</v>
      </c>
    </row>
    <row r="888" spans="3:55" x14ac:dyDescent="0.25">
      <c r="D888">
        <v>2000</v>
      </c>
      <c r="S888">
        <v>1.1450464725494385</v>
      </c>
      <c r="T888">
        <v>1.2977014780044556</v>
      </c>
      <c r="U888">
        <v>1.4530748128890991</v>
      </c>
      <c r="V888">
        <v>1.6139450073242188</v>
      </c>
      <c r="W888">
        <v>1.7797632217407227</v>
      </c>
      <c r="X888">
        <v>1.9499800205230713</v>
      </c>
      <c r="Y888">
        <v>2.1240475177764893</v>
      </c>
      <c r="Z888">
        <v>2.2960085868835449</v>
      </c>
      <c r="AA888">
        <v>2.4696671962738037</v>
      </c>
      <c r="AB888">
        <v>2.6444013118743896</v>
      </c>
      <c r="AC888">
        <v>2.8195879459381104</v>
      </c>
      <c r="AD888">
        <v>2.9946048259735107</v>
      </c>
      <c r="AE888">
        <v>3.1669168472290039</v>
      </c>
      <c r="AF888">
        <v>3.3375139236450195</v>
      </c>
      <c r="AG888">
        <v>3.5057570934295654</v>
      </c>
      <c r="AH888">
        <v>3.6710066795349121</v>
      </c>
      <c r="AI888">
        <v>3.8326230049133301</v>
      </c>
      <c r="AJ888">
        <v>3.9627745151519775</v>
      </c>
      <c r="AK888">
        <v>4.0844488143920898</v>
      </c>
      <c r="AL888">
        <v>4.196835994720459</v>
      </c>
    </row>
    <row r="889" spans="3:55" x14ac:dyDescent="0.25">
      <c r="D889">
        <v>3000</v>
      </c>
      <c r="S889">
        <v>1.1037181615829468</v>
      </c>
      <c r="T889">
        <v>1.2508634328842163</v>
      </c>
      <c r="U889">
        <v>1.4006288051605225</v>
      </c>
      <c r="V889">
        <v>1.5556926727294922</v>
      </c>
      <c r="W889">
        <v>1.7155258655548096</v>
      </c>
      <c r="X889">
        <v>1.8795994520187378</v>
      </c>
      <c r="Y889">
        <v>2.0473840236663818</v>
      </c>
      <c r="Z889">
        <v>2.2131383419036865</v>
      </c>
      <c r="AA889">
        <v>2.3805291652679443</v>
      </c>
      <c r="AB889">
        <v>2.5489566326141357</v>
      </c>
      <c r="AC889">
        <v>2.717820405960083</v>
      </c>
      <c r="AD889">
        <v>2.8865203857421875</v>
      </c>
      <c r="AE889">
        <v>3.0526130199432373</v>
      </c>
      <c r="AF889">
        <v>3.217052698135376</v>
      </c>
      <c r="AG889">
        <v>3.3792235851287842</v>
      </c>
      <c r="AH889">
        <v>3.538508415222168</v>
      </c>
      <c r="AI889">
        <v>3.694291353225708</v>
      </c>
      <c r="AJ889">
        <v>3.8197457790374756</v>
      </c>
      <c r="AK889">
        <v>3.9370284080505371</v>
      </c>
      <c r="AL889">
        <v>4.0453596115112305</v>
      </c>
      <c r="AM889">
        <v>4.1439595222473145</v>
      </c>
    </row>
    <row r="890" spans="3:55" x14ac:dyDescent="0.25">
      <c r="D890">
        <v>4000</v>
      </c>
      <c r="S890">
        <v>1.0636099576950073</v>
      </c>
      <c r="T890">
        <v>1.2054080963134766</v>
      </c>
      <c r="U890">
        <v>1.3497310876846313</v>
      </c>
      <c r="V890">
        <v>1.4991601705551147</v>
      </c>
      <c r="W890">
        <v>1.653185248374939</v>
      </c>
      <c r="X890">
        <v>1.8112964630126953</v>
      </c>
      <c r="Y890">
        <v>1.9729838371276855</v>
      </c>
      <c r="Z890">
        <v>2.1327147483825684</v>
      </c>
      <c r="AA890">
        <v>2.294022798538208</v>
      </c>
      <c r="AB890">
        <v>2.4563298225402832</v>
      </c>
      <c r="AC890">
        <v>2.6190571784973145</v>
      </c>
      <c r="AD890">
        <v>2.7816269397735596</v>
      </c>
      <c r="AE890">
        <v>2.9416837692260742</v>
      </c>
      <c r="AF890">
        <v>3.1001479625701904</v>
      </c>
      <c r="AG890">
        <v>3.2564256191253662</v>
      </c>
      <c r="AH890">
        <v>3.4099221229553223</v>
      </c>
      <c r="AI890">
        <v>3.5600440502166748</v>
      </c>
      <c r="AJ890">
        <v>3.6809394359588623</v>
      </c>
      <c r="AK890">
        <v>3.7939598560333252</v>
      </c>
      <c r="AL890">
        <v>3.8983547687530518</v>
      </c>
      <c r="AM890">
        <v>3.9933714866638184</v>
      </c>
    </row>
    <row r="891" spans="3:55" x14ac:dyDescent="0.25">
      <c r="D891">
        <v>5000</v>
      </c>
      <c r="T891">
        <v>1.1613038778305054</v>
      </c>
      <c r="U891">
        <v>1.3003462553024292</v>
      </c>
      <c r="V891">
        <v>1.4443079233169556</v>
      </c>
      <c r="W891">
        <v>1.5926972627639771</v>
      </c>
      <c r="X891">
        <v>1.745023250579834</v>
      </c>
      <c r="Y891">
        <v>1.9007948637008667</v>
      </c>
      <c r="Z891">
        <v>2.0546817779541016</v>
      </c>
      <c r="AA891">
        <v>2.210087776184082</v>
      </c>
      <c r="AB891">
        <v>2.3664557933807373</v>
      </c>
      <c r="AC891">
        <v>2.5232293605804443</v>
      </c>
      <c r="AD891">
        <v>2.6798505783081055</v>
      </c>
      <c r="AE891">
        <v>2.8340511322021484</v>
      </c>
      <c r="AF891">
        <v>2.9867174625396729</v>
      </c>
      <c r="AG891">
        <v>3.1372771263122559</v>
      </c>
      <c r="AH891">
        <v>3.2851576805114746</v>
      </c>
      <c r="AI891">
        <v>3.4297869205474854</v>
      </c>
      <c r="AJ891">
        <v>3.5462584495544434</v>
      </c>
      <c r="AK891">
        <v>3.6551439762115479</v>
      </c>
      <c r="AL891">
        <v>3.7557189464569092</v>
      </c>
      <c r="AM891">
        <v>3.8472592830657959</v>
      </c>
      <c r="AN891">
        <v>3.9290406703948975</v>
      </c>
    </row>
    <row r="892" spans="3:55" x14ac:dyDescent="0.25">
      <c r="D892">
        <v>6000</v>
      </c>
      <c r="T892">
        <v>1.1185194253921509</v>
      </c>
      <c r="U892">
        <v>1.2524393796920776</v>
      </c>
      <c r="V892">
        <v>1.3910971879959106</v>
      </c>
      <c r="W892">
        <v>1.5340197086334229</v>
      </c>
      <c r="X892">
        <v>1.6807339191436768</v>
      </c>
      <c r="Y892">
        <v>1.8307664394378662</v>
      </c>
      <c r="Z892">
        <v>1.9789837598800659</v>
      </c>
      <c r="AA892">
        <v>2.128664493560791</v>
      </c>
      <c r="AB892">
        <v>2.2792718410491943</v>
      </c>
      <c r="AC892">
        <v>2.4302690029144287</v>
      </c>
      <c r="AD892">
        <v>2.581120491027832</v>
      </c>
      <c r="AE892">
        <v>2.7296402454376221</v>
      </c>
      <c r="AF892">
        <v>2.8766820430755615</v>
      </c>
      <c r="AG892">
        <v>3.0216946601867676</v>
      </c>
      <c r="AH892">
        <v>3.1641271114349365</v>
      </c>
      <c r="AI892">
        <v>3.3034276962280273</v>
      </c>
      <c r="AJ892">
        <v>3.4156086444854736</v>
      </c>
      <c r="AK892">
        <v>3.5204823017120361</v>
      </c>
      <c r="AL892">
        <v>3.6173524856567383</v>
      </c>
      <c r="AM892">
        <v>3.7055199146270752</v>
      </c>
      <c r="AN892">
        <v>3.7842884063720703</v>
      </c>
    </row>
    <row r="893" spans="3:55" x14ac:dyDescent="0.25">
      <c r="D893">
        <v>7000</v>
      </c>
      <c r="U893">
        <v>1.2059762477874756</v>
      </c>
      <c r="V893">
        <v>1.3394900560379028</v>
      </c>
      <c r="W893">
        <v>1.4771105051040649</v>
      </c>
      <c r="X893">
        <v>1.6183817386627197</v>
      </c>
      <c r="Y893">
        <v>1.7628482580184937</v>
      </c>
      <c r="Z893">
        <v>1.9055670499801636</v>
      </c>
      <c r="AA893">
        <v>2.0496947765350342</v>
      </c>
      <c r="AB893">
        <v>2.1947150230407715</v>
      </c>
      <c r="AC893">
        <v>2.3401107788085938</v>
      </c>
      <c r="AD893">
        <v>2.485365629196167</v>
      </c>
      <c r="AE893">
        <v>2.628375768661499</v>
      </c>
      <c r="AF893">
        <v>2.7699623107910156</v>
      </c>
      <c r="AG893">
        <v>2.9095954895019531</v>
      </c>
      <c r="AH893">
        <v>3.046743631362915</v>
      </c>
      <c r="AI893">
        <v>3.1808764934539795</v>
      </c>
      <c r="AJ893">
        <v>3.288895845413208</v>
      </c>
      <c r="AK893">
        <v>3.3898792266845703</v>
      </c>
      <c r="AL893">
        <v>3.4831550121307373</v>
      </c>
      <c r="AM893">
        <v>3.5680520534515381</v>
      </c>
      <c r="AN893">
        <v>3.6438984870910645</v>
      </c>
      <c r="AO893">
        <v>3.6866888999938965</v>
      </c>
    </row>
    <row r="894" spans="3:55" x14ac:dyDescent="0.25">
      <c r="D894">
        <v>8000</v>
      </c>
      <c r="U894">
        <v>1.1609228849411011</v>
      </c>
      <c r="V894">
        <v>1.2894489765167236</v>
      </c>
      <c r="W894">
        <v>1.4219279289245605</v>
      </c>
      <c r="X894">
        <v>1.5579216480255127</v>
      </c>
      <c r="Y894">
        <v>1.6969913244247437</v>
      </c>
      <c r="Z894">
        <v>1.8343782424926758</v>
      </c>
      <c r="AA894">
        <v>1.9731216430664063</v>
      </c>
      <c r="AB894">
        <v>2.1127238273620605</v>
      </c>
      <c r="AC894">
        <v>2.252687931060791</v>
      </c>
      <c r="AD894">
        <v>2.3925166130065918</v>
      </c>
      <c r="AE894">
        <v>2.5301837921142578</v>
      </c>
      <c r="AF894">
        <v>2.6664812564849854</v>
      </c>
      <c r="AG894">
        <v>2.8008975982666016</v>
      </c>
      <c r="AH894">
        <v>2.9329221248626709</v>
      </c>
      <c r="AI894">
        <v>3.0620441436767578</v>
      </c>
      <c r="AJ894">
        <v>3.1660280227661133</v>
      </c>
      <c r="AK894">
        <v>3.2632389068603516</v>
      </c>
      <c r="AL894">
        <v>3.3530302047729492</v>
      </c>
      <c r="AM894">
        <v>3.4347555637359619</v>
      </c>
      <c r="AN894">
        <v>3.5077681541442871</v>
      </c>
      <c r="AO894">
        <v>3.5489599704742432</v>
      </c>
    </row>
    <row r="895" spans="3:55" x14ac:dyDescent="0.25">
      <c r="D895">
        <v>9000</v>
      </c>
      <c r="V895">
        <v>1.2409368753433228</v>
      </c>
      <c r="W895">
        <v>1.3684318065643311</v>
      </c>
      <c r="X895">
        <v>1.4993091821670532</v>
      </c>
      <c r="Y895">
        <v>1.6331466436386108</v>
      </c>
      <c r="Z895">
        <v>1.7653648853302002</v>
      </c>
      <c r="AA895">
        <v>1.8988882303237915</v>
      </c>
      <c r="AB895">
        <v>2.0332386493682861</v>
      </c>
      <c r="AC895">
        <v>2.1679368019104004</v>
      </c>
      <c r="AD895">
        <v>2.3025047779083252</v>
      </c>
      <c r="AE895">
        <v>2.434992790222168</v>
      </c>
      <c r="AF895">
        <v>2.566162109375</v>
      </c>
      <c r="AG895">
        <v>2.6955215930938721</v>
      </c>
      <c r="AH895">
        <v>2.8225791454315186</v>
      </c>
      <c r="AI895">
        <v>2.9468433856964111</v>
      </c>
      <c r="AJ895">
        <v>3.04691481590271</v>
      </c>
      <c r="AK895">
        <v>3.1404685974121094</v>
      </c>
      <c r="AL895">
        <v>3.226881742477417</v>
      </c>
      <c r="AM895">
        <v>3.3055319786071777</v>
      </c>
      <c r="AN895">
        <v>3.3757977485656738</v>
      </c>
      <c r="AO895">
        <v>3.4154400825500488</v>
      </c>
      <c r="AP895">
        <v>3.4430181980133057</v>
      </c>
    </row>
    <row r="896" spans="3:55" x14ac:dyDescent="0.25">
      <c r="D896">
        <v>10000</v>
      </c>
      <c r="V896">
        <v>1.193917989730835</v>
      </c>
      <c r="W896">
        <v>1.316582202911377</v>
      </c>
      <c r="X896">
        <v>1.4425004720687866</v>
      </c>
      <c r="Y896">
        <v>1.5712668895721436</v>
      </c>
      <c r="Z896">
        <v>1.6984753608703613</v>
      </c>
      <c r="AA896">
        <v>1.8269397020339966</v>
      </c>
      <c r="AB896">
        <v>1.9561996459960938</v>
      </c>
      <c r="AC896">
        <v>2.08579421043396</v>
      </c>
      <c r="AD896">
        <v>2.2152631282806396</v>
      </c>
      <c r="AE896">
        <v>2.3427309989929199</v>
      </c>
      <c r="AF896">
        <v>2.468930721282959</v>
      </c>
      <c r="AG896">
        <v>2.593388557434082</v>
      </c>
      <c r="AH896">
        <v>2.7156319618225098</v>
      </c>
      <c r="AI896">
        <v>2.8351879119873047</v>
      </c>
      <c r="AJ896">
        <v>2.9314677715301514</v>
      </c>
      <c r="AK896">
        <v>3.0214765071868896</v>
      </c>
      <c r="AL896">
        <v>3.1046154499053955</v>
      </c>
      <c r="AM896">
        <v>3.180286169052124</v>
      </c>
      <c r="AN896">
        <v>3.247889518737793</v>
      </c>
      <c r="AO896">
        <v>3.2860298156738281</v>
      </c>
      <c r="AP896">
        <v>3.3125627040863037</v>
      </c>
    </row>
    <row r="897" spans="4:45" x14ac:dyDescent="0.25">
      <c r="D897">
        <v>11000</v>
      </c>
      <c r="V897">
        <v>1.1483564376831055</v>
      </c>
      <c r="W897">
        <v>1.2663396596908569</v>
      </c>
      <c r="X897">
        <v>1.3874527215957642</v>
      </c>
      <c r="Y897">
        <v>1.5113053321838379</v>
      </c>
      <c r="Z897">
        <v>1.6336592435836792</v>
      </c>
      <c r="AA897">
        <v>1.7572213411331177</v>
      </c>
      <c r="AB897">
        <v>1.8815481662750244</v>
      </c>
      <c r="AC897">
        <v>2.006197452545166</v>
      </c>
      <c r="AD897">
        <v>2.130725622177124</v>
      </c>
      <c r="AE897">
        <v>2.2533292770385742</v>
      </c>
      <c r="AF897">
        <v>2.3747129440307617</v>
      </c>
      <c r="AG897">
        <v>2.4944214820861816</v>
      </c>
      <c r="AH897">
        <v>2.6119999885559082</v>
      </c>
      <c r="AI897">
        <v>2.7269933223724365</v>
      </c>
      <c r="AJ897">
        <v>2.8195991516113281</v>
      </c>
      <c r="AK897">
        <v>2.9061729907989502</v>
      </c>
      <c r="AL897">
        <v>2.9861390590667725</v>
      </c>
      <c r="AM897">
        <v>3.0589220523834229</v>
      </c>
      <c r="AN897">
        <v>3.1239457130432129</v>
      </c>
      <c r="AO897">
        <v>3.160630464553833</v>
      </c>
      <c r="AP897">
        <v>3.1861507892608643</v>
      </c>
    </row>
    <row r="898" spans="4:45" x14ac:dyDescent="0.25">
      <c r="D898">
        <v>12000</v>
      </c>
      <c r="W898">
        <v>1.2176655530929565</v>
      </c>
      <c r="X898">
        <v>1.3341236114501953</v>
      </c>
      <c r="Y898">
        <v>1.4532155990600586</v>
      </c>
      <c r="Z898">
        <v>1.5708667039871216</v>
      </c>
      <c r="AA898">
        <v>1.6896793842315674</v>
      </c>
      <c r="AB898">
        <v>1.8092278242111206</v>
      </c>
      <c r="AC898">
        <v>1.9290856122970581</v>
      </c>
      <c r="AD898">
        <v>2.0488276481628418</v>
      </c>
      <c r="AE898">
        <v>2.1667187213897705</v>
      </c>
      <c r="AF898">
        <v>2.2834367752075195</v>
      </c>
      <c r="AG898">
        <v>2.3985440731048584</v>
      </c>
      <c r="AH898">
        <v>2.5116031169891357</v>
      </c>
      <c r="AI898">
        <v>2.6221766471862793</v>
      </c>
      <c r="AJ898">
        <v>2.7112226486206055</v>
      </c>
      <c r="AK898">
        <v>2.794468879699707</v>
      </c>
      <c r="AL898">
        <v>2.8713619709014893</v>
      </c>
      <c r="AM898">
        <v>2.9413468837738037</v>
      </c>
      <c r="AN898">
        <v>3.0038712024688721</v>
      </c>
      <c r="AO898">
        <v>3.0391459465026855</v>
      </c>
      <c r="AP898">
        <v>3.063685417175293</v>
      </c>
      <c r="AQ898">
        <v>3.0423698425292969</v>
      </c>
    </row>
    <row r="899" spans="4:45" x14ac:dyDescent="0.25">
      <c r="D899">
        <v>13000</v>
      </c>
      <c r="W899">
        <v>1.1705222129821777</v>
      </c>
      <c r="X899">
        <v>1.2824712991714478</v>
      </c>
      <c r="Y899">
        <v>1.3969526290893555</v>
      </c>
      <c r="Z899">
        <v>1.510048508644104</v>
      </c>
      <c r="AA899">
        <v>1.6242613792419434</v>
      </c>
      <c r="AB899">
        <v>1.7391810417175293</v>
      </c>
      <c r="AC899">
        <v>1.8543987274169922</v>
      </c>
      <c r="AD899">
        <v>1.9695044755935669</v>
      </c>
      <c r="AE899">
        <v>2.0828313827514648</v>
      </c>
      <c r="AF899">
        <v>2.195030689239502</v>
      </c>
      <c r="AG899">
        <v>2.3056812286376953</v>
      </c>
      <c r="AH899">
        <v>2.4143633842468262</v>
      </c>
      <c r="AI899">
        <v>2.520655632019043</v>
      </c>
      <c r="AJ899">
        <v>2.6062543392181396</v>
      </c>
      <c r="AK899">
        <v>2.6862776279449463</v>
      </c>
      <c r="AL899">
        <v>2.7601933479309082</v>
      </c>
      <c r="AM899">
        <v>2.8274691104888916</v>
      </c>
      <c r="AN899">
        <v>2.8875727653503418</v>
      </c>
      <c r="AO899">
        <v>2.9214816093444824</v>
      </c>
      <c r="AP899">
        <v>2.9450709819793701</v>
      </c>
      <c r="AQ899">
        <v>2.9245805740356445</v>
      </c>
    </row>
    <row r="900" spans="4:45" x14ac:dyDescent="0.25">
      <c r="D900">
        <v>14000</v>
      </c>
      <c r="X900">
        <v>1.2324550151824951</v>
      </c>
      <c r="Y900">
        <v>1.3424715995788574</v>
      </c>
      <c r="Z900">
        <v>1.4511568546295166</v>
      </c>
      <c r="AA900">
        <v>1.5609152317047119</v>
      </c>
      <c r="AB900">
        <v>1.6713533401489258</v>
      </c>
      <c r="AC900">
        <v>1.782077431678772</v>
      </c>
      <c r="AD900">
        <v>1.8926941156387329</v>
      </c>
      <c r="AE900">
        <v>2.0016012191772461</v>
      </c>
      <c r="AF900">
        <v>2.1094245910644531</v>
      </c>
      <c r="AG900">
        <v>2.2157599925994873</v>
      </c>
      <c r="AH900">
        <v>2.3202035427093506</v>
      </c>
      <c r="AI900">
        <v>2.4223504066467285</v>
      </c>
      <c r="AJ900">
        <v>2.504610538482666</v>
      </c>
      <c r="AK900">
        <v>2.5815134048461914</v>
      </c>
      <c r="AL900">
        <v>2.6525461673736572</v>
      </c>
      <c r="AM900">
        <v>2.7171978950500488</v>
      </c>
      <c r="AN900">
        <v>2.7749576568603516</v>
      </c>
      <c r="AO900">
        <v>2.8075442314147949</v>
      </c>
      <c r="AP900">
        <v>2.8302135467529297</v>
      </c>
      <c r="AQ900">
        <v>2.8105223178863525</v>
      </c>
      <c r="AR900">
        <v>2.7427816390991211</v>
      </c>
    </row>
    <row r="901" spans="4:45" x14ac:dyDescent="0.25">
      <c r="D901">
        <v>15000</v>
      </c>
      <c r="X901">
        <v>1.1840347051620483</v>
      </c>
      <c r="Y901">
        <v>1.2897289991378784</v>
      </c>
      <c r="Z901">
        <v>1.3941442966461182</v>
      </c>
      <c r="AA901">
        <v>1.4995905160903931</v>
      </c>
      <c r="AB901">
        <v>1.6056896448135376</v>
      </c>
      <c r="AC901">
        <v>1.7120635509490967</v>
      </c>
      <c r="AD901">
        <v>1.8183345794677734</v>
      </c>
      <c r="AE901">
        <v>1.9229629039764404</v>
      </c>
      <c r="AF901">
        <v>2.0265500545501709</v>
      </c>
      <c r="AG901">
        <v>2.1287076473236084</v>
      </c>
      <c r="AH901">
        <v>2.2290480136871338</v>
      </c>
      <c r="AI901">
        <v>2.3271820545196533</v>
      </c>
      <c r="AJ901">
        <v>2.4062104225158691</v>
      </c>
      <c r="AK901">
        <v>2.4800915718078613</v>
      </c>
      <c r="AL901">
        <v>2.5483336448669434</v>
      </c>
      <c r="AM901">
        <v>2.610445499420166</v>
      </c>
      <c r="AN901">
        <v>2.6659359931945801</v>
      </c>
      <c r="AO901">
        <v>2.6972424983978271</v>
      </c>
      <c r="AP901">
        <v>2.7190208435058594</v>
      </c>
      <c r="AQ901">
        <v>2.7001032829284668</v>
      </c>
      <c r="AR901">
        <v>2.6350243091583252</v>
      </c>
    </row>
    <row r="902" spans="4:45" x14ac:dyDescent="0.25">
      <c r="D902">
        <v>16000</v>
      </c>
      <c r="X902">
        <v>1.1371709108352661</v>
      </c>
      <c r="Y902">
        <v>1.2386817932128906</v>
      </c>
      <c r="Z902">
        <v>1.3389644622802734</v>
      </c>
      <c r="AA902">
        <v>1.4402370452880859</v>
      </c>
      <c r="AB902">
        <v>1.5421367883682251</v>
      </c>
      <c r="AC902">
        <v>1.6443006992340088</v>
      </c>
      <c r="AD902">
        <v>1.7463653087615967</v>
      </c>
      <c r="AE902">
        <v>1.8468525409698486</v>
      </c>
      <c r="AF902">
        <v>1.9463398456573486</v>
      </c>
      <c r="AG902">
        <v>2.0444540977478027</v>
      </c>
      <c r="AH902">
        <v>2.1408226490020752</v>
      </c>
      <c r="AI902">
        <v>2.2350726127624512</v>
      </c>
      <c r="AJ902">
        <v>2.3109731674194336</v>
      </c>
      <c r="AK902">
        <v>2.3819301128387451</v>
      </c>
      <c r="AL902">
        <v>2.4474711418151855</v>
      </c>
      <c r="AM902">
        <v>2.507124662399292</v>
      </c>
      <c r="AN902">
        <v>2.5604188442230225</v>
      </c>
      <c r="AO902">
        <v>2.5904862880706787</v>
      </c>
      <c r="AP902">
        <v>2.6114029884338379</v>
      </c>
      <c r="AQ902">
        <v>2.5932340621948242</v>
      </c>
      <c r="AR902">
        <v>2.5307307243347168</v>
      </c>
    </row>
    <row r="903" spans="4:45" x14ac:dyDescent="0.25">
      <c r="D903">
        <v>17000</v>
      </c>
      <c r="Y903">
        <v>1.1892876625061035</v>
      </c>
      <c r="Z903">
        <v>1.2855714559555054</v>
      </c>
      <c r="AA903">
        <v>1.3828057050704956</v>
      </c>
      <c r="AB903">
        <v>1.4806421995162964</v>
      </c>
      <c r="AC903">
        <v>1.5787317752838135</v>
      </c>
      <c r="AD903">
        <v>1.6767266988754272</v>
      </c>
      <c r="AE903">
        <v>1.7732069492340088</v>
      </c>
      <c r="AF903">
        <v>1.8687269687652588</v>
      </c>
      <c r="AG903">
        <v>1.9629288911819458</v>
      </c>
      <c r="AH903">
        <v>2.0554547309875488</v>
      </c>
      <c r="AI903">
        <v>2.1459462642669678</v>
      </c>
      <c r="AJ903">
        <v>2.2188200950622559</v>
      </c>
      <c r="AK903">
        <v>2.2869472503662109</v>
      </c>
      <c r="AL903">
        <v>2.3498749732971191</v>
      </c>
      <c r="AM903">
        <v>2.4071497917175293</v>
      </c>
      <c r="AN903">
        <v>2.4583187103271484</v>
      </c>
      <c r="AO903">
        <v>2.4871871471405029</v>
      </c>
      <c r="AP903">
        <v>2.5072698593139648</v>
      </c>
      <c r="AQ903">
        <v>2.4898252487182617</v>
      </c>
      <c r="AR903">
        <v>2.429814338684082</v>
      </c>
    </row>
    <row r="904" spans="4:45" x14ac:dyDescent="0.25">
      <c r="D904">
        <v>18000</v>
      </c>
      <c r="Y904">
        <v>1.141505241394043</v>
      </c>
      <c r="Z904">
        <v>1.2339205741882324</v>
      </c>
      <c r="AA904">
        <v>1.327248215675354</v>
      </c>
      <c r="AB904">
        <v>1.4211536645889282</v>
      </c>
      <c r="AC904">
        <v>1.5153025388717651</v>
      </c>
      <c r="AD904">
        <v>1.6093602180480957</v>
      </c>
      <c r="AE904">
        <v>1.7019641399383545</v>
      </c>
      <c r="AF904">
        <v>1.7936464548110962</v>
      </c>
      <c r="AG904">
        <v>1.8840636014938354</v>
      </c>
      <c r="AH904">
        <v>1.9728718996047974</v>
      </c>
      <c r="AI904">
        <v>2.059727668762207</v>
      </c>
      <c r="AJ904">
        <v>2.1296737194061279</v>
      </c>
      <c r="AK904">
        <v>2.1950638294219971</v>
      </c>
      <c r="AL904">
        <v>2.2554633617401123</v>
      </c>
      <c r="AM904">
        <v>2.3104369640350342</v>
      </c>
      <c r="AN904">
        <v>2.3595499992370605</v>
      </c>
      <c r="AO904">
        <v>2.3872582912445068</v>
      </c>
      <c r="AP904">
        <v>2.4065341949462891</v>
      </c>
      <c r="AQ904">
        <v>2.3897907733917236</v>
      </c>
      <c r="AR904">
        <v>2.3321905136108398</v>
      </c>
      <c r="AS904">
        <v>2.2586801052093506</v>
      </c>
    </row>
    <row r="905" spans="4:45" x14ac:dyDescent="0.25">
      <c r="D905">
        <v>19000</v>
      </c>
      <c r="Z905">
        <v>1.1839678287506104</v>
      </c>
      <c r="AA905">
        <v>1.2735172510147095</v>
      </c>
      <c r="AB905">
        <v>1.3636212348937988</v>
      </c>
      <c r="AC905">
        <v>1.4539586305618286</v>
      </c>
      <c r="AD905">
        <v>1.5442085266113281</v>
      </c>
      <c r="AE905">
        <v>1.6330634355545044</v>
      </c>
      <c r="AF905">
        <v>1.7210341691970825</v>
      </c>
      <c r="AG905">
        <v>1.8077911138534546</v>
      </c>
      <c r="AH905">
        <v>1.8930041790008545</v>
      </c>
      <c r="AI905">
        <v>1.9763436317443848</v>
      </c>
      <c r="AJ905">
        <v>2.0434582233428955</v>
      </c>
      <c r="AK905">
        <v>2.106201171875</v>
      </c>
      <c r="AL905">
        <v>2.1641554832458496</v>
      </c>
      <c r="AM905">
        <v>2.2169036865234375</v>
      </c>
      <c r="AN905">
        <v>2.2640283107757568</v>
      </c>
      <c r="AO905">
        <v>2.2906150817871094</v>
      </c>
      <c r="AP905">
        <v>2.3091104030609131</v>
      </c>
      <c r="AQ905">
        <v>2.2930450439453125</v>
      </c>
      <c r="AR905">
        <v>2.2377767562866211</v>
      </c>
      <c r="AS905">
        <v>2.1672418117523193</v>
      </c>
    </row>
    <row r="906" spans="4:45" x14ac:dyDescent="0.25">
      <c r="D906">
        <v>20000</v>
      </c>
      <c r="Z906">
        <v>1.1356698274612427</v>
      </c>
      <c r="AA906">
        <v>1.2215662002563477</v>
      </c>
      <c r="AB906">
        <v>1.3079946041107178</v>
      </c>
      <c r="AC906">
        <v>1.3946468830108643</v>
      </c>
      <c r="AD906">
        <v>1.4812151193618774</v>
      </c>
      <c r="AE906">
        <v>1.5664453506469727</v>
      </c>
      <c r="AF906">
        <v>1.6508275270462036</v>
      </c>
      <c r="AG906">
        <v>1.734045147895813</v>
      </c>
      <c r="AH906">
        <v>1.8157823085784912</v>
      </c>
      <c r="AI906">
        <v>1.8957220315933228</v>
      </c>
      <c r="AJ906">
        <v>1.9600987434387207</v>
      </c>
      <c r="AK906">
        <v>2.0202822685241699</v>
      </c>
      <c r="AL906">
        <v>2.0758724212646484</v>
      </c>
      <c r="AM906">
        <v>2.1264686584472656</v>
      </c>
      <c r="AN906">
        <v>2.1716711521148682</v>
      </c>
      <c r="AO906">
        <v>2.1971731185913086</v>
      </c>
      <c r="AP906">
        <v>2.2149143218994141</v>
      </c>
      <c r="AQ906">
        <v>2.1995038986206055</v>
      </c>
      <c r="AR906">
        <v>2.1464905738830566</v>
      </c>
      <c r="AS906">
        <v>2.0788328647613525</v>
      </c>
    </row>
    <row r="907" spans="4:45" x14ac:dyDescent="0.25">
      <c r="D907">
        <v>21000</v>
      </c>
      <c r="AA907">
        <v>1.1713494062423706</v>
      </c>
      <c r="AB907">
        <v>1.2542247772216797</v>
      </c>
      <c r="AC907">
        <v>1.3373150825500488</v>
      </c>
      <c r="AD907">
        <v>1.4203245639801025</v>
      </c>
      <c r="AE907">
        <v>1.5020511150360107</v>
      </c>
      <c r="AF907">
        <v>1.5829645395278931</v>
      </c>
      <c r="AG907">
        <v>1.6627612113952637</v>
      </c>
      <c r="AH907">
        <v>1.7411381006240845</v>
      </c>
      <c r="AI907">
        <v>1.8177918195724487</v>
      </c>
      <c r="AJ907">
        <v>1.8795219659805298</v>
      </c>
      <c r="AK907">
        <v>1.9372315406799316</v>
      </c>
      <c r="AL907">
        <v>1.9905362129211426</v>
      </c>
      <c r="AM907">
        <v>2.0390527248382568</v>
      </c>
      <c r="AN907">
        <v>2.0823969841003418</v>
      </c>
      <c r="AO907">
        <v>2.1068508625030518</v>
      </c>
      <c r="AP907">
        <v>2.1238622665405273</v>
      </c>
      <c r="AQ907">
        <v>2.1090855598449707</v>
      </c>
      <c r="AR907">
        <v>2.0582516193389893</v>
      </c>
      <c r="AS907">
        <v>1.9933750629425049</v>
      </c>
    </row>
    <row r="908" spans="4:45" x14ac:dyDescent="0.25">
      <c r="D908">
        <v>22000</v>
      </c>
      <c r="AA908">
        <v>1.1228220462799072</v>
      </c>
      <c r="AB908">
        <v>1.2022640705108643</v>
      </c>
      <c r="AC908">
        <v>1.2819119691848755</v>
      </c>
      <c r="AD908">
        <v>1.3614825010299683</v>
      </c>
      <c r="AE908">
        <v>1.4398233890533447</v>
      </c>
      <c r="AF908">
        <v>1.51738440990448</v>
      </c>
      <c r="AG908">
        <v>1.5938754081726074</v>
      </c>
      <c r="AH908">
        <v>1.6690051555633545</v>
      </c>
      <c r="AI908">
        <v>1.7424831390380859</v>
      </c>
      <c r="AJ908">
        <v>1.8016560077667236</v>
      </c>
      <c r="AK908">
        <v>1.856974720954895</v>
      </c>
      <c r="AL908">
        <v>1.9080712795257568</v>
      </c>
      <c r="AM908">
        <v>1.9545778036117554</v>
      </c>
      <c r="AN908">
        <v>1.9961262941360474</v>
      </c>
      <c r="AO908">
        <v>2.0195667743682861</v>
      </c>
      <c r="AP908">
        <v>2.0358736515045166</v>
      </c>
      <c r="AQ908">
        <v>2.0217092037200928</v>
      </c>
      <c r="AR908">
        <v>1.9729808568954468</v>
      </c>
      <c r="AS908">
        <v>1.910792350769043</v>
      </c>
    </row>
    <row r="909" spans="4:45" x14ac:dyDescent="0.25">
      <c r="D909">
        <v>23000</v>
      </c>
      <c r="AB909">
        <v>1.1520649194717407</v>
      </c>
      <c r="AC909">
        <v>1.2283872365951538</v>
      </c>
      <c r="AD909">
        <v>1.3046354055404663</v>
      </c>
      <c r="AE909">
        <v>1.3797051906585693</v>
      </c>
      <c r="AF909">
        <v>1.4540277719497681</v>
      </c>
      <c r="AG909">
        <v>1.527324914932251</v>
      </c>
      <c r="AH909">
        <v>1.5993177890777588</v>
      </c>
      <c r="AI909">
        <v>1.6697278022766113</v>
      </c>
      <c r="AJ909">
        <v>1.7264299392700195</v>
      </c>
      <c r="AK909">
        <v>1.779438853263855</v>
      </c>
      <c r="AL909">
        <v>1.8284019231796265</v>
      </c>
      <c r="AM909">
        <v>1.8729665279388428</v>
      </c>
      <c r="AN909">
        <v>1.9127802848815918</v>
      </c>
      <c r="AO909">
        <v>1.9352422952651978</v>
      </c>
      <c r="AP909">
        <v>1.9508682489395142</v>
      </c>
      <c r="AQ909">
        <v>1.9372950792312622</v>
      </c>
      <c r="AR909">
        <v>1.8906012773513794</v>
      </c>
      <c r="AS909">
        <v>1.8310095071792603</v>
      </c>
    </row>
    <row r="910" spans="4:45" x14ac:dyDescent="0.25">
      <c r="D910">
        <v>24000</v>
      </c>
      <c r="AB910">
        <v>1.103581428527832</v>
      </c>
      <c r="AC910">
        <v>1.1766915321350098</v>
      </c>
      <c r="AD910">
        <v>1.2497309446334839</v>
      </c>
      <c r="AE910">
        <v>1.3216414451599121</v>
      </c>
      <c r="AF910">
        <v>1.392836332321167</v>
      </c>
      <c r="AG910">
        <v>1.4630489349365234</v>
      </c>
      <c r="AH910">
        <v>1.5320119857788086</v>
      </c>
      <c r="AI910">
        <v>1.5994589328765869</v>
      </c>
      <c r="AJ910">
        <v>1.653774619102478</v>
      </c>
      <c r="AK910">
        <v>1.7045527696609497</v>
      </c>
      <c r="AL910">
        <v>1.7514553070068359</v>
      </c>
      <c r="AM910">
        <v>1.7941443920135498</v>
      </c>
      <c r="AN910">
        <v>1.8322827816009521</v>
      </c>
      <c r="AO910">
        <v>1.8537993431091309</v>
      </c>
      <c r="AP910">
        <v>1.8687677383422852</v>
      </c>
      <c r="AQ910">
        <v>1.8557658195495605</v>
      </c>
      <c r="AR910">
        <v>1.8110371828079224</v>
      </c>
      <c r="AS910">
        <v>1.7539530992507935</v>
      </c>
    </row>
    <row r="911" spans="4:45" x14ac:dyDescent="0.25">
      <c r="D911">
        <v>25000</v>
      </c>
      <c r="AC911">
        <v>1.1267765760421753</v>
      </c>
      <c r="AD911">
        <v>1.1967177391052246</v>
      </c>
      <c r="AE911">
        <v>1.2655777931213379</v>
      </c>
      <c r="AF911">
        <v>1.3337526321411133</v>
      </c>
      <c r="AG911">
        <v>1.4009865522384644</v>
      </c>
      <c r="AH911">
        <v>1.4670243263244629</v>
      </c>
      <c r="AI911">
        <v>1.5316102504730225</v>
      </c>
      <c r="AJ911">
        <v>1.5836219787597656</v>
      </c>
      <c r="AK911">
        <v>1.6322458982467651</v>
      </c>
      <c r="AL911">
        <v>1.6771588325500488</v>
      </c>
      <c r="AM911">
        <v>1.7180372476577759</v>
      </c>
      <c r="AN911">
        <v>1.7545576095581055</v>
      </c>
      <c r="AO911">
        <v>1.7751615047454834</v>
      </c>
      <c r="AP911">
        <v>1.7894949913024902</v>
      </c>
      <c r="AQ911">
        <v>1.7770445346832275</v>
      </c>
      <c r="AR911">
        <v>1.7342133522033691</v>
      </c>
      <c r="AS911">
        <v>1.6795507669448853</v>
      </c>
    </row>
    <row r="912" spans="4:45" x14ac:dyDescent="0.25">
      <c r="D912">
        <v>26000</v>
      </c>
      <c r="AC912">
        <v>1.0785946846008301</v>
      </c>
      <c r="AD912">
        <v>1.1455450057983398</v>
      </c>
      <c r="AE912">
        <v>1.2114605903625488</v>
      </c>
      <c r="AF912">
        <v>1.2767202854156494</v>
      </c>
      <c r="AG912">
        <v>1.3410792350769043</v>
      </c>
      <c r="AH912">
        <v>1.4042930603027344</v>
      </c>
      <c r="AI912">
        <v>1.466117262840271</v>
      </c>
      <c r="AJ912">
        <v>1.5159050226211548</v>
      </c>
      <c r="AK912">
        <v>1.5624496936798096</v>
      </c>
      <c r="AL912">
        <v>1.6054421663284302</v>
      </c>
      <c r="AM912">
        <v>1.6445724964141846</v>
      </c>
      <c r="AN912">
        <v>1.6795310974121094</v>
      </c>
      <c r="AO912">
        <v>1.6992541551589966</v>
      </c>
      <c r="AP912">
        <v>1.7129745483398438</v>
      </c>
      <c r="AQ912">
        <v>1.7010565996170044</v>
      </c>
      <c r="AR912">
        <v>1.6600568294525146</v>
      </c>
      <c r="AS912">
        <v>1.607731819152832</v>
      </c>
    </row>
    <row r="913" spans="4:45" x14ac:dyDescent="0.25">
      <c r="D913">
        <v>27000</v>
      </c>
      <c r="AD913">
        <v>1.0961635112762451</v>
      </c>
      <c r="AE913">
        <v>1.1592375040054321</v>
      </c>
      <c r="AF913">
        <v>1.2216839790344238</v>
      </c>
      <c r="AG913">
        <v>1.2832686901092529</v>
      </c>
      <c r="AH913">
        <v>1.3437576293945313</v>
      </c>
      <c r="AI913">
        <v>1.4029165506362915</v>
      </c>
      <c r="AJ913">
        <v>1.450558066368103</v>
      </c>
      <c r="AK913">
        <v>1.4950964450836182</v>
      </c>
      <c r="AL913">
        <v>1.5362354516983032</v>
      </c>
      <c r="AM913">
        <v>1.5736789703369141</v>
      </c>
      <c r="AN913">
        <v>1.6071308851242065</v>
      </c>
      <c r="AO913">
        <v>1.6260033845901489</v>
      </c>
      <c r="AP913">
        <v>1.6391326189041138</v>
      </c>
      <c r="AQ913">
        <v>1.6277283430099487</v>
      </c>
      <c r="AR913">
        <v>1.5884960889816284</v>
      </c>
      <c r="AS913">
        <v>1.5384266376495361</v>
      </c>
    </row>
    <row r="914" spans="4:45" x14ac:dyDescent="0.25">
      <c r="D914">
        <v>28000</v>
      </c>
      <c r="AD914">
        <v>1.0485243797302246</v>
      </c>
      <c r="AE914">
        <v>1.108857274055481</v>
      </c>
      <c r="AF914">
        <v>1.1685898303985596</v>
      </c>
      <c r="AG914">
        <v>1.2274980545043945</v>
      </c>
      <c r="AH914">
        <v>1.285358190536499</v>
      </c>
      <c r="AI914">
        <v>1.3419461250305176</v>
      </c>
      <c r="AJ914">
        <v>1.3875170946121216</v>
      </c>
      <c r="AK914">
        <v>1.4301198720932007</v>
      </c>
      <c r="AL914">
        <v>1.4694709777832031</v>
      </c>
      <c r="AM914">
        <v>1.5052871704101563</v>
      </c>
      <c r="AN914">
        <v>1.5372852087020874</v>
      </c>
      <c r="AO914">
        <v>1.55533766746521</v>
      </c>
      <c r="AP914">
        <v>1.5678961277008057</v>
      </c>
      <c r="AQ914">
        <v>1.5569876432418823</v>
      </c>
      <c r="AR914">
        <v>1.5194602012634277</v>
      </c>
      <c r="AS914">
        <v>1.4715667963027954</v>
      </c>
    </row>
    <row r="915" spans="4:45" x14ac:dyDescent="0.25">
      <c r="D915">
        <v>29000</v>
      </c>
      <c r="AE915">
        <v>1.0602693557739258</v>
      </c>
      <c r="AF915">
        <v>1.1173845529556274</v>
      </c>
      <c r="AG915">
        <v>1.1737115383148193</v>
      </c>
      <c r="AH915">
        <v>1.2290363311767578</v>
      </c>
      <c r="AI915">
        <v>1.2831447124481201</v>
      </c>
      <c r="AJ915">
        <v>1.326718807220459</v>
      </c>
      <c r="AK915">
        <v>1.3674548864364624</v>
      </c>
      <c r="AL915">
        <v>1.4050817489624023</v>
      </c>
      <c r="AM915">
        <v>1.4393285512924194</v>
      </c>
      <c r="AN915">
        <v>1.4699244499206543</v>
      </c>
      <c r="AO915">
        <v>1.4871859550476074</v>
      </c>
      <c r="AP915">
        <v>1.4991941452026367</v>
      </c>
      <c r="AQ915">
        <v>1.4887633323669434</v>
      </c>
      <c r="AR915">
        <v>1.4528806209564209</v>
      </c>
      <c r="AS915">
        <v>1.407085657119751</v>
      </c>
    </row>
    <row r="916" spans="4:45" x14ac:dyDescent="0.25">
      <c r="D916">
        <v>30000</v>
      </c>
      <c r="AF916">
        <v>1.0680160522460938</v>
      </c>
      <c r="AG916">
        <v>1.1218544244766235</v>
      </c>
      <c r="AH916">
        <v>1.1747347116470337</v>
      </c>
      <c r="AI916">
        <v>1.2264524698257446</v>
      </c>
      <c r="AJ916">
        <v>1.2681014537811279</v>
      </c>
      <c r="AK916">
        <v>1.3070377111434937</v>
      </c>
      <c r="AL916">
        <v>1.3430022001266479</v>
      </c>
      <c r="AM916">
        <v>1.375735878944397</v>
      </c>
      <c r="AN916">
        <v>1.404979944229126</v>
      </c>
      <c r="AO916">
        <v>1.4214787483215332</v>
      </c>
      <c r="AP916">
        <v>1.4329564571380615</v>
      </c>
      <c r="AQ916">
        <v>1.4229865074157715</v>
      </c>
      <c r="AR916">
        <v>1.3886891603469849</v>
      </c>
      <c r="AS916">
        <v>1.3449174165725708</v>
      </c>
    </row>
    <row r="917" spans="4:45" x14ac:dyDescent="0.25">
      <c r="D917">
        <v>31000</v>
      </c>
      <c r="AF917">
        <v>1.0204331874847412</v>
      </c>
      <c r="AG917">
        <v>1.0718729496002197</v>
      </c>
      <c r="AH917">
        <v>1.1223973035812378</v>
      </c>
      <c r="AI917">
        <v>1.1718108654022217</v>
      </c>
      <c r="AJ917">
        <v>1.2116043567657471</v>
      </c>
      <c r="AK917">
        <v>1.2488059997558594</v>
      </c>
      <c r="AL917">
        <v>1.2831679582595825</v>
      </c>
      <c r="AM917">
        <v>1.3144434690475464</v>
      </c>
      <c r="AN917">
        <v>1.3423846960067749</v>
      </c>
      <c r="AO917">
        <v>1.3581483364105225</v>
      </c>
      <c r="AP917">
        <v>1.3691146373748779</v>
      </c>
      <c r="AQ917">
        <v>1.3595890998840332</v>
      </c>
      <c r="AR917">
        <v>1.3268195390701294</v>
      </c>
      <c r="AS917">
        <v>1.2849980592727661</v>
      </c>
    </row>
    <row r="918" spans="4:45" x14ac:dyDescent="0.25">
      <c r="D918">
        <v>32000</v>
      </c>
      <c r="AG918">
        <v>1.0237146615982056</v>
      </c>
      <c r="AH918">
        <v>1.0719691514968872</v>
      </c>
      <c r="AI918">
        <v>1.1191626787185669</v>
      </c>
      <c r="AJ918">
        <v>1.1571681499481201</v>
      </c>
      <c r="AK918">
        <v>1.1926981210708618</v>
      </c>
      <c r="AL918">
        <v>1.2255164384841919</v>
      </c>
      <c r="AM918">
        <v>1.2553865909576416</v>
      </c>
      <c r="AN918">
        <v>1.2820725440979004</v>
      </c>
      <c r="AO918">
        <v>1.2971279621124268</v>
      </c>
      <c r="AP918">
        <v>1.3076015710830688</v>
      </c>
      <c r="AQ918">
        <v>1.2985038757324219</v>
      </c>
      <c r="AR918">
        <v>1.2672067880630493</v>
      </c>
      <c r="AS918">
        <v>1.2272642850875854</v>
      </c>
    </row>
    <row r="919" spans="4:45" x14ac:dyDescent="0.25">
      <c r="D919">
        <v>33000</v>
      </c>
      <c r="AH919">
        <v>1.0233958959579468</v>
      </c>
      <c r="AI919">
        <v>1.068450927734375</v>
      </c>
      <c r="AJ919">
        <v>1.1047344207763672</v>
      </c>
      <c r="AK919">
        <v>1.1386544704437256</v>
      </c>
      <c r="AL919">
        <v>1.1699857711791992</v>
      </c>
      <c r="AM919">
        <v>1.1985025405883789</v>
      </c>
      <c r="AN919">
        <v>1.223979115486145</v>
      </c>
      <c r="AO919">
        <v>1.2383522987365723</v>
      </c>
      <c r="AP919">
        <v>1.2483513355255127</v>
      </c>
      <c r="AQ919">
        <v>1.2396661043167114</v>
      </c>
      <c r="AR919">
        <v>1.2097870111465454</v>
      </c>
      <c r="AS919">
        <v>1.1716544628143311</v>
      </c>
    </row>
    <row r="920" spans="4:45" x14ac:dyDescent="0.25">
      <c r="D920">
        <v>34000</v>
      </c>
      <c r="AI920">
        <v>1.0196208953857422</v>
      </c>
      <c r="AJ920">
        <v>1.0542460680007935</v>
      </c>
      <c r="AK920">
        <v>1.0866159200668335</v>
      </c>
      <c r="AL920">
        <v>1.1165151596069336</v>
      </c>
      <c r="AM920">
        <v>1.1437286138534546</v>
      </c>
      <c r="AN920">
        <v>1.1680408716201782</v>
      </c>
      <c r="AO920">
        <v>1.1817574501037598</v>
      </c>
      <c r="AP920">
        <v>1.1912995576858521</v>
      </c>
      <c r="AQ920">
        <v>1.1830109357833862</v>
      </c>
      <c r="AR920">
        <v>1.154497504234314</v>
      </c>
      <c r="AS920">
        <v>1.1181075572967529</v>
      </c>
    </row>
    <row r="921" spans="4:45" x14ac:dyDescent="0.25">
      <c r="D921">
        <v>35000</v>
      </c>
      <c r="AJ921">
        <v>1.0056470632553101</v>
      </c>
      <c r="AK921">
        <v>1.0365246534347534</v>
      </c>
      <c r="AL921">
        <v>1.0650458335876465</v>
      </c>
      <c r="AM921">
        <v>1.0910047292709351</v>
      </c>
      <c r="AN921">
        <v>1.1141963005065918</v>
      </c>
      <c r="AO921">
        <v>1.1272803544998169</v>
      </c>
      <c r="AP921">
        <v>1.1363825798034668</v>
      </c>
      <c r="AQ921">
        <v>1.1284761428833008</v>
      </c>
      <c r="AR921">
        <v>1.1012769937515259</v>
      </c>
      <c r="AS921">
        <v>1.066564679145813</v>
      </c>
    </row>
    <row r="922" spans="4:45" x14ac:dyDescent="0.25">
      <c r="D922">
        <v>36000</v>
      </c>
      <c r="AL922">
        <v>1.015519380569458</v>
      </c>
      <c r="AM922">
        <v>1.0402711629867554</v>
      </c>
      <c r="AN922">
        <v>1.0623842477798462</v>
      </c>
      <c r="AO922">
        <v>1.0748598575592041</v>
      </c>
      <c r="AP922">
        <v>1.0835388898849487</v>
      </c>
      <c r="AQ922">
        <v>1.0760002136230469</v>
      </c>
      <c r="AR922">
        <v>1.0500657558441162</v>
      </c>
      <c r="AS922">
        <v>1.0169676542282104</v>
      </c>
    </row>
    <row r="923" spans="4:45" x14ac:dyDescent="0.25">
      <c r="D923">
        <v>37000</v>
      </c>
      <c r="AN923">
        <v>1.012700080871582</v>
      </c>
      <c r="AO923">
        <v>1.0245922803878784</v>
      </c>
      <c r="AP923">
        <v>1.0328652858734131</v>
      </c>
      <c r="AQ923">
        <v>1.0256791114807129</v>
      </c>
      <c r="AR923">
        <v>1.0009576082229614</v>
      </c>
    </row>
    <row r="924" spans="4:45" x14ac:dyDescent="0.25">
      <c r="D924">
        <v>38000</v>
      </c>
    </row>
    <row r="925" spans="4:45" x14ac:dyDescent="0.25">
      <c r="D925">
        <v>39000</v>
      </c>
    </row>
    <row r="926" spans="4:45" x14ac:dyDescent="0.25">
      <c r="D926">
        <v>40000</v>
      </c>
    </row>
    <row r="927" spans="4:45" x14ac:dyDescent="0.25">
      <c r="D927">
        <v>41000</v>
      </c>
    </row>
    <row r="928" spans="4:45" x14ac:dyDescent="0.25">
      <c r="D928">
        <v>42000</v>
      </c>
    </row>
    <row r="929" spans="4:4" x14ac:dyDescent="0.25">
      <c r="D929">
        <v>43000</v>
      </c>
    </row>
    <row r="930" spans="4:4" x14ac:dyDescent="0.25">
      <c r="D930">
        <v>44000</v>
      </c>
    </row>
    <row r="931" spans="4:4" x14ac:dyDescent="0.25">
      <c r="D931">
        <v>45000</v>
      </c>
    </row>
    <row r="932" spans="4:4" x14ac:dyDescent="0.25">
      <c r="D932">
        <v>46000</v>
      </c>
    </row>
    <row r="933" spans="4:4" x14ac:dyDescent="0.25">
      <c r="D933">
        <v>47000</v>
      </c>
    </row>
    <row r="934" spans="4:4" x14ac:dyDescent="0.25">
      <c r="D934">
        <v>48000</v>
      </c>
    </row>
    <row r="935" spans="4:4" x14ac:dyDescent="0.25">
      <c r="D935">
        <v>49000</v>
      </c>
    </row>
    <row r="936" spans="4:4" x14ac:dyDescent="0.25">
      <c r="D936">
        <v>50000</v>
      </c>
    </row>
  </sheetData>
  <mergeCells count="1">
    <mergeCell ref="A1:B1"/>
  </mergeCells>
  <conditionalFormatting sqref="B20">
    <cfRule type="containsText" dxfId="25" priority="1" operator="containsText" text="FAIL">
      <formula>NOT(ISERROR(SEARCH("FAIL",B20)))</formula>
    </cfRule>
    <cfRule type="containsText" dxfId="24" priority="2" operator="containsText" text="Pass">
      <formula>NOT(ISERROR(SEARCH("Pass",B20)))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152400</xdr:colOff>
                    <xdr:row>20</xdr:row>
                    <xdr:rowOff>142875</xdr:rowOff>
                  </from>
                  <to>
                    <xdr:col>1</xdr:col>
                    <xdr:colOff>95250</xdr:colOff>
                    <xdr:row>22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19"/>
  <sheetViews>
    <sheetView workbookViewId="0">
      <selection activeCell="G7" sqref="G7"/>
    </sheetView>
  </sheetViews>
  <sheetFormatPr defaultRowHeight="15" x14ac:dyDescent="0.25"/>
  <cols>
    <col min="1" max="1" width="25.28515625" bestFit="1" customWidth="1"/>
    <col min="2" max="2" width="12" bestFit="1" customWidth="1"/>
    <col min="7" max="7" width="16" bestFit="1" customWidth="1"/>
    <col min="8" max="8" width="24.140625" bestFit="1" customWidth="1"/>
    <col min="9" max="9" width="12" bestFit="1" customWidth="1"/>
    <col min="10" max="10" width="19" bestFit="1" customWidth="1"/>
    <col min="13" max="13" width="24" bestFit="1" customWidth="1"/>
    <col min="14" max="17" width="12" bestFit="1" customWidth="1"/>
    <col min="19" max="19" width="11.85546875" bestFit="1" customWidth="1"/>
  </cols>
  <sheetData>
    <row r="1" spans="1:17" x14ac:dyDescent="0.25">
      <c r="E1" t="s">
        <v>96</v>
      </c>
      <c r="F1" t="s">
        <v>191</v>
      </c>
      <c r="G1" t="s">
        <v>75</v>
      </c>
      <c r="H1" t="s">
        <v>76</v>
      </c>
      <c r="I1" t="s">
        <v>77</v>
      </c>
      <c r="J1" t="s">
        <v>78</v>
      </c>
      <c r="M1" t="s">
        <v>74</v>
      </c>
      <c r="N1">
        <v>10</v>
      </c>
      <c r="O1">
        <f>N1+10</f>
        <v>20</v>
      </c>
      <c r="P1">
        <f>O1+10</f>
        <v>30</v>
      </c>
      <c r="Q1">
        <f>P1+10</f>
        <v>40</v>
      </c>
    </row>
    <row r="2" spans="1:17" x14ac:dyDescent="0.25">
      <c r="A2" t="s">
        <v>158</v>
      </c>
      <c r="E2">
        <f>Thrust</f>
        <v>44000</v>
      </c>
      <c r="F2">
        <v>1.3450000286102295</v>
      </c>
      <c r="G2">
        <f>37.5*(MTOW/SREF)/(CLimax*(Thrust/MTOW))</f>
        <v>9504.9001019728894</v>
      </c>
      <c r="H2">
        <f>37.5*(MTOW/SREF)/((CLimax+deltaCL_L)*(Thrust/MTOW))</f>
        <v>6572.797285882606</v>
      </c>
      <c r="I2">
        <f>SQRT((MTOW/SREF)/(1481*CLimax))*660.8</f>
        <v>148.05782262925837</v>
      </c>
      <c r="J2">
        <f>SQRT((W_f/SREF)/(1481*(CLimax+deltaCL_L)))*660.8</f>
        <v>103.48400573270665</v>
      </c>
      <c r="M2" t="s">
        <v>166</v>
      </c>
      <c r="N2">
        <f>(deltaCL_f*N1)+CLimax</f>
        <v>1.6450000286102295</v>
      </c>
      <c r="O2">
        <f>(deltaCL_f*O1)+CLimax</f>
        <v>1.9450000286102296</v>
      </c>
      <c r="P2">
        <f>(deltaCL_f*P1)+CLimax</f>
        <v>2.2450000286102294</v>
      </c>
      <c r="Q2">
        <f>(deltaCL_f*Q1)+CLimax</f>
        <v>2.5450000286102297</v>
      </c>
    </row>
    <row r="3" spans="1:17" x14ac:dyDescent="0.25">
      <c r="A3" t="s">
        <v>72</v>
      </c>
      <c r="B3">
        <f>MTOW</f>
        <v>150000</v>
      </c>
      <c r="E3" t="s">
        <v>79</v>
      </c>
      <c r="F3" t="s">
        <v>80</v>
      </c>
      <c r="G3" t="s">
        <v>22</v>
      </c>
      <c r="H3" t="s">
        <v>81</v>
      </c>
      <c r="I3" t="s">
        <v>82</v>
      </c>
      <c r="J3" t="s">
        <v>192</v>
      </c>
      <c r="M3" t="s">
        <v>163</v>
      </c>
      <c r="N3">
        <f xml:space="preserve"> 37.5*(MTOW/SREF)/(N2*(Thrust/MTOW))</f>
        <v>7771.4837001501382</v>
      </c>
      <c r="O3">
        <f xml:space="preserve"> 37.5*(MTOW/SREF)/(O2*(Thrust/MTOW))</f>
        <v>6572.797285882606</v>
      </c>
      <c r="P3">
        <f xml:space="preserve"> 37.5*(MTOW/SREF)/(P2*(Thrust/MTOW))</f>
        <v>5694.4724927263896</v>
      </c>
      <c r="Q3">
        <f xml:space="preserve"> 37.5*(MTOW/SREF)/(Q2*(Thrust/MTOW))</f>
        <v>5023.2183753931149</v>
      </c>
    </row>
    <row r="4" spans="1:17" x14ac:dyDescent="0.25">
      <c r="A4" t="s">
        <v>73</v>
      </c>
      <c r="B4">
        <f>'Primary Config'!$F$2</f>
        <v>1500</v>
      </c>
      <c r="E4">
        <f>1.23*V_s_L</f>
        <v>153.06538987476935</v>
      </c>
      <c r="F4">
        <f>1.23*Vs_LE</f>
        <v>127.28532705122917</v>
      </c>
      <c r="G4">
        <f>0.3*(Vref^2)</f>
        <v>7028.7040732545429</v>
      </c>
      <c r="H4">
        <f>0.3*(Vref_LE^2)</f>
        <v>4860.4663447615121</v>
      </c>
      <c r="I4">
        <f>1.13*V_s</f>
        <v>167.30533957106195</v>
      </c>
      <c r="J4">
        <f>SQRT((W_f/SREF)/(1481*CLimax))*660.8</f>
        <v>124.44340640225151</v>
      </c>
      <c r="M4" t="s">
        <v>159</v>
      </c>
      <c r="N4">
        <f xml:space="preserve"> SQRT((W_f/SREF)/(1481*(N2+CLimax)))*660.8</f>
        <v>83.463662658784557</v>
      </c>
      <c r="O4">
        <f xml:space="preserve"> SQRT((W_f/SREF)/(1481*(O2+CLimax)))*660.8</f>
        <v>79.567384910959348</v>
      </c>
      <c r="P4">
        <f xml:space="preserve"> SQRT((W_f/SREF)/(1481*(P2+CLimax)))*660.8</f>
        <v>76.170325175459894</v>
      </c>
      <c r="Q4">
        <f xml:space="preserve"> SQRT((W_f/SREF)/(1481*(Q2+CLimax)))*660.8</f>
        <v>73.174242197944423</v>
      </c>
    </row>
    <row r="5" spans="1:17" x14ac:dyDescent="0.25">
      <c r="A5" t="s">
        <v>151</v>
      </c>
      <c r="B5">
        <v>0.6</v>
      </c>
      <c r="M5" t="s">
        <v>160</v>
      </c>
      <c r="N5">
        <f>1.23*N4</f>
        <v>102.660305070305</v>
      </c>
      <c r="O5">
        <f t="shared" ref="O5:Q5" si="0">1.23*O4</f>
        <v>97.86788344048</v>
      </c>
      <c r="P5">
        <f>1.23*P4</f>
        <v>93.689499965815671</v>
      </c>
      <c r="Q5">
        <f t="shared" si="0"/>
        <v>90.004317903471645</v>
      </c>
    </row>
    <row r="6" spans="1:17" x14ac:dyDescent="0.25">
      <c r="A6" t="s">
        <v>165</v>
      </c>
      <c r="B6">
        <v>0.03</v>
      </c>
      <c r="M6" t="s">
        <v>161</v>
      </c>
      <c r="N6">
        <f>0.3*(N5^2)</f>
        <v>3161.7414711384272</v>
      </c>
      <c r="O6">
        <f t="shared" ref="O6:Q6" si="1">0.3*(O5^2)</f>
        <v>2873.4367827358142</v>
      </c>
      <c r="P6">
        <f t="shared" si="1"/>
        <v>2633.3167211533723</v>
      </c>
      <c r="Q6">
        <f t="shared" si="1"/>
        <v>2430.2331723807561</v>
      </c>
    </row>
    <row r="7" spans="1:17" x14ac:dyDescent="0.25">
      <c r="M7" t="s">
        <v>162</v>
      </c>
      <c r="N7">
        <f>1.13*N4</f>
        <v>94.313938804426542</v>
      </c>
      <c r="O7">
        <f t="shared" ref="O7:Q7" si="2">1.13*O4</f>
        <v>89.911144949384052</v>
      </c>
      <c r="P7">
        <f t="shared" si="2"/>
        <v>86.072467448269677</v>
      </c>
      <c r="Q7">
        <f t="shared" si="2"/>
        <v>82.686893683677184</v>
      </c>
    </row>
    <row r="8" spans="1:17" x14ac:dyDescent="0.25">
      <c r="M8" t="s">
        <v>167</v>
      </c>
      <c r="N8">
        <f>N2+deltaCL_L</f>
        <v>2.2450000286102294</v>
      </c>
      <c r="O8">
        <f>O2+deltaCL_L</f>
        <v>2.5450000286102297</v>
      </c>
      <c r="P8">
        <f>P2+deltaCL_L</f>
        <v>2.8450000286102295</v>
      </c>
      <c r="Q8">
        <f>Q2+deltaCL_L</f>
        <v>3.1450000286102298</v>
      </c>
    </row>
    <row r="9" spans="1:17" x14ac:dyDescent="0.25">
      <c r="M9" t="s">
        <v>164</v>
      </c>
      <c r="N9">
        <f xml:space="preserve"> 37.5*(MTOW/SREF)/((N8)*(Thrust/MTOW))</f>
        <v>5694.4724927263896</v>
      </c>
      <c r="O9">
        <f xml:space="preserve"> 37.5*(MTOW/SREF)/((O8)*(Thrust/MTOW))</f>
        <v>5023.2183753931149</v>
      </c>
      <c r="P9">
        <f xml:space="preserve"> 37.5*(MTOW/SREF)/((P8)*(Thrust/MTOW))</f>
        <v>4493.5292725940262</v>
      </c>
      <c r="Q9">
        <f xml:space="preserve"> 37.5*(MTOW/SREF)/((Q8)*(Thrust/MTOW))</f>
        <v>4064.8937337975726</v>
      </c>
    </row>
    <row r="10" spans="1:17" x14ac:dyDescent="0.25">
      <c r="M10" t="s">
        <v>168</v>
      </c>
      <c r="N10">
        <f xml:space="preserve"> SQRT((W_f/SREF)/(1481*(N8+CLimax)))*660.8</f>
        <v>76.170325175459894</v>
      </c>
      <c r="O10">
        <f xml:space="preserve"> SQRT((W_f/SREF)/(1481*(O8+CLimax)))*660.8</f>
        <v>73.174242197944423</v>
      </c>
      <c r="P10">
        <f xml:space="preserve"> SQRT((W_f/SREF)/(1481*(P8+CLimax)))*660.8</f>
        <v>70.505991278071832</v>
      </c>
      <c r="Q10">
        <f xml:space="preserve"> SQRT((W_f/SREF)/(1481*(Q8+CLimax)))*660.8</f>
        <v>68.109840634230906</v>
      </c>
    </row>
    <row r="11" spans="1:17" x14ac:dyDescent="0.25">
      <c r="A11" s="23" t="s">
        <v>181</v>
      </c>
      <c r="B11" s="2" t="s">
        <v>182</v>
      </c>
      <c r="C11" s="2">
        <v>10</v>
      </c>
      <c r="D11" s="2">
        <v>20</v>
      </c>
      <c r="E11" s="2">
        <v>30</v>
      </c>
      <c r="F11" s="3">
        <v>40</v>
      </c>
      <c r="G11" s="23" t="s">
        <v>181</v>
      </c>
      <c r="H11" s="2" t="s">
        <v>182</v>
      </c>
      <c r="I11" s="2">
        <v>10</v>
      </c>
      <c r="J11" s="2">
        <v>20</v>
      </c>
      <c r="K11" s="2">
        <v>30</v>
      </c>
      <c r="L11" s="3">
        <v>40</v>
      </c>
      <c r="M11" t="s">
        <v>169</v>
      </c>
      <c r="N11">
        <f>1.23*N10</f>
        <v>93.689499965815671</v>
      </c>
      <c r="O11">
        <f t="shared" ref="O11" si="3">1.23*O10</f>
        <v>90.004317903471645</v>
      </c>
      <c r="P11">
        <f>1.23*P10</f>
        <v>86.722369272028345</v>
      </c>
      <c r="Q11">
        <f t="shared" ref="Q11" si="4">1.23*Q10</f>
        <v>83.775103980104006</v>
      </c>
    </row>
    <row r="12" spans="1:17" x14ac:dyDescent="0.25">
      <c r="A12" s="17" t="s">
        <v>183</v>
      </c>
      <c r="B12" s="24" t="str">
        <f>IF(G2&lt;TOD,"PASS","FAIL")</f>
        <v>FAIL</v>
      </c>
      <c r="C12" s="2" t="str">
        <f>IF(N3&lt;TOD,"PASS","FAIL")</f>
        <v>PASS</v>
      </c>
      <c r="D12" s="2" t="str">
        <f>IF(O3&lt;TOD,"PASS","FAIL")</f>
        <v>PASS</v>
      </c>
      <c r="E12" s="2" t="str">
        <f>IF(P3&lt;TOD,"PASS","FAIL")</f>
        <v>PASS</v>
      </c>
      <c r="F12" s="3" t="str">
        <f>IF(Q3&lt;TOD,"PASS","FAIL")</f>
        <v>PASS</v>
      </c>
      <c r="G12" s="17" t="s">
        <v>183</v>
      </c>
      <c r="H12" s="37">
        <f>G2</f>
        <v>9504.9001019728894</v>
      </c>
      <c r="I12" s="2">
        <f t="shared" ref="I12:L12" si="5">N3</f>
        <v>7771.4837001501382</v>
      </c>
      <c r="J12" s="2">
        <f t="shared" si="5"/>
        <v>6572.797285882606</v>
      </c>
      <c r="K12" s="2">
        <f t="shared" si="5"/>
        <v>5694.4724927263896</v>
      </c>
      <c r="L12" s="3">
        <f t="shared" si="5"/>
        <v>5023.2183753931149</v>
      </c>
      <c r="M12" t="s">
        <v>170</v>
      </c>
      <c r="N12">
        <f>0.3*(N11^2)</f>
        <v>2633.3167211533723</v>
      </c>
      <c r="O12">
        <f t="shared" ref="O12:Q12" si="6">0.3*(O11^2)</f>
        <v>2430.2331723807561</v>
      </c>
      <c r="P12">
        <f t="shared" si="6"/>
        <v>2256.2307996462137</v>
      </c>
      <c r="Q12">
        <f t="shared" si="6"/>
        <v>2105.4804140631713</v>
      </c>
    </row>
    <row r="13" spans="1:17" x14ac:dyDescent="0.25">
      <c r="A13" s="19" t="s">
        <v>184</v>
      </c>
      <c r="B13" s="19" t="str">
        <f>IF(H2&lt;TOD,"PASS","FAIL")</f>
        <v>PASS</v>
      </c>
      <c r="C13" s="4" t="str">
        <f>IF(N9&lt;TOD,"PASS","FAIL")</f>
        <v>PASS</v>
      </c>
      <c r="D13" s="4" t="str">
        <f>IF(O9&lt;TOD,"PASS","FAIL")</f>
        <v>PASS</v>
      </c>
      <c r="E13" s="4" t="str">
        <f>IF(P9&lt;TOD,"PASS","FAIL")</f>
        <v>PASS</v>
      </c>
      <c r="F13" s="5" t="str">
        <f>IF(Q9&lt;TOD,"PASS","FAIL")</f>
        <v>PASS</v>
      </c>
      <c r="G13" s="19" t="s">
        <v>184</v>
      </c>
      <c r="H13" s="20">
        <f>H2</f>
        <v>6572.797285882606</v>
      </c>
      <c r="I13" s="4">
        <f t="shared" ref="I13:L13" si="7">N9</f>
        <v>5694.4724927263896</v>
      </c>
      <c r="J13" s="4">
        <f t="shared" si="7"/>
        <v>5023.2183753931149</v>
      </c>
      <c r="K13" s="4">
        <f t="shared" si="7"/>
        <v>4493.5292725940262</v>
      </c>
      <c r="L13" s="5">
        <f t="shared" si="7"/>
        <v>4064.8937337975726</v>
      </c>
      <c r="M13" t="s">
        <v>171</v>
      </c>
      <c r="N13">
        <f>1.13*N10</f>
        <v>86.072467448269677</v>
      </c>
      <c r="O13">
        <f t="shared" ref="O13:Q13" si="8">1.13*O10</f>
        <v>82.686893683677184</v>
      </c>
      <c r="P13">
        <f t="shared" si="8"/>
        <v>79.671770144221156</v>
      </c>
      <c r="Q13">
        <f t="shared" si="8"/>
        <v>76.964119916680914</v>
      </c>
    </row>
    <row r="14" spans="1:17" x14ac:dyDescent="0.25">
      <c r="A14" s="23" t="s">
        <v>185</v>
      </c>
      <c r="B14" s="2" t="s">
        <v>182</v>
      </c>
      <c r="C14" s="2">
        <v>10</v>
      </c>
      <c r="D14" s="2">
        <v>20</v>
      </c>
      <c r="E14" s="2">
        <v>30</v>
      </c>
      <c r="F14" s="3">
        <v>40</v>
      </c>
      <c r="G14" s="23" t="s">
        <v>185</v>
      </c>
      <c r="H14" s="2" t="s">
        <v>182</v>
      </c>
      <c r="I14" s="2">
        <v>10</v>
      </c>
      <c r="J14" s="2">
        <v>20</v>
      </c>
      <c r="K14" s="2">
        <v>30</v>
      </c>
      <c r="L14" s="3">
        <v>40</v>
      </c>
    </row>
    <row r="15" spans="1:17" x14ac:dyDescent="0.25">
      <c r="A15" s="17" t="s">
        <v>183</v>
      </c>
      <c r="B15" s="24" t="str">
        <f>IF(G4&lt;LD,"PASS","FAIL")</f>
        <v>FAIL</v>
      </c>
      <c r="C15" s="2" t="str">
        <f>IF(N6&lt;LD,"PASS","FAIL")</f>
        <v>PASS</v>
      </c>
      <c r="D15" s="2" t="str">
        <f>IF(O6&lt;LD,"PASS","FAIL")</f>
        <v>PASS</v>
      </c>
      <c r="E15" s="2" t="str">
        <f>IF(P6&lt;LD,"PASS","FAIL")</f>
        <v>PASS</v>
      </c>
      <c r="F15" s="3" t="str">
        <f>IF(Q6&lt;LD,"PASS","FAIL")</f>
        <v>PASS</v>
      </c>
      <c r="G15" s="17" t="s">
        <v>183</v>
      </c>
      <c r="H15" s="37">
        <f>G4</f>
        <v>7028.7040732545429</v>
      </c>
      <c r="I15" s="2">
        <f>N6</f>
        <v>3161.7414711384272</v>
      </c>
      <c r="J15" s="2">
        <f t="shared" ref="J15:L15" si="9">O6</f>
        <v>2873.4367827358142</v>
      </c>
      <c r="K15" s="2">
        <f t="shared" si="9"/>
        <v>2633.3167211533723</v>
      </c>
      <c r="L15" s="3">
        <f t="shared" si="9"/>
        <v>2430.2331723807561</v>
      </c>
    </row>
    <row r="16" spans="1:17" x14ac:dyDescent="0.25">
      <c r="A16" s="19" t="s">
        <v>184</v>
      </c>
      <c r="B16" s="19" t="str">
        <f>IF(H4&lt;LD,"PASS","FAIL")</f>
        <v>PASS</v>
      </c>
      <c r="C16" s="4" t="str">
        <f>IF(N12&lt;LD,"PASS","FAIL")</f>
        <v>PASS</v>
      </c>
      <c r="D16" s="4" t="str">
        <f>IF(O12&lt;LD,"PASS","FAIL")</f>
        <v>PASS</v>
      </c>
      <c r="E16" s="4" t="str">
        <f>IF(P12&lt;LD,"PASS","FAIL")</f>
        <v>PASS</v>
      </c>
      <c r="F16" s="5" t="str">
        <f>IF(Q12&lt;LD,"PASS","FAIL")</f>
        <v>PASS</v>
      </c>
      <c r="G16" s="17" t="s">
        <v>184</v>
      </c>
      <c r="H16" s="20">
        <f>H4</f>
        <v>4860.4663447615121</v>
      </c>
      <c r="I16" s="4">
        <f>N12</f>
        <v>2633.3167211533723</v>
      </c>
      <c r="J16" s="4">
        <f t="shared" ref="J16:L16" si="10">O12</f>
        <v>2430.2331723807561</v>
      </c>
      <c r="K16" s="4">
        <f t="shared" si="10"/>
        <v>2256.2307996462137</v>
      </c>
      <c r="L16" s="7">
        <f t="shared" si="10"/>
        <v>2105.4804140631713</v>
      </c>
    </row>
    <row r="17" spans="1:12" x14ac:dyDescent="0.25">
      <c r="A17" s="25" t="s">
        <v>186</v>
      </c>
      <c r="B17" s="26" t="s">
        <v>182</v>
      </c>
      <c r="C17" s="26">
        <v>10</v>
      </c>
      <c r="D17" s="26">
        <v>20</v>
      </c>
      <c r="E17" s="26">
        <v>30</v>
      </c>
      <c r="F17" s="26">
        <v>40</v>
      </c>
      <c r="G17" s="29"/>
      <c r="H17" s="2"/>
      <c r="I17" s="2"/>
      <c r="J17" s="2"/>
      <c r="K17" s="2"/>
      <c r="L17" s="2"/>
    </row>
    <row r="18" spans="1:12" x14ac:dyDescent="0.25">
      <c r="A18" s="28" t="s">
        <v>183</v>
      </c>
      <c r="B18" s="29" t="str">
        <f t="shared" ref="B18:E18" si="11">IF(AND(B12="PASS",  B15 = "PASS"),"PASS","FAIL")</f>
        <v>FAIL</v>
      </c>
      <c r="C18" s="26" t="str">
        <f t="shared" si="11"/>
        <v>PASS</v>
      </c>
      <c r="D18" s="26" t="str">
        <f t="shared" si="11"/>
        <v>PASS</v>
      </c>
      <c r="E18" s="26" t="str">
        <f t="shared" si="11"/>
        <v>PASS</v>
      </c>
      <c r="F18" s="27" t="str">
        <f>IF(AND(F12="PASS",  F15 = "PASS"),"PASS","FAIL")</f>
        <v>PASS</v>
      </c>
      <c r="G18" s="28"/>
    </row>
    <row r="19" spans="1:12" x14ac:dyDescent="0.25">
      <c r="A19" s="30" t="s">
        <v>184</v>
      </c>
      <c r="B19" s="30" t="str">
        <f t="shared" ref="B19:E19" si="12">IF(AND(B13="PASS",  B16 = "PASS"),"PASS","FAIL")</f>
        <v>PASS</v>
      </c>
      <c r="C19" s="31" t="str">
        <f t="shared" si="12"/>
        <v>PASS</v>
      </c>
      <c r="D19" s="31" t="str">
        <f t="shared" si="12"/>
        <v>PASS</v>
      </c>
      <c r="E19" s="31" t="str">
        <f t="shared" si="12"/>
        <v>PASS</v>
      </c>
      <c r="F19" s="31" t="str">
        <f>IF(AND(F13="PASS",  F16 = "PASS"),"PASS","FAIL")</f>
        <v>PASS</v>
      </c>
      <c r="G19" s="28"/>
    </row>
  </sheetData>
  <conditionalFormatting sqref="A11:F19 H12:H13 H15:H16">
    <cfRule type="containsText" dxfId="23" priority="11" operator="containsText" text="PASS">
      <formula>NOT(ISERROR(SEARCH("PASS",A11)))</formula>
    </cfRule>
    <cfRule type="containsText" dxfId="22" priority="12" operator="containsText" text="FAIL">
      <formula>NOT(ISERROR(SEARCH("FAIL",A11)))</formula>
    </cfRule>
  </conditionalFormatting>
  <conditionalFormatting sqref="G11:G19">
    <cfRule type="containsText" dxfId="21" priority="7" operator="containsText" text="PASS">
      <formula>NOT(ISERROR(SEARCH("PASS",G11)))</formula>
    </cfRule>
    <cfRule type="containsText" dxfId="20" priority="8" operator="containsText" text="FAIL">
      <formula>NOT(ISERROR(SEARCH("FAIL",G11)))</formula>
    </cfRule>
  </conditionalFormatting>
  <conditionalFormatting sqref="H11:L11">
    <cfRule type="containsText" dxfId="19" priority="5" operator="containsText" text="PASS">
      <formula>NOT(ISERROR(SEARCH("PASS",H11)))</formula>
    </cfRule>
    <cfRule type="containsText" dxfId="18" priority="6" operator="containsText" text="FAIL">
      <formula>NOT(ISERROR(SEARCH("FAIL",H11)))</formula>
    </cfRule>
  </conditionalFormatting>
  <conditionalFormatting sqref="H14:L14">
    <cfRule type="containsText" dxfId="17" priority="3" operator="containsText" text="PASS">
      <formula>NOT(ISERROR(SEARCH("PASS",H14)))</formula>
    </cfRule>
    <cfRule type="containsText" dxfId="16" priority="4" operator="containsText" text="FAIL">
      <formula>NOT(ISERROR(SEARCH("FAIL",H14)))</formula>
    </cfRule>
  </conditionalFormatting>
  <conditionalFormatting sqref="H17:L17">
    <cfRule type="containsText" dxfId="15" priority="1" operator="containsText" text="PASS">
      <formula>NOT(ISERROR(SEARCH("PASS",H17)))</formula>
    </cfRule>
    <cfRule type="containsText" dxfId="14" priority="2" operator="containsText" text="FAIL">
      <formula>NOT(ISERROR(SEARCH("FAIL",H17)))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K16"/>
  <sheetViews>
    <sheetView workbookViewId="0">
      <selection activeCell="H25" sqref="H25"/>
    </sheetView>
  </sheetViews>
  <sheetFormatPr defaultRowHeight="15" x14ac:dyDescent="0.25"/>
  <cols>
    <col min="1" max="1" width="13.5703125" bestFit="1" customWidth="1"/>
    <col min="2" max="2" width="12" bestFit="1" customWidth="1"/>
    <col min="3" max="3" width="16.85546875" bestFit="1" customWidth="1"/>
    <col min="4" max="4" width="24.42578125" bestFit="1" customWidth="1"/>
    <col min="5" max="5" width="12" bestFit="1" customWidth="1"/>
    <col min="6" max="6" width="9" bestFit="1" customWidth="1"/>
    <col min="7" max="7" width="8" bestFit="1" customWidth="1"/>
    <col min="8" max="8" width="12" bestFit="1" customWidth="1"/>
    <col min="10" max="10" width="15" bestFit="1" customWidth="1"/>
  </cols>
  <sheetData>
    <row r="1" spans="1:11" x14ac:dyDescent="0.25">
      <c r="A1" s="15" t="s">
        <v>35</v>
      </c>
      <c r="D1" s="15" t="s">
        <v>83</v>
      </c>
      <c r="E1" t="s">
        <v>157</v>
      </c>
    </row>
    <row r="2" spans="1:11" ht="15.75" thickBot="1" x14ac:dyDescent="0.3">
      <c r="A2" t="s">
        <v>84</v>
      </c>
      <c r="B2" s="16">
        <f>'Primary Config'!$B$3+'Primary Config'!$C$3</f>
        <v>113</v>
      </c>
      <c r="D2" t="s">
        <v>85</v>
      </c>
      <c r="E2">
        <f>215*(B2)+150</f>
        <v>24445</v>
      </c>
      <c r="G2" s="15"/>
      <c r="J2">
        <v>1.3450000286102295</v>
      </c>
    </row>
    <row r="3" spans="1:11" ht="16.5" thickTop="1" thickBot="1" x14ac:dyDescent="0.3">
      <c r="A3" t="s">
        <v>34</v>
      </c>
      <c r="B3" s="16">
        <f>'Primary Config'!$F$2</f>
        <v>1500</v>
      </c>
      <c r="D3" t="s">
        <v>156</v>
      </c>
      <c r="E3" s="15">
        <f>E4+E2</f>
        <v>105967.41098491536</v>
      </c>
      <c r="F3" t="s">
        <v>86</v>
      </c>
      <c r="G3" s="15">
        <f>MTOW-W_f</f>
        <v>44032.589015084639</v>
      </c>
      <c r="H3" t="s">
        <v>157</v>
      </c>
      <c r="J3" s="15"/>
      <c r="K3" s="35"/>
    </row>
    <row r="4" spans="1:11" ht="16.5" thickTop="1" thickBot="1" x14ac:dyDescent="0.3">
      <c r="A4" t="s">
        <v>87</v>
      </c>
      <c r="B4" s="16">
        <f>'Primary Config'!I2</f>
        <v>6.6669999999999998</v>
      </c>
      <c r="D4" t="s">
        <v>88</v>
      </c>
      <c r="E4" s="15">
        <f>1.2973*MTOW^0.927</f>
        <v>81522.410984915361</v>
      </c>
    </row>
    <row r="5" spans="1:11" ht="15.75" thickTop="1" x14ac:dyDescent="0.25">
      <c r="A5" t="s">
        <v>89</v>
      </c>
      <c r="B5">
        <f>3.75</f>
        <v>3.75</v>
      </c>
      <c r="D5" s="6"/>
      <c r="E5" s="6"/>
      <c r="F5" t="s">
        <v>194</v>
      </c>
      <c r="G5">
        <v>50.2</v>
      </c>
      <c r="H5" t="s">
        <v>195</v>
      </c>
      <c r="I5" s="6"/>
    </row>
    <row r="6" spans="1:11" x14ac:dyDescent="0.25">
      <c r="A6" t="s">
        <v>90</v>
      </c>
      <c r="B6">
        <f>4/5*'Primary Config'!B10*100</f>
        <v>8.0000000000000018</v>
      </c>
      <c r="D6" s="6"/>
      <c r="E6" s="36"/>
      <c r="F6" t="s">
        <v>196</v>
      </c>
      <c r="G6">
        <f>0.3*Span*CBar_W^2*TC</f>
        <v>675</v>
      </c>
      <c r="H6" t="s">
        <v>197</v>
      </c>
      <c r="I6" s="36"/>
    </row>
    <row r="7" spans="1:11" x14ac:dyDescent="0.25">
      <c r="A7" t="s">
        <v>91</v>
      </c>
      <c r="B7">
        <f>'Primary Config'!B15</f>
        <v>0.35</v>
      </c>
      <c r="D7" s="6"/>
      <c r="E7" s="36"/>
      <c r="F7" t="s">
        <v>86</v>
      </c>
      <c r="G7" s="15">
        <f>G6*G5</f>
        <v>33885</v>
      </c>
      <c r="H7" t="s">
        <v>157</v>
      </c>
      <c r="I7" s="36"/>
    </row>
    <row r="8" spans="1:11" x14ac:dyDescent="0.25">
      <c r="A8" t="s">
        <v>92</v>
      </c>
      <c r="B8">
        <f>48000</f>
        <v>48000</v>
      </c>
      <c r="C8" t="s">
        <v>93</v>
      </c>
      <c r="D8" s="6"/>
      <c r="E8" s="6"/>
      <c r="F8" s="6"/>
      <c r="G8" s="6"/>
      <c r="H8" s="6"/>
      <c r="I8" s="6"/>
    </row>
    <row r="9" spans="1:11" x14ac:dyDescent="0.25">
      <c r="A9" t="s">
        <v>94</v>
      </c>
      <c r="D9" s="6"/>
      <c r="E9" s="36"/>
      <c r="F9" s="36"/>
      <c r="G9" s="36"/>
      <c r="H9" s="36"/>
      <c r="I9" s="36"/>
    </row>
    <row r="10" spans="1:11" x14ac:dyDescent="0.25">
      <c r="A10" t="s">
        <v>95</v>
      </c>
      <c r="B10">
        <f>TO_Landing!F2</f>
        <v>1.3450000286102295</v>
      </c>
      <c r="C10" t="s">
        <v>97</v>
      </c>
      <c r="D10" s="6"/>
      <c r="E10" s="36" t="s">
        <v>198</v>
      </c>
      <c r="F10" t="str">
        <f>IF(G7&gt;=G3, "PASS", "FAIL")</f>
        <v>FAIL</v>
      </c>
      <c r="I10" s="36"/>
    </row>
    <row r="11" spans="1:11" x14ac:dyDescent="0.25">
      <c r="A11" t="s">
        <v>96</v>
      </c>
      <c r="B11">
        <f>StaticThrust*nEngine*enScaleFactor</f>
        <v>44000</v>
      </c>
    </row>
    <row r="13" spans="1:11" x14ac:dyDescent="0.25">
      <c r="A13" t="s">
        <v>200</v>
      </c>
      <c r="B13">
        <f>2/3*7*(111.283/12)+(7^3)/(2*111.283/12)*LEN_Cabin</f>
        <v>1333.1907252595233</v>
      </c>
      <c r="C13" t="s">
        <v>197</v>
      </c>
      <c r="E13" s="15" t="s">
        <v>199</v>
      </c>
      <c r="F13" t="str">
        <f>IF(A16&gt;('Primary Config'!B3+'Primary Config'!C3),"PASS","FAIL")</f>
        <v>PASS</v>
      </c>
    </row>
    <row r="14" spans="1:11" x14ac:dyDescent="0.25">
      <c r="A14" t="s">
        <v>201</v>
      </c>
      <c r="B14" t="s">
        <v>202</v>
      </c>
    </row>
    <row r="15" spans="1:11" x14ac:dyDescent="0.25">
      <c r="A15">
        <v>5.5</v>
      </c>
      <c r="B15">
        <v>4</v>
      </c>
    </row>
    <row r="16" spans="1:11" x14ac:dyDescent="0.25">
      <c r="A16">
        <f>B13/A15</f>
        <v>242.3983136835497</v>
      </c>
      <c r="B16">
        <f>B13/B15</f>
        <v>333.29768131488083</v>
      </c>
    </row>
  </sheetData>
  <conditionalFormatting sqref="K3">
    <cfRule type="containsText" dxfId="13" priority="5" operator="containsText" text="PASS">
      <formula>NOT(ISERROR(SEARCH("PASS",K3)))</formula>
    </cfRule>
    <cfRule type="containsText" dxfId="12" priority="6" operator="containsText" text="FAIL">
      <formula>NOT(ISERROR(SEARCH("FAIL",K3)))</formula>
    </cfRule>
  </conditionalFormatting>
  <conditionalFormatting sqref="F10">
    <cfRule type="containsText" dxfId="11" priority="4" operator="containsText" text="FAIL">
      <formula>NOT(ISERROR(SEARCH("FAIL",F10)))</formula>
    </cfRule>
    <cfRule type="containsText" dxfId="10" priority="3" operator="containsText" text="PASS">
      <formula>NOT(ISERROR(SEARCH("PASS",F10)))</formula>
    </cfRule>
  </conditionalFormatting>
  <conditionalFormatting sqref="F13">
    <cfRule type="containsText" dxfId="8" priority="2" operator="containsText" text="FAIL">
      <formula>NOT(ISERROR(SEARCH("FAIL",F13)))</formula>
    </cfRule>
    <cfRule type="containsText" dxfId="9" priority="1" operator="containsText" text="PASS">
      <formula>NOT(ISERROR(SEARCH("PASS",F13)))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41</vt:i4>
      </vt:variant>
    </vt:vector>
  </HeadingPairs>
  <TitlesOfParts>
    <vt:vector size="45" baseType="lpstr">
      <vt:lpstr>Primary Config</vt:lpstr>
      <vt:lpstr>Skymaps</vt:lpstr>
      <vt:lpstr>TO_Landing</vt:lpstr>
      <vt:lpstr>Weights</vt:lpstr>
      <vt:lpstr>AR_wing</vt:lpstr>
      <vt:lpstr>CBAR_H</vt:lpstr>
      <vt:lpstr>CBAR_V</vt:lpstr>
      <vt:lpstr>CBar_W</vt:lpstr>
      <vt:lpstr>CLimax</vt:lpstr>
      <vt:lpstr>Clmax</vt:lpstr>
      <vt:lpstr>deltaCL_f</vt:lpstr>
      <vt:lpstr>deltaCL_L</vt:lpstr>
      <vt:lpstr>enScaleFactor</vt:lpstr>
      <vt:lpstr>HT_Span</vt:lpstr>
      <vt:lpstr>LD</vt:lpstr>
      <vt:lpstr>LD_Fuse</vt:lpstr>
      <vt:lpstr>LE_Sweep</vt:lpstr>
      <vt:lpstr>LEN_Cabin</vt:lpstr>
      <vt:lpstr>LEN_Fuse</vt:lpstr>
      <vt:lpstr>LEN_FuseCrud</vt:lpstr>
      <vt:lpstr>MTOW</vt:lpstr>
      <vt:lpstr>nEngine</vt:lpstr>
      <vt:lpstr>OTOW</vt:lpstr>
      <vt:lpstr>Range</vt:lpstr>
      <vt:lpstr>Span</vt:lpstr>
      <vt:lpstr>SREF</vt:lpstr>
      <vt:lpstr>SREF_H</vt:lpstr>
      <vt:lpstr>SREF_V</vt:lpstr>
      <vt:lpstr>StaticThrust</vt:lpstr>
      <vt:lpstr>TC</vt:lpstr>
      <vt:lpstr>Thrust</vt:lpstr>
      <vt:lpstr>TO_Cert</vt:lpstr>
      <vt:lpstr>TOD</vt:lpstr>
      <vt:lpstr>TR</vt:lpstr>
      <vt:lpstr>V_s</vt:lpstr>
      <vt:lpstr>V_s_L</vt:lpstr>
      <vt:lpstr>Vh</vt:lpstr>
      <vt:lpstr>Vref</vt:lpstr>
      <vt:lpstr>Vref_LE</vt:lpstr>
      <vt:lpstr>Vs</vt:lpstr>
      <vt:lpstr>Vs_LE</vt:lpstr>
      <vt:lpstr>VT_Span</vt:lpstr>
      <vt:lpstr>Vv</vt:lpstr>
      <vt:lpstr>W_f</vt:lpstr>
      <vt:lpstr>WIDTH_Fuse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Thomas</dc:creator>
  <cp:lastModifiedBy>Philip_Thomas</cp:lastModifiedBy>
  <dcterms:created xsi:type="dcterms:W3CDTF">2018-04-05T17:15:08Z</dcterms:created>
  <dcterms:modified xsi:type="dcterms:W3CDTF">2018-05-02T23:48:56Z</dcterms:modified>
</cp:coreProperties>
</file>