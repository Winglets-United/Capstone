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ilip Thomas\Google Drive\School\ASU_year4\Fall\Capstone\Tooling\"/>
    </mc:Choice>
  </mc:AlternateContent>
  <xr:revisionPtr revIDLastSave="0" documentId="13_ncr:1_{1F4C5636-8AC9-4AD4-B4EB-883B494FDF17}" xr6:coauthVersionLast="34" xr6:coauthVersionMax="34" xr10:uidLastSave="{00000000-0000-0000-0000-000000000000}"/>
  <bookViews>
    <workbookView xWindow="0" yWindow="0" windowWidth="21570" windowHeight="9045" xr2:uid="{00000000-000D-0000-FFFF-FFFF00000000}"/>
  </bookViews>
  <sheets>
    <sheet name="Main" sheetId="1" r:id="rId1"/>
    <sheet name="BODY_h" sheetId="2" r:id="rId2"/>
    <sheet name="WING_1" sheetId="7" r:id="rId3"/>
    <sheet name="WING_2" sheetId="8" r:id="rId4"/>
    <sheet name="WING_3" sheetId="9" r:id="rId5"/>
    <sheet name="R_ail" sheetId="10" r:id="rId6"/>
    <sheet name="L_ail" sheetId="11" r:id="rId7"/>
    <sheet name="TAIL_h_fix" sheetId="12" r:id="rId8"/>
    <sheet name="TAIL_h_flap" sheetId="13" r:id="rId9"/>
    <sheet name="BODY_v_tipTop" sheetId="14" r:id="rId10"/>
    <sheet name="BODY_v_tipBot" sheetId="15" r:id="rId11"/>
    <sheet name="BODY_v_rearTop" sheetId="16" r:id="rId12"/>
    <sheet name="BODY_v_rearBot" sheetId="17" r:id="rId13"/>
    <sheet name="TAIL_v_fix" sheetId="18" r:id="rId14"/>
    <sheet name="TAIL_v_flap" sheetId="19" r:id="rId1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<sst xmlns="http://schemas.openxmlformats.org/spreadsheetml/2006/main" count="520" uniqueCount="121">
  <si>
    <t>ISOLV</t>
  </si>
  <si>
    <t>LAX</t>
  </si>
  <si>
    <t>LAY</t>
  </si>
  <si>
    <t>REXPAR</t>
  </si>
  <si>
    <t>HAG</t>
  </si>
  <si>
    <t>FLOATX</t>
  </si>
  <si>
    <t>FLOATY</t>
  </si>
  <si>
    <t>ITRMAX</t>
  </si>
  <si>
    <t>0</t>
  </si>
  <si>
    <t>0.20</t>
  </si>
  <si>
    <t>0.00</t>
  </si>
  <si>
    <t>NMACH</t>
  </si>
  <si>
    <t>MACH</t>
  </si>
  <si>
    <t>NALPHA</t>
  </si>
  <si>
    <t>ALPHA</t>
  </si>
  <si>
    <t>LATRL</t>
  </si>
  <si>
    <t>PSI</t>
  </si>
  <si>
    <t>PITCHQ</t>
  </si>
  <si>
    <t>ROLLQ</t>
  </si>
  <si>
    <t>YAWQ</t>
  </si>
  <si>
    <t>VINF</t>
  </si>
  <si>
    <t>1.00</t>
  </si>
  <si>
    <t>NPAN</t>
  </si>
  <si>
    <t>SREF</t>
  </si>
  <si>
    <t>CBAR</t>
  </si>
  <si>
    <t>XBAR</t>
  </si>
  <si>
    <t>ZBAR</t>
  </si>
  <si>
    <t>WSPAN</t>
  </si>
  <si>
    <t>NXS</t>
  </si>
  <si>
    <t>NYS</t>
  </si>
  <si>
    <t>NZS</t>
  </si>
  <si>
    <t>X</t>
  </si>
  <si>
    <t>Y</t>
  </si>
  <si>
    <t>Z</t>
  </si>
  <si>
    <t>CORD</t>
  </si>
  <si>
    <t>Comment</t>
  </si>
  <si>
    <t>NVOR</t>
  </si>
  <si>
    <t>RNCV</t>
  </si>
  <si>
    <t>SPC</t>
  </si>
  <si>
    <t>PDL</t>
  </si>
  <si>
    <t>AINC1</t>
  </si>
  <si>
    <t>AINC2</t>
  </si>
  <si>
    <t>ITS</t>
  </si>
  <si>
    <t>NAP</t>
  </si>
  <si>
    <t>IQUANT</t>
  </si>
  <si>
    <t>ISYNT</t>
  </si>
  <si>
    <t>NPP</t>
  </si>
  <si>
    <t>2</t>
  </si>
  <si>
    <t>X/C Percent C</t>
  </si>
  <si>
    <t>Camber_Root</t>
  </si>
  <si>
    <t>Camber_Tip</t>
  </si>
  <si>
    <t>1</t>
  </si>
  <si>
    <t>5</t>
  </si>
  <si>
    <t>BODY_h</t>
  </si>
  <si>
    <t>11</t>
  </si>
  <si>
    <t>99</t>
  </si>
  <si>
    <t>0.1</t>
  </si>
  <si>
    <t>-10</t>
  </si>
  <si>
    <t>-7.5</t>
  </si>
  <si>
    <t>-5</t>
  </si>
  <si>
    <t>-2.5</t>
  </si>
  <si>
    <t>2.5</t>
  </si>
  <si>
    <t>7.5</t>
  </si>
  <si>
    <t>0.0</t>
  </si>
  <si>
    <t>50.5</t>
  </si>
  <si>
    <t>5.0</t>
  </si>
  <si>
    <t>5.5</t>
  </si>
  <si>
    <t>45.5</t>
  </si>
  <si>
    <t>WING_1</t>
  </si>
  <si>
    <t>19.0</t>
  </si>
  <si>
    <t>13.11</t>
  </si>
  <si>
    <t>15.6</t>
  </si>
  <si>
    <t>11.67</t>
  </si>
  <si>
    <t>WING_2</t>
  </si>
  <si>
    <t>27.2</t>
  </si>
  <si>
    <t>10.0</t>
  </si>
  <si>
    <t>WING_3</t>
  </si>
  <si>
    <t>7.0</t>
  </si>
  <si>
    <t>38.9</t>
  </si>
  <si>
    <t>5.33</t>
  </si>
  <si>
    <t>R_ail</t>
  </si>
  <si>
    <t>26.0</t>
  </si>
  <si>
    <t>3.0</t>
  </si>
  <si>
    <t>24.33</t>
  </si>
  <si>
    <t>L_ail</t>
  </si>
  <si>
    <t>-27.2</t>
  </si>
  <si>
    <t>-38.9</t>
  </si>
  <si>
    <t>TAIL_h_fix</t>
  </si>
  <si>
    <t>4.5</t>
  </si>
  <si>
    <t>15.5</t>
  </si>
  <si>
    <t>55.0</t>
  </si>
  <si>
    <t>TAIL_h_flap</t>
  </si>
  <si>
    <t>37.5</t>
  </si>
  <si>
    <t>2.75</t>
  </si>
  <si>
    <t>32.5</t>
  </si>
  <si>
    <t>BODY_v_tipTop</t>
  </si>
  <si>
    <t>BODY_v_tipBot</t>
  </si>
  <si>
    <t>-2.75</t>
  </si>
  <si>
    <t>BODY_v_rearTop</t>
  </si>
  <si>
    <t>20.0</t>
  </si>
  <si>
    <t>BODY_v_rearBot</t>
  </si>
  <si>
    <t>1.0</t>
  </si>
  <si>
    <t>TAIL_v_fix</t>
  </si>
  <si>
    <t>50.0</t>
  </si>
  <si>
    <t>51.0</t>
  </si>
  <si>
    <t>12.75</t>
  </si>
  <si>
    <t>3.5</t>
  </si>
  <si>
    <t>54.5</t>
  </si>
  <si>
    <t>TAIL_v_flap</t>
  </si>
  <si>
    <t>The Queen of France</t>
  </si>
  <si>
    <t>CONFIGURATION OPTIONS</t>
  </si>
  <si>
    <t>File Name</t>
  </si>
  <si>
    <t>File Directory</t>
  </si>
  <si>
    <t>C:\Users\Philip Thomas\Google Drive\School\ASU_year4\Fall\Capstone\Tooling</t>
  </si>
  <si>
    <t>Status</t>
  </si>
  <si>
    <t>Generation Success!</t>
  </si>
  <si>
    <t>Input</t>
  </si>
  <si>
    <t>Vorlax Output Name</t>
  </si>
  <si>
    <t>Output</t>
  </si>
  <si>
    <t>Vorlax Directory</t>
  </si>
  <si>
    <t>Note: Vorlax MUST be in this excel file's directory to properly run!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</si>
</sst>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6">
    <xf numFmtId="0" fontId="0" fillId="0" borderId="0"/>
    <xf numFmtId="0" fontId="2" fillId="3" borderId="1" applyNumberFormat="0" applyAlignment="0" applyProtection="0"/>
    <xf numFmtId="0" fontId="3" fillId="4" borderId="1" applyNumberFormat="0" applyAlignment="0" applyProtection="0"/>
    <xf numFmtId="0" fontId="4" fillId="0" borderId="0" applyNumberFormat="0" applyFill="0" applyBorder="0" applyAlignment="0" applyProtection="0"/>
    <xf numFmtId="0" fontId="1" fillId="5" borderId="2" applyNumberFormat="0" applyFont="0" applyAlignment="0" applyProtection="0"/>
    <xf numFmtId="0" fontId="1" fillId="6" borderId="0" applyNumberFormat="0" applyBorder="0" applyAlignment="0" applyProtection="0"/>
  </cellStyleXfs>
  <cellXfs count="18">
    <xf numFmtId="0" fontId="0" fillId="0" borderId="0" xfId="0"/>
    <xf numFmtId="49" fontId="0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49" fontId="0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ont="1" applyFill="1" applyAlignment="1">
      <alignment horizontal="left"/>
    </xf>
    <xf numFmtId="49" fontId="0" fillId="2" borderId="0" xfId="0" applyNumberFormat="1" applyFont="1" applyFill="1"/>
    <xf numFmtId="49" fontId="0" fillId="0" borderId="0" xfId="0" applyNumberFormat="1"/>
    <xf numFmtId="2" fontId="0" fillId="0" borderId="0" xfId="0" applyNumberFormat="1" applyFont="1" applyAlignment="1">
      <alignment horizontal="left"/>
    </xf>
    <xf numFmtId="2" fontId="0" fillId="0" borderId="0" xfId="0" applyNumberFormat="1"/>
    <xf numFmtId="1" fontId="0" fillId="0" borderId="0" xfId="0" applyNumberFormat="1"/>
    <xf numFmtId="0" fontId="1" fillId="6" borderId="0" xfId="5" applyAlignment="1">
      <alignment horizontal="center"/>
    </xf>
    <xf numFmtId="0" fontId="3" fillId="4" borderId="1" xfId="2"/>
    <xf numFmtId="0" fontId="2" fillId="3" borderId="1" xfId="1"/>
    <xf numFmtId="0" fontId="0" fillId="5" borderId="3" xfId="4" applyFont="1" applyBorder="1" applyAlignment="1">
      <alignment horizontal="left"/>
    </xf>
    <xf numFmtId="0" fontId="0" fillId="5" borderId="0" xfId="4" applyFont="1" applyBorder="1" applyAlignment="1">
      <alignment horizontal="left"/>
    </xf>
    <xf numFmtId="0" fontId="1" fillId="6" borderId="4" xfId="5" applyBorder="1" applyAlignment="1">
      <alignment horizontal="center"/>
    </xf>
    <xf numFmtId="0" fontId="4" fillId="7" borderId="0" xfId="3" applyFill="1" applyAlignment="1">
      <alignment horizontal="center"/>
    </xf>
  </cellXfs>
  <cellStyles count="6">
    <cellStyle name="20% - Accent2" xfId="5" builtinId="34"/>
    <cellStyle name="Calculation" xfId="2" builtinId="22"/>
    <cellStyle name="Input" xfId="1" builtinId="20"/>
    <cellStyle name="Normal" xfId="0" builtinId="0"/>
    <cellStyle name="Note" xfId="4" builtinId="10"/>
    <cellStyle name="Warning Text" xfId="3" builtinId="11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23</xdr:row>
          <xdr:rowOff>161925</xdr:rowOff>
        </xdr:from>
        <xdr:to>
          <xdr:col>0</xdr:col>
          <xdr:colOff>1638300</xdr:colOff>
          <xdr:row>26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E41EB42-A9B7-42F9-A2D6-FCE95566C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Vorlax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23</xdr:row>
          <xdr:rowOff>180975</xdr:rowOff>
        </xdr:from>
        <xdr:to>
          <xdr:col>3</xdr:col>
          <xdr:colOff>276225</xdr:colOff>
          <xdr:row>25</xdr:row>
          <xdr:rowOff>19050</xdr:rowOff>
        </xdr:to>
        <xdr:sp macro="" textlink="">
          <xdr:nvSpPr>
            <xdr:cNvPr id="1027" name="Vorlax_Check_Box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3F6DF1C-0A82-4659-93A0-F32FF2B50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7E3B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Vorlax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tabSelected="1" workbookViewId="0">
      <selection activeCell="S16" sqref="S16"/>
    </sheetView>
  </sheetViews>
  <sheetFormatPr defaultRowHeight="15" x14ac:dyDescent="0.25"/>
  <cols>
    <col min="1" max="1" width="24.85546875" bestFit="1" customWidth="1"/>
    <col min="5" max="5" width="19.140625" bestFit="1" customWidth="1"/>
  </cols>
  <sheetData>
    <row r="1" spans="1:12" x14ac:dyDescent="0.25">
      <c r="A1" s="1" t="s">
        <v>109</v>
      </c>
      <c r="B1" s="2"/>
      <c r="C1" s="2"/>
      <c r="D1" s="2"/>
      <c r="E1" s="2"/>
      <c r="F1" s="2"/>
      <c r="G1" s="2"/>
      <c r="H1" s="2"/>
      <c r="I1" s="2"/>
      <c r="J1" s="2"/>
    </row>
    <row r="2" spans="1:12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2"/>
      <c r="J2" s="2"/>
    </row>
    <row r="3" spans="1:12" x14ac:dyDescent="0.25">
      <c r="A3" s="1">
        <v>0</v>
      </c>
      <c r="B3" s="1" t="s">
        <v>8</v>
      </c>
      <c r="C3" s="1">
        <v>1</v>
      </c>
      <c r="D3" s="1" t="s">
        <v>9</v>
      </c>
      <c r="E3" s="1" t="s">
        <v>10</v>
      </c>
      <c r="F3" s="1" t="s">
        <v>10</v>
      </c>
      <c r="G3" s="1" t="s">
        <v>10</v>
      </c>
      <c r="H3" s="1" t="s">
        <v>55</v>
      </c>
      <c r="I3" s="1"/>
      <c r="J3" s="1"/>
    </row>
    <row r="4" spans="1:12" x14ac:dyDescent="0.25">
      <c r="A4" s="3" t="s">
        <v>11</v>
      </c>
      <c r="B4" s="3" t="s">
        <v>12</v>
      </c>
      <c r="C4" s="2"/>
      <c r="D4" s="2"/>
      <c r="E4" s="2"/>
      <c r="F4" s="2"/>
      <c r="G4" s="2"/>
      <c r="H4" s="2"/>
      <c r="I4" s="2"/>
      <c r="J4" s="2"/>
    </row>
    <row r="5" spans="1:12" x14ac:dyDescent="0.25">
      <c r="A5" s="2" t="s">
        <v>51</v>
      </c>
      <c r="B5" s="2" t="s">
        <v>56</v>
      </c>
      <c r="C5" s="2"/>
      <c r="D5" s="2"/>
      <c r="E5" s="2"/>
      <c r="F5" s="2"/>
      <c r="G5" s="2"/>
      <c r="H5" s="2"/>
      <c r="I5" s="2"/>
      <c r="J5" s="2"/>
    </row>
    <row r="6" spans="1:12" x14ac:dyDescent="0.25">
      <c r="A6" s="3" t="s">
        <v>13</v>
      </c>
      <c r="B6" s="3" t="s">
        <v>14</v>
      </c>
      <c r="C6" s="2"/>
      <c r="D6" s="2"/>
      <c r="E6" s="2"/>
      <c r="F6" s="2"/>
      <c r="G6" s="2"/>
      <c r="H6" s="2"/>
      <c r="I6" s="2"/>
      <c r="J6" s="2"/>
    </row>
    <row r="7" spans="1:12" x14ac:dyDescent="0.25">
      <c r="A7" s="1" t="s">
        <v>54</v>
      </c>
      <c r="B7" s="1" t="s">
        <v>57</v>
      </c>
      <c r="C7" s="1" t="s">
        <v>58</v>
      </c>
      <c r="D7" s="1" t="s">
        <v>59</v>
      </c>
      <c r="E7" s="1" t="s">
        <v>60</v>
      </c>
      <c r="F7" s="1" t="s">
        <v>8</v>
      </c>
      <c r="G7" s="1" t="s">
        <v>51</v>
      </c>
      <c r="H7" s="1" t="s">
        <v>61</v>
      </c>
      <c r="I7" s="1" t="s">
        <v>52</v>
      </c>
      <c r="J7" s="1" t="s">
        <v>62</v>
      </c>
      <c r="K7">
        <v>10</v>
      </c>
      <c r="L7">
        <v>20</v>
      </c>
    </row>
    <row r="8" spans="1:12" x14ac:dyDescent="0.25">
      <c r="A8" s="3" t="s">
        <v>15</v>
      </c>
      <c r="B8" s="3" t="s">
        <v>16</v>
      </c>
      <c r="C8" s="3" t="s">
        <v>17</v>
      </c>
      <c r="D8" s="3" t="s">
        <v>18</v>
      </c>
      <c r="E8" s="3" t="s">
        <v>19</v>
      </c>
      <c r="F8" s="3" t="s">
        <v>20</v>
      </c>
      <c r="G8" s="2"/>
      <c r="H8" s="2"/>
      <c r="I8" s="2"/>
      <c r="J8" s="2"/>
    </row>
    <row r="9" spans="1:12" x14ac:dyDescent="0.25">
      <c r="A9" s="1" t="s">
        <v>8</v>
      </c>
      <c r="B9" s="1" t="s">
        <v>10</v>
      </c>
      <c r="C9" s="1" t="s">
        <v>10</v>
      </c>
      <c r="D9" s="1" t="s">
        <v>10</v>
      </c>
      <c r="E9" s="1" t="s">
        <v>10</v>
      </c>
      <c r="F9" s="1" t="s">
        <v>21</v>
      </c>
      <c r="G9" s="1"/>
      <c r="H9" s="1"/>
      <c r="I9" s="1"/>
      <c r="J9" s="1"/>
    </row>
    <row r="10" spans="1:12" x14ac:dyDescent="0.25">
      <c r="A10" s="3" t="s">
        <v>22</v>
      </c>
      <c r="B10" s="3" t="s">
        <v>23</v>
      </c>
      <c r="C10" s="3" t="s">
        <v>24</v>
      </c>
      <c r="D10" s="3" t="s">
        <v>25</v>
      </c>
      <c r="E10" s="3" t="s">
        <v>26</v>
      </c>
      <c r="F10" s="3" t="s">
        <v>27</v>
      </c>
      <c r="G10" s="2"/>
      <c r="H10" s="2"/>
      <c r="I10" s="2"/>
      <c r="J10" s="2"/>
    </row>
    <row r="11" spans="1:12" x14ac:dyDescent="0.25">
      <c r="A11" s="1">
        <v>14</v>
      </c>
      <c r="B11" s="8">
        <v>834</v>
      </c>
      <c r="C11" s="8">
        <v>10.72</v>
      </c>
      <c r="D11" s="8">
        <v>20.25</v>
      </c>
      <c r="E11" s="8">
        <v>0</v>
      </c>
      <c r="F11" s="8">
        <v>77.8</v>
      </c>
      <c r="G11" s="1"/>
      <c r="H11" s="1"/>
      <c r="I11" s="1"/>
      <c r="J11" s="1"/>
    </row>
    <row r="12" spans="1:1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2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2" x14ac:dyDescent="0.25">
      <c r="A14" s="5" t="s">
        <v>28</v>
      </c>
      <c r="B14" s="5" t="s">
        <v>29</v>
      </c>
      <c r="C14" s="5" t="s">
        <v>30</v>
      </c>
      <c r="D14" s="4"/>
      <c r="E14" s="4"/>
      <c r="F14" s="4"/>
      <c r="G14" s="4"/>
      <c r="H14" s="4"/>
      <c r="I14" s="4"/>
      <c r="J14" s="4"/>
    </row>
    <row r="15" spans="1:12" x14ac:dyDescent="0.25">
      <c r="A15" s="4">
        <v>0</v>
      </c>
      <c r="B15" s="4">
        <v>0</v>
      </c>
      <c r="C15" s="4">
        <v>0</v>
      </c>
      <c r="D15" s="4"/>
      <c r="E15" s="4"/>
      <c r="F15" s="4"/>
      <c r="G15" s="4"/>
      <c r="H15" s="4"/>
      <c r="I15" s="4"/>
      <c r="J15" s="4"/>
    </row>
    <row r="18" spans="1:10" x14ac:dyDescent="0.25">
      <c r="A18" s="11" t="s">
        <v>110</v>
      </c>
      <c r="B18" s="11"/>
      <c r="C18" s="16"/>
      <c r="D18" s="12" t="s">
        <v>114</v>
      </c>
      <c r="E18" t="s">
        <v>115</v>
      </c>
    </row>
    <row r="19" spans="1:10" x14ac:dyDescent="0.25">
      <c r="A19" s="13" t="s">
        <v>111</v>
      </c>
      <c r="B19" s="14" t="s">
        <v>116</v>
      </c>
      <c r="C19" s="15"/>
      <c r="D19" s="15"/>
      <c r="E19" s="15"/>
    </row>
    <row r="20" spans="1:10" x14ac:dyDescent="0.25">
      <c r="A20" s="13" t="s">
        <v>112</v>
      </c>
      <c r="B20" s="14" t="s">
        <v>113</v>
      </c>
      <c r="C20" s="15"/>
      <c r="D20" s="15"/>
      <c r="E20" s="15"/>
    </row>
    <row r="21" spans="1:10" x14ac:dyDescent="0.25">
      <c r="A21" s="13" t="s">
        <v>117</v>
      </c>
      <c r="B21" s="14" t="s">
        <v>118</v>
      </c>
      <c r="C21" s="15"/>
      <c r="D21" s="15"/>
      <c r="E21" s="15"/>
    </row>
    <row r="22" spans="1:10" x14ac:dyDescent="0.25">
      <c r="A22" s="13" t="s">
        <v>119</v>
      </c>
      <c r="B22" s="14" t="s">
        <v>113</v>
      </c>
      <c r="C22" s="15"/>
      <c r="D22" s="15"/>
      <c r="E22" s="15"/>
    </row>
    <row r="25" spans="1:10" x14ac:dyDescent="0.25">
      <c r="E25" s="17" t="s">
        <v>120</v>
      </c>
      <c r="F25" s="17"/>
      <c r="G25" s="17"/>
      <c r="H25" s="17"/>
      <c r="I25" s="17"/>
      <c r="J25" s="17"/>
    </row>
  </sheetData>
  <mergeCells count="6">
    <mergeCell ref="E25:J25"/>
    <mergeCell ref="B19:E19"/>
    <mergeCell ref="B20:E20"/>
    <mergeCell ref="B21:E21"/>
    <mergeCell ref="B22:E22"/>
    <mergeCell ref="A18:C18"/>
  </mergeCells>
  <conditionalFormatting sqref="E18">
    <cfRule type="containsText" dxfId="0" priority="3" operator="containsText" text="Generation Success!">
      <formula>NOT(ISERROR(SEARCH("Generation Success!",E18)))</formula>
    </cfRule>
    <cfRule type="containsText" dxfId="1" priority="2" operator="containsText" text="Generating">
      <formula>NOT(ISERROR(SEARCH("Generating",E18)))</formula>
    </cfRule>
    <cfRule type="containsText" dxfId="2" priority="1" operator="containsText" text="ERROR">
      <formula>NOT(ISERROR(SEARCH("ERROR",E18)))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.Main">
                <anchor moveWithCells="1" sizeWithCells="1">
                  <from>
                    <xdr:col>0</xdr:col>
                    <xdr:colOff>104775</xdr:colOff>
                    <xdr:row>23</xdr:row>
                    <xdr:rowOff>161925</xdr:rowOff>
                  </from>
                  <to>
                    <xdr:col>0</xdr:col>
                    <xdr:colOff>1638300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Vorlax_Check_Box">
              <controlPr defaultSize="0" autoFill="0" autoLine="0" autoPict="0">
                <anchor moveWithCells="1">
                  <from>
                    <xdr:col>1</xdr:col>
                    <xdr:colOff>371475</xdr:colOff>
                    <xdr:row>23</xdr:row>
                    <xdr:rowOff>180975</xdr:rowOff>
                  </from>
                  <to>
                    <xdr:col>3</xdr:col>
                    <xdr:colOff>276225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9"/>
  <sheetViews>
    <sheetView workbookViewId="0">
      <selection activeCell="F9" sqref="F9"/>
    </sheetView>
  </sheetViews>
  <sheetFormatPr defaultRowHeight="15" x14ac:dyDescent="0.25"/>
  <cols>
    <col min="1" max="2" width="13.140625" bestFit="1" customWidth="1"/>
    <col min="3" max="3" width="11.5703125" bestFit="1" customWidth="1"/>
  </cols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63</v>
      </c>
      <c r="B2" s="7" t="s">
        <v>63</v>
      </c>
      <c r="C2" s="7" t="s">
        <v>63</v>
      </c>
      <c r="D2" s="7" t="s">
        <v>64</v>
      </c>
      <c r="E2" s="7" t="s">
        <v>53</v>
      </c>
    </row>
    <row r="3" spans="1:7" x14ac:dyDescent="0.25">
      <c r="A3" s="7" t="s">
        <v>65</v>
      </c>
      <c r="B3" s="7" t="s">
        <v>66</v>
      </c>
      <c r="C3" s="7" t="s">
        <v>63</v>
      </c>
      <c r="D3" s="7" t="s">
        <v>67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5</v>
      </c>
      <c r="B5" s="9">
        <v>50</v>
      </c>
      <c r="C5" s="9" t="s">
        <v>21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 t="s">
        <v>47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9"/>
  <sheetViews>
    <sheetView workbookViewId="0">
      <selection activeCell="C5" sqref="C5"/>
    </sheetView>
  </sheetViews>
  <sheetFormatPr defaultRowHeight="15" x14ac:dyDescent="0.25"/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69</v>
      </c>
      <c r="B2" s="7" t="s">
        <v>66</v>
      </c>
      <c r="C2" s="7" t="s">
        <v>63</v>
      </c>
      <c r="D2" s="7" t="s">
        <v>70</v>
      </c>
      <c r="E2" s="7" t="s">
        <v>68</v>
      </c>
    </row>
    <row r="3" spans="1:7" x14ac:dyDescent="0.25">
      <c r="A3" s="7" t="s">
        <v>69</v>
      </c>
      <c r="B3" s="7" t="s">
        <v>71</v>
      </c>
      <c r="C3" s="7" t="s">
        <v>63</v>
      </c>
      <c r="D3" s="7" t="s">
        <v>72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10</v>
      </c>
      <c r="B5" s="9">
        <v>10</v>
      </c>
      <c r="C5" s="9" t="s">
        <v>21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 t="s">
        <v>47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9"/>
  <sheetViews>
    <sheetView workbookViewId="0">
      <selection activeCell="E17" sqref="E17"/>
    </sheetView>
  </sheetViews>
  <sheetFormatPr defaultRowHeight="15" x14ac:dyDescent="0.25"/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69</v>
      </c>
      <c r="B2" s="7" t="s">
        <v>71</v>
      </c>
      <c r="C2" s="7" t="s">
        <v>63</v>
      </c>
      <c r="D2" s="7" t="s">
        <v>72</v>
      </c>
      <c r="E2" s="7" t="s">
        <v>73</v>
      </c>
    </row>
    <row r="3" spans="1:7" x14ac:dyDescent="0.25">
      <c r="A3" s="7" t="s">
        <v>69</v>
      </c>
      <c r="B3" s="7" t="s">
        <v>74</v>
      </c>
      <c r="C3" s="7" t="s">
        <v>63</v>
      </c>
      <c r="D3" s="7" t="s">
        <v>75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10</v>
      </c>
      <c r="B5" s="9">
        <v>10</v>
      </c>
      <c r="C5" s="9" t="s">
        <v>21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 t="s">
        <v>47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9"/>
  <sheetViews>
    <sheetView workbookViewId="0">
      <selection activeCell="C5" sqref="C5"/>
    </sheetView>
  </sheetViews>
  <sheetFormatPr defaultRowHeight="15" x14ac:dyDescent="0.25"/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69</v>
      </c>
      <c r="B2" s="7" t="s">
        <v>74</v>
      </c>
      <c r="C2" s="7" t="s">
        <v>63</v>
      </c>
      <c r="D2" s="7" t="s">
        <v>77</v>
      </c>
      <c r="E2" s="7" t="s">
        <v>76</v>
      </c>
    </row>
    <row r="3" spans="1:7" x14ac:dyDescent="0.25">
      <c r="A3" s="7" t="s">
        <v>69</v>
      </c>
      <c r="B3" s="7" t="s">
        <v>78</v>
      </c>
      <c r="C3" s="7" t="s">
        <v>63</v>
      </c>
      <c r="D3" s="7" t="s">
        <v>79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10</v>
      </c>
      <c r="B5" s="9">
        <v>10</v>
      </c>
      <c r="C5" s="9" t="s">
        <v>21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>
        <v>1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9"/>
  <sheetViews>
    <sheetView workbookViewId="0">
      <selection activeCell="C6" sqref="C6"/>
    </sheetView>
  </sheetViews>
  <sheetFormatPr defaultRowHeight="15" x14ac:dyDescent="0.25"/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81</v>
      </c>
      <c r="B2" s="7" t="s">
        <v>74</v>
      </c>
      <c r="C2" s="7" t="s">
        <v>63</v>
      </c>
      <c r="D2" s="7" t="s">
        <v>82</v>
      </c>
      <c r="E2" s="7" t="s">
        <v>80</v>
      </c>
    </row>
    <row r="3" spans="1:7" x14ac:dyDescent="0.25">
      <c r="A3" s="7" t="s">
        <v>83</v>
      </c>
      <c r="B3" s="7" t="s">
        <v>78</v>
      </c>
      <c r="C3" s="7" t="s">
        <v>63</v>
      </c>
      <c r="D3" s="7" t="s">
        <v>79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10</v>
      </c>
      <c r="B5" s="9">
        <v>5</v>
      </c>
      <c r="C5" s="9">
        <v>0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>
        <v>1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5C071-B7E3-44B4-A7B5-FBFDA127A2CA}">
  <sheetPr codeName="Sheet7"/>
  <dimension ref="A1:G9"/>
  <sheetViews>
    <sheetView workbookViewId="0">
      <selection activeCell="C6" sqref="C6"/>
    </sheetView>
  </sheetViews>
  <sheetFormatPr defaultRowHeight="15" x14ac:dyDescent="0.25"/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81</v>
      </c>
      <c r="B2" s="7" t="s">
        <v>85</v>
      </c>
      <c r="C2" s="7" t="s">
        <v>63</v>
      </c>
      <c r="D2" s="7" t="s">
        <v>82</v>
      </c>
      <c r="E2" s="7" t="s">
        <v>84</v>
      </c>
    </row>
    <row r="3" spans="1:7" x14ac:dyDescent="0.25">
      <c r="A3" s="7" t="s">
        <v>83</v>
      </c>
      <c r="B3" s="7" t="s">
        <v>86</v>
      </c>
      <c r="C3" s="7" t="s">
        <v>63</v>
      </c>
      <c r="D3" s="7" t="s">
        <v>79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10</v>
      </c>
      <c r="B5" s="9">
        <v>5</v>
      </c>
      <c r="C5" s="9">
        <v>0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>
        <v>1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B0677-BF4A-4922-8397-CB597DEEF651}">
  <sheetPr codeName="Sheet8"/>
  <dimension ref="A1:G9"/>
  <sheetViews>
    <sheetView workbookViewId="0">
      <selection activeCell="D9" sqref="D9"/>
    </sheetView>
  </sheetViews>
  <sheetFormatPr defaultRowHeight="15" x14ac:dyDescent="0.25"/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64</v>
      </c>
      <c r="B2" s="7" t="s">
        <v>63</v>
      </c>
      <c r="C2" s="7" t="s">
        <v>56</v>
      </c>
      <c r="D2" s="7" t="s">
        <v>88</v>
      </c>
      <c r="E2" s="7" t="s">
        <v>87</v>
      </c>
    </row>
    <row r="3" spans="1:7" x14ac:dyDescent="0.25">
      <c r="A3" s="7" t="s">
        <v>64</v>
      </c>
      <c r="B3" s="7" t="s">
        <v>89</v>
      </c>
      <c r="C3" s="7" t="s">
        <v>56</v>
      </c>
      <c r="D3" s="7" t="s">
        <v>88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10</v>
      </c>
      <c r="B5" s="9">
        <v>5</v>
      </c>
      <c r="C5" s="9" t="s">
        <v>21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>
        <v>2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C0A3D-55E2-42EA-957F-D1721C40AE98}">
  <sheetPr codeName="Sheet9"/>
  <dimension ref="A1:G9"/>
  <sheetViews>
    <sheetView workbookViewId="0">
      <selection activeCell="C6" sqref="C6"/>
    </sheetView>
  </sheetViews>
  <sheetFormatPr defaultRowHeight="15" x14ac:dyDescent="0.25"/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90</v>
      </c>
      <c r="B2" s="7" t="s">
        <v>8</v>
      </c>
      <c r="C2" s="7" t="s">
        <v>56</v>
      </c>
      <c r="D2" s="7" t="s">
        <v>61</v>
      </c>
      <c r="E2" s="7" t="s">
        <v>91</v>
      </c>
    </row>
    <row r="3" spans="1:7" x14ac:dyDescent="0.25">
      <c r="A3" s="7" t="s">
        <v>90</v>
      </c>
      <c r="B3" s="7" t="s">
        <v>89</v>
      </c>
      <c r="C3" s="7" t="s">
        <v>56</v>
      </c>
      <c r="D3" s="7" t="s">
        <v>61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10</v>
      </c>
      <c r="B5" s="9">
        <v>5</v>
      </c>
      <c r="C5" s="9">
        <v>0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>
        <v>2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62339-5FCF-4230-B8C2-41A03F5C40AD}">
  <sheetPr codeName="Sheet10"/>
  <dimension ref="A1:G9"/>
  <sheetViews>
    <sheetView workbookViewId="0">
      <selection activeCell="G29" sqref="G29"/>
    </sheetView>
  </sheetViews>
  <sheetFormatPr defaultRowHeight="15" x14ac:dyDescent="0.25"/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63</v>
      </c>
      <c r="B2" s="7" t="s">
        <v>63</v>
      </c>
      <c r="C2" s="7" t="s">
        <v>63</v>
      </c>
      <c r="D2" s="7" t="s">
        <v>92</v>
      </c>
      <c r="E2" s="7" t="s">
        <v>95</v>
      </c>
    </row>
    <row r="3" spans="1:7" x14ac:dyDescent="0.25">
      <c r="A3" s="7" t="s">
        <v>65</v>
      </c>
      <c r="B3" s="7" t="s">
        <v>63</v>
      </c>
      <c r="C3" s="7" t="s">
        <v>93</v>
      </c>
      <c r="D3" s="7" t="s">
        <v>94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5</v>
      </c>
      <c r="B5" s="9">
        <v>25</v>
      </c>
      <c r="C5" s="9">
        <v>1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>
        <v>1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5C7AF-EC2F-4B89-8E3C-FC5048286965}">
  <sheetPr codeName="Sheet11"/>
  <dimension ref="A1:G9"/>
  <sheetViews>
    <sheetView workbookViewId="0">
      <selection activeCell="C6" sqref="C6"/>
    </sheetView>
  </sheetViews>
  <sheetFormatPr defaultRowHeight="15" x14ac:dyDescent="0.25"/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63</v>
      </c>
      <c r="B2" s="7" t="s">
        <v>63</v>
      </c>
      <c r="C2" s="7" t="s">
        <v>63</v>
      </c>
      <c r="D2" s="7" t="s">
        <v>92</v>
      </c>
      <c r="E2" s="7" t="s">
        <v>96</v>
      </c>
    </row>
    <row r="3" spans="1:7" x14ac:dyDescent="0.25">
      <c r="A3" s="7" t="s">
        <v>65</v>
      </c>
      <c r="B3" s="7" t="s">
        <v>63</v>
      </c>
      <c r="C3" s="7" t="s">
        <v>97</v>
      </c>
      <c r="D3" s="7" t="s">
        <v>94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5</v>
      </c>
      <c r="B5" s="9">
        <v>25</v>
      </c>
      <c r="C5" s="9">
        <v>1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>
        <v>1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541A8-C576-4F23-9A26-B18C2D99B298}">
  <sheetPr codeName="Sheet12"/>
  <dimension ref="A1:G9"/>
  <sheetViews>
    <sheetView workbookViewId="0">
      <selection activeCell="E7" sqref="E7"/>
    </sheetView>
  </sheetViews>
  <sheetFormatPr defaultRowHeight="15" x14ac:dyDescent="0.25"/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92</v>
      </c>
      <c r="B2" s="7" t="s">
        <v>63</v>
      </c>
      <c r="C2" s="7" t="s">
        <v>63</v>
      </c>
      <c r="D2" s="7" t="s">
        <v>99</v>
      </c>
      <c r="E2" s="7" t="s">
        <v>98</v>
      </c>
    </row>
    <row r="3" spans="1:7" x14ac:dyDescent="0.25">
      <c r="A3" s="7" t="s">
        <v>92</v>
      </c>
      <c r="B3" s="7" t="s">
        <v>63</v>
      </c>
      <c r="C3" s="7" t="s">
        <v>93</v>
      </c>
      <c r="D3" s="7" t="s">
        <v>99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5</v>
      </c>
      <c r="B5" s="9">
        <v>25</v>
      </c>
      <c r="C5" s="9">
        <v>0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>
        <v>1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723F-6269-4D9F-8A23-08E4B9B2583B}">
  <sheetPr codeName="Sheet13"/>
  <dimension ref="A1:G9"/>
  <sheetViews>
    <sheetView workbookViewId="0">
      <selection activeCell="E7" sqref="E7"/>
    </sheetView>
  </sheetViews>
  <sheetFormatPr defaultRowHeight="15" x14ac:dyDescent="0.25"/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92</v>
      </c>
      <c r="B2" s="7" t="s">
        <v>63</v>
      </c>
      <c r="C2" s="7" t="s">
        <v>97</v>
      </c>
      <c r="D2" s="7" t="s">
        <v>101</v>
      </c>
      <c r="E2" s="7" t="s">
        <v>100</v>
      </c>
    </row>
    <row r="3" spans="1:7" x14ac:dyDescent="0.25">
      <c r="A3" s="7" t="s">
        <v>92</v>
      </c>
      <c r="B3" s="7" t="s">
        <v>63</v>
      </c>
      <c r="C3" s="7" t="s">
        <v>63</v>
      </c>
      <c r="D3" s="7" t="s">
        <v>99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5</v>
      </c>
      <c r="B5" s="9">
        <v>25</v>
      </c>
      <c r="C5" s="9">
        <v>0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>
        <v>1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2ABD-7187-42C9-B3B4-D5676D3EB7B5}">
  <sheetPr codeName="Sheet14"/>
  <dimension ref="A1:G9"/>
  <sheetViews>
    <sheetView workbookViewId="0">
      <selection activeCell="F7" sqref="F7"/>
    </sheetView>
  </sheetViews>
  <sheetFormatPr defaultRowHeight="15" x14ac:dyDescent="0.25"/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103</v>
      </c>
      <c r="B2" s="7" t="s">
        <v>63</v>
      </c>
      <c r="C2" s="7" t="s">
        <v>93</v>
      </c>
      <c r="D2" s="7" t="s">
        <v>88</v>
      </c>
      <c r="E2" s="7" t="s">
        <v>102</v>
      </c>
    </row>
    <row r="3" spans="1:7" x14ac:dyDescent="0.25">
      <c r="A3" s="7" t="s">
        <v>104</v>
      </c>
      <c r="B3" s="7" t="s">
        <v>63</v>
      </c>
      <c r="C3" s="7" t="s">
        <v>105</v>
      </c>
      <c r="D3" s="7" t="s">
        <v>106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5</v>
      </c>
      <c r="B5" s="9">
        <v>10</v>
      </c>
      <c r="C5" s="9">
        <v>1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>
        <v>1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C992D-8D73-4A94-B12B-878092E41E9A}">
  <sheetPr codeName="Sheet15"/>
  <dimension ref="A1:G9"/>
  <sheetViews>
    <sheetView workbookViewId="0">
      <selection activeCell="D7" sqref="D7"/>
    </sheetView>
  </sheetViews>
  <sheetFormatPr defaultRowHeight="15" x14ac:dyDescent="0.25"/>
  <sheetData>
    <row r="1" spans="1:7" x14ac:dyDescent="0.25">
      <c r="A1" s="6" t="s">
        <v>31</v>
      </c>
      <c r="B1" s="6" t="s">
        <v>32</v>
      </c>
      <c r="C1" s="6" t="s">
        <v>33</v>
      </c>
      <c r="D1" s="6" t="s">
        <v>34</v>
      </c>
      <c r="E1" s="6" t="s">
        <v>35</v>
      </c>
    </row>
    <row r="2" spans="1:7" x14ac:dyDescent="0.25">
      <c r="A2" s="7" t="s">
        <v>107</v>
      </c>
      <c r="B2" s="7" t="s">
        <v>63</v>
      </c>
      <c r="C2" s="7" t="s">
        <v>93</v>
      </c>
      <c r="D2" s="7" t="s">
        <v>82</v>
      </c>
      <c r="E2" s="7" t="s">
        <v>108</v>
      </c>
    </row>
    <row r="3" spans="1:7" x14ac:dyDescent="0.25">
      <c r="A3" s="7" t="s">
        <v>107</v>
      </c>
      <c r="B3" s="7" t="s">
        <v>63</v>
      </c>
      <c r="C3" s="7" t="s">
        <v>105</v>
      </c>
      <c r="D3" s="7" t="s">
        <v>106</v>
      </c>
    </row>
    <row r="4" spans="1:7" x14ac:dyDescent="0.25">
      <c r="A4" s="6" t="s">
        <v>36</v>
      </c>
      <c r="B4" s="6" t="s">
        <v>37</v>
      </c>
      <c r="C4" s="6" t="s">
        <v>38</v>
      </c>
      <c r="D4" s="6" t="s">
        <v>39</v>
      </c>
    </row>
    <row r="5" spans="1:7" x14ac:dyDescent="0.25">
      <c r="A5" s="9">
        <v>5</v>
      </c>
      <c r="B5" s="9">
        <v>10</v>
      </c>
      <c r="C5" s="9">
        <v>0</v>
      </c>
      <c r="D5" s="9" t="s">
        <v>10</v>
      </c>
    </row>
    <row r="6" spans="1:7" x14ac:dyDescent="0.25">
      <c r="A6" s="6" t="s">
        <v>40</v>
      </c>
      <c r="B6" s="6" t="s">
        <v>41</v>
      </c>
      <c r="C6" s="6" t="s">
        <v>42</v>
      </c>
      <c r="D6" s="6" t="s">
        <v>43</v>
      </c>
      <c r="E6" s="6" t="s">
        <v>44</v>
      </c>
      <c r="F6" s="6" t="s">
        <v>45</v>
      </c>
      <c r="G6" s="6" t="s">
        <v>46</v>
      </c>
    </row>
    <row r="7" spans="1:7" x14ac:dyDescent="0.25">
      <c r="A7" s="9" t="s">
        <v>10</v>
      </c>
      <c r="B7" s="9" t="s">
        <v>10</v>
      </c>
      <c r="C7" s="9" t="s">
        <v>10</v>
      </c>
      <c r="D7" s="10">
        <v>0</v>
      </c>
      <c r="E7" s="9">
        <v>1</v>
      </c>
      <c r="F7" s="10">
        <v>0</v>
      </c>
      <c r="G7" s="10">
        <v>0</v>
      </c>
    </row>
    <row r="8" spans="1:7" x14ac:dyDescent="0.25">
      <c r="D8" s="7"/>
      <c r="E8" s="7"/>
      <c r="F8" s="7"/>
      <c r="G8" s="7"/>
    </row>
    <row r="9" spans="1:7" x14ac:dyDescent="0.25">
      <c r="A9" s="6" t="s">
        <v>48</v>
      </c>
      <c r="B9" s="6" t="s">
        <v>49</v>
      </c>
      <c r="C9" s="6" t="s">
        <v>50</v>
      </c>
      <c r="D9" s="7"/>
      <c r="E9" s="7"/>
      <c r="F9" s="7"/>
      <c r="G9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</vt:lpstr>
      <vt:lpstr>BODY_h</vt:lpstr>
      <vt:lpstr>WING_1</vt:lpstr>
      <vt:lpstr>WING_2</vt:lpstr>
      <vt:lpstr>WING_3</vt:lpstr>
      <vt:lpstr>R_ail</vt:lpstr>
      <vt:lpstr>L_ail</vt:lpstr>
      <vt:lpstr>TAIL_h_fix</vt:lpstr>
      <vt:lpstr>TAIL_h_flap</vt:lpstr>
      <vt:lpstr>BODY_v_tipTop</vt:lpstr>
      <vt:lpstr>BODY_v_tipBot</vt:lpstr>
      <vt:lpstr>BODY_v_rearTop</vt:lpstr>
      <vt:lpstr>BODY_v_rearBot</vt:lpstr>
      <vt:lpstr>TAIL_v_fix</vt:lpstr>
      <vt:lpstr>TAIL_v_flap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Philip_Thomas</dc:creator>
  <cp:lastModifiedBy>Philip_Thomas</cp:lastModifiedBy>
  <dcterms:created xsi:type="dcterms:W3CDTF">2017-08-12T16:57:38Z</dcterms:created>
  <dcterms:modified xsi:type="dcterms:W3CDTF">2018-08-25T01:17:20Z</dcterms:modified>
</cp:coreProperties>
</file>